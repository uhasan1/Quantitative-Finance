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0" yWindow="-255" windowWidth="13410" windowHeight="12825" firstSheet="1" activeTab="1"/>
  </bookViews>
  <sheets>
    <sheet name="Proposed Flow" sheetId="17" state="hidden" r:id="rId1"/>
    <sheet name="BPV" sheetId="23" r:id="rId2"/>
    <sheet name="GRID" sheetId="25" r:id="rId3"/>
    <sheet name="Template" sheetId="19" state="hidden" r:id="rId4"/>
    <sheet name="Consolidated Dummy Deals (RMD)" sheetId="15" state="hidden" r:id="rId5"/>
    <sheet name="Sheet1" sheetId="12" state="hidden" r:id="rId6"/>
    <sheet name="Production BOENPV" sheetId="16" state="hidden" r:id="rId7"/>
    <sheet name="Fx10bpv (Simulation)" sheetId="8" state="hidden" r:id="rId8"/>
    <sheet name="Forward Rates" sheetId="6" state="hidden" r:id="rId9"/>
    <sheet name="Sheet10" sheetId="10" state="hidden" r:id="rId10"/>
    <sheet name="Sheet2" sheetId="26" state="hidden" r:id="rId11"/>
    <sheet name="PastSwapDepoID" sheetId="27" r:id="rId12"/>
  </sheets>
  <externalReferences>
    <externalReference r:id="rId13"/>
    <externalReference r:id="rId14"/>
  </externalReferences>
  <definedNames>
    <definedName name="AUDGP">#REF!</definedName>
    <definedName name="audperiodic">#REF!</definedName>
    <definedName name="audRF">#REF!</definedName>
    <definedName name="AUDRF1">#REF!</definedName>
    <definedName name="CNYGP">#REF!</definedName>
    <definedName name="cnyperiodic">#REF!</definedName>
    <definedName name="cnyRF">#REF!</definedName>
    <definedName name="CNYRF1">#REF!</definedName>
    <definedName name="Currencies">#REF!</definedName>
    <definedName name="EURGP">#REF!</definedName>
    <definedName name="eurperiodic">#REF!</definedName>
    <definedName name="eurRF">#REF!</definedName>
    <definedName name="EURRF1">#REF!</definedName>
    <definedName name="GBPGP">#REF!</definedName>
    <definedName name="gbpperiodic">#REF!</definedName>
    <definedName name="gbpRF">#REF!</definedName>
    <definedName name="GBPRF1">#REF!</definedName>
    <definedName name="HKDGP">#REF!</definedName>
    <definedName name="hkdperiodic">#REF!</definedName>
    <definedName name="hkdRF">#REF!</definedName>
    <definedName name="HKDRF1">#REF!</definedName>
    <definedName name="JPYGP">#REF!</definedName>
    <definedName name="jpyperiodic">#REF!</definedName>
    <definedName name="jpyRF">#REF!</definedName>
    <definedName name="JPYRF1">#REF!</definedName>
    <definedName name="ListOfCurrencies">'[1]Original Details'!$A$3:$A$15</definedName>
    <definedName name="MYRGP">#REF!</definedName>
    <definedName name="myrperiodic">#REF!</definedName>
    <definedName name="myrRF">#REF!</definedName>
    <definedName name="MYRRF1">#REF!</definedName>
    <definedName name="periodic" localSheetId="1">#REF!</definedName>
    <definedName name="periodic">#REF!</definedName>
    <definedName name="SGDGP">#REF!</definedName>
    <definedName name="sgdperiodic">#REF!</definedName>
    <definedName name="sgdRF">#REF!</definedName>
    <definedName name="SGDRF1">#REF!</definedName>
    <definedName name="THBGP">#REF!</definedName>
    <definedName name="thbperiodic">#REF!</definedName>
    <definedName name="thbRF">#REF!</definedName>
    <definedName name="THBRF1">#REF!</definedName>
    <definedName name="USDGP">#REF!</definedName>
    <definedName name="usdperiodic">#REF!</definedName>
    <definedName name="usdRF">#REF!</definedName>
    <definedName name="USDRF1">#REF!</definedName>
  </definedNames>
  <calcPr calcId="145621"/>
</workbook>
</file>

<file path=xl/calcChain.xml><?xml version="1.0" encoding="utf-8"?>
<calcChain xmlns="http://schemas.openxmlformats.org/spreadsheetml/2006/main">
  <c r="O32" i="23" l="1"/>
  <c r="O31" i="23"/>
  <c r="O62" i="23"/>
  <c r="O61" i="23"/>
  <c r="P27" i="23"/>
  <c r="P26" i="23"/>
  <c r="P25" i="23"/>
  <c r="P24" i="23"/>
  <c r="P23" i="23"/>
  <c r="P22" i="23"/>
  <c r="O18" i="23"/>
  <c r="O17" i="23"/>
  <c r="F39" i="23" l="1"/>
  <c r="C38" i="23"/>
  <c r="C15" i="23"/>
  <c r="O48" i="23"/>
  <c r="O47" i="23"/>
  <c r="P57" i="23" l="1"/>
  <c r="P56" i="23"/>
  <c r="P55" i="23"/>
  <c r="P54" i="23"/>
  <c r="P53" i="23"/>
  <c r="P52" i="23"/>
  <c r="F16" i="23" l="1"/>
  <c r="P9" i="19" l="1"/>
  <c r="P8" i="19"/>
  <c r="P7" i="19"/>
  <c r="P6" i="19"/>
  <c r="P5" i="19"/>
  <c r="Q9" i="19" l="1"/>
  <c r="Q8" i="19"/>
  <c r="Q7" i="19"/>
  <c r="Q6" i="19" l="1"/>
  <c r="D9" i="19"/>
  <c r="D8" i="19" l="1"/>
  <c r="A1312" i="8" l="1"/>
  <c r="A1311" i="8"/>
  <c r="A1310" i="8"/>
  <c r="A1309" i="8"/>
  <c r="A1308" i="8"/>
  <c r="A1307" i="8"/>
  <c r="A1306" i="8"/>
  <c r="A1305" i="8"/>
  <c r="A1304" i="8"/>
  <c r="A1303" i="8"/>
  <c r="A1302" i="8"/>
  <c r="A1301" i="8"/>
  <c r="A1300" i="8"/>
  <c r="A1299" i="8"/>
  <c r="A1298" i="8"/>
  <c r="A1297" i="8"/>
  <c r="A1296" i="8"/>
  <c r="A1295" i="8"/>
  <c r="A1294" i="8"/>
  <c r="A1293" i="8"/>
  <c r="A1292" i="8"/>
  <c r="A1291" i="8"/>
  <c r="A1290" i="8"/>
  <c r="A1289" i="8"/>
  <c r="A1288" i="8"/>
  <c r="A1287" i="8"/>
  <c r="A1286" i="8"/>
  <c r="A1285" i="8"/>
  <c r="A1284" i="8"/>
  <c r="A1283" i="8"/>
  <c r="A1282" i="8"/>
  <c r="A1281" i="8"/>
  <c r="A1280" i="8"/>
  <c r="A1279" i="8"/>
  <c r="A1278" i="8"/>
  <c r="A1277" i="8"/>
  <c r="A1276" i="8"/>
  <c r="A1275" i="8"/>
  <c r="A1274" i="8"/>
  <c r="A1273" i="8"/>
  <c r="A1272" i="8"/>
  <c r="A1271" i="8"/>
  <c r="A1270" i="8"/>
  <c r="A1269" i="8"/>
  <c r="A1268" i="8"/>
  <c r="A1267" i="8"/>
  <c r="A1266" i="8"/>
  <c r="A1265" i="8"/>
  <c r="A1264" i="8"/>
  <c r="A1263" i="8"/>
  <c r="A1262" i="8"/>
  <c r="A1261" i="8"/>
  <c r="A1260" i="8"/>
  <c r="A1259" i="8"/>
  <c r="A1258" i="8"/>
  <c r="A1257" i="8"/>
  <c r="A1256" i="8"/>
  <c r="A1255" i="8"/>
  <c r="A1254" i="8"/>
  <c r="A1253" i="8"/>
  <c r="A1252" i="8"/>
  <c r="A1251" i="8"/>
  <c r="A1250" i="8"/>
  <c r="A1249" i="8"/>
  <c r="A1248" i="8"/>
  <c r="A1247" i="8"/>
  <c r="A1246" i="8"/>
  <c r="A1245" i="8"/>
  <c r="A1244" i="8"/>
  <c r="A1243" i="8"/>
  <c r="A1242" i="8"/>
  <c r="A1241" i="8"/>
  <c r="A1240" i="8"/>
  <c r="A1239" i="8"/>
  <c r="A1238" i="8"/>
  <c r="A1237" i="8"/>
  <c r="A1236" i="8"/>
  <c r="A1235" i="8"/>
  <c r="A1234" i="8"/>
  <c r="A1233" i="8"/>
  <c r="A1232" i="8"/>
  <c r="A1231" i="8"/>
  <c r="A1230" i="8"/>
  <c r="A1229" i="8"/>
  <c r="A1228" i="8"/>
  <c r="A1227" i="8"/>
  <c r="A1226" i="8"/>
  <c r="A1225" i="8"/>
  <c r="A1224" i="8"/>
  <c r="A1223" i="8"/>
  <c r="A1222" i="8"/>
  <c r="A1221" i="8"/>
  <c r="A1220" i="8"/>
  <c r="A1219" i="8"/>
  <c r="A1218" i="8"/>
  <c r="A1217" i="8"/>
  <c r="A1216" i="8"/>
  <c r="A1215" i="8"/>
  <c r="A1214" i="8"/>
  <c r="A1213" i="8"/>
  <c r="A1212" i="8"/>
  <c r="A1211" i="8"/>
  <c r="A1210" i="8"/>
  <c r="A1209" i="8"/>
  <c r="A1208" i="8"/>
  <c r="A1207" i="8"/>
  <c r="A1206" i="8"/>
  <c r="A1205" i="8"/>
  <c r="A1204" i="8"/>
  <c r="A1203" i="8"/>
  <c r="A1202" i="8"/>
  <c r="A1201" i="8"/>
  <c r="A1200" i="8"/>
  <c r="A1199" i="8"/>
  <c r="A1198" i="8"/>
  <c r="A1197" i="8"/>
  <c r="A1196" i="8"/>
  <c r="A1195" i="8"/>
  <c r="A1194" i="8"/>
  <c r="A1193" i="8"/>
  <c r="A1192" i="8"/>
  <c r="A1191" i="8"/>
  <c r="A1190" i="8"/>
  <c r="A1189" i="8"/>
  <c r="A1188" i="8"/>
  <c r="A1187" i="8"/>
  <c r="A1186" i="8"/>
  <c r="A1185" i="8"/>
  <c r="A1184" i="8"/>
  <c r="A1183" i="8"/>
  <c r="A1182" i="8"/>
  <c r="A1181" i="8"/>
  <c r="A1180" i="8"/>
  <c r="A1179" i="8"/>
  <c r="A1178" i="8"/>
  <c r="A1177" i="8"/>
  <c r="A1176" i="8"/>
  <c r="A1175" i="8"/>
  <c r="A1174" i="8"/>
  <c r="A1173" i="8"/>
  <c r="A1172" i="8"/>
  <c r="A1171" i="8"/>
  <c r="A1170" i="8"/>
  <c r="A1169" i="8"/>
  <c r="A1168" i="8"/>
  <c r="A1167" i="8"/>
  <c r="A1166" i="8"/>
  <c r="A1165" i="8"/>
  <c r="A1164" i="8"/>
  <c r="A1163" i="8"/>
  <c r="A1162" i="8"/>
  <c r="A1161" i="8"/>
  <c r="A1160" i="8"/>
  <c r="A1159" i="8"/>
  <c r="A1158" i="8"/>
  <c r="A1157" i="8"/>
  <c r="A1156" i="8"/>
  <c r="A1155" i="8"/>
  <c r="A1154" i="8"/>
  <c r="A1153" i="8"/>
  <c r="A1152" i="8"/>
  <c r="A1151" i="8"/>
  <c r="A1150" i="8"/>
  <c r="A1149" i="8"/>
  <c r="A1148" i="8"/>
  <c r="A1147" i="8"/>
  <c r="A1146" i="8"/>
  <c r="A1145" i="8"/>
  <c r="A1144" i="8"/>
  <c r="A1143" i="8"/>
  <c r="A1142" i="8"/>
  <c r="A1141" i="8"/>
  <c r="A1140" i="8"/>
  <c r="A1139" i="8"/>
  <c r="A1138" i="8"/>
  <c r="A1137" i="8"/>
  <c r="A1136" i="8"/>
  <c r="A1135" i="8"/>
  <c r="A1134" i="8"/>
  <c r="A1133" i="8"/>
  <c r="A1132" i="8"/>
  <c r="A1131" i="8"/>
  <c r="A1130" i="8"/>
  <c r="A1129" i="8"/>
  <c r="A1128" i="8"/>
  <c r="A1127" i="8"/>
  <c r="A1126" i="8"/>
  <c r="A1125" i="8"/>
  <c r="A1124" i="8"/>
  <c r="A1123" i="8"/>
  <c r="A1122" i="8"/>
  <c r="A1121" i="8"/>
  <c r="A1120" i="8"/>
  <c r="A1119" i="8"/>
  <c r="A1118" i="8"/>
  <c r="A1117" i="8"/>
  <c r="A1116" i="8"/>
  <c r="A1115" i="8"/>
  <c r="A1114" i="8"/>
  <c r="A1113" i="8"/>
  <c r="A1112" i="8"/>
  <c r="A1111" i="8"/>
  <c r="A1110" i="8"/>
  <c r="A1109" i="8"/>
  <c r="A1108" i="8"/>
  <c r="A1107" i="8"/>
  <c r="A1106" i="8"/>
  <c r="A1105" i="8"/>
  <c r="A1104" i="8"/>
  <c r="A1103" i="8"/>
  <c r="A1102" i="8"/>
  <c r="A1101" i="8"/>
  <c r="A1100" i="8"/>
  <c r="A1099" i="8"/>
  <c r="A1098" i="8"/>
  <c r="A1097" i="8"/>
  <c r="A1096" i="8"/>
  <c r="A1095" i="8"/>
  <c r="A1094" i="8"/>
  <c r="A1093" i="8"/>
  <c r="A1092" i="8"/>
  <c r="A1091" i="8"/>
  <c r="A1090" i="8"/>
  <c r="A1089" i="8"/>
  <c r="A1088" i="8"/>
  <c r="A1087" i="8"/>
  <c r="A1086" i="8"/>
  <c r="A1085" i="8"/>
  <c r="A1084" i="8"/>
  <c r="A1083" i="8"/>
  <c r="A1082" i="8"/>
  <c r="A1081" i="8"/>
  <c r="A1080" i="8"/>
  <c r="A1079" i="8"/>
  <c r="A1078" i="8"/>
  <c r="A1077" i="8"/>
  <c r="A1076" i="8"/>
  <c r="A1075" i="8"/>
  <c r="A1074" i="8"/>
  <c r="A1073" i="8"/>
  <c r="A1072" i="8"/>
  <c r="A1071" i="8"/>
  <c r="A1070" i="8"/>
  <c r="A1069" i="8"/>
  <c r="A1068" i="8"/>
  <c r="A1067" i="8"/>
  <c r="A1066" i="8"/>
  <c r="A1065" i="8"/>
  <c r="A1064" i="8"/>
  <c r="A1063" i="8"/>
  <c r="A1062" i="8"/>
  <c r="A1061" i="8"/>
  <c r="A1060" i="8"/>
  <c r="A1059" i="8"/>
  <c r="A1058" i="8"/>
  <c r="A1057" i="8"/>
  <c r="A1056" i="8"/>
  <c r="A1055" i="8"/>
  <c r="A1054" i="8"/>
  <c r="A1053" i="8"/>
  <c r="A1052" i="8"/>
  <c r="A1051" i="8"/>
  <c r="A1050" i="8"/>
  <c r="A1049" i="8"/>
  <c r="A1048" i="8"/>
  <c r="A1047" i="8"/>
  <c r="A1046" i="8"/>
  <c r="A1045" i="8"/>
  <c r="A1044" i="8"/>
  <c r="A1043" i="8"/>
  <c r="A1042" i="8"/>
  <c r="A1041" i="8"/>
  <c r="A1040" i="8"/>
  <c r="A1039" i="8"/>
  <c r="A1038" i="8"/>
  <c r="A1037" i="8"/>
  <c r="A1036" i="8"/>
  <c r="A1035" i="8"/>
  <c r="A1034" i="8"/>
  <c r="A1033" i="8"/>
  <c r="A1032" i="8"/>
  <c r="A1031" i="8"/>
  <c r="A1030" i="8"/>
  <c r="A1029" i="8"/>
  <c r="A1028" i="8"/>
  <c r="A1027" i="8"/>
  <c r="A1026" i="8"/>
  <c r="A1025" i="8"/>
  <c r="A1024" i="8"/>
  <c r="A1023" i="8"/>
  <c r="A1022" i="8"/>
  <c r="A1021" i="8"/>
  <c r="A1020" i="8"/>
  <c r="A1019" i="8"/>
  <c r="A1018" i="8"/>
  <c r="A1017" i="8"/>
  <c r="A1016" i="8"/>
  <c r="A1015" i="8"/>
  <c r="A1014" i="8"/>
  <c r="A1013" i="8"/>
  <c r="A1012" i="8"/>
  <c r="A1011" i="8"/>
  <c r="A1010" i="8"/>
  <c r="A1009" i="8"/>
  <c r="A1008" i="8"/>
  <c r="A1007" i="8"/>
  <c r="A1006" i="8"/>
  <c r="A1005" i="8"/>
  <c r="A1004" i="8"/>
  <c r="A1003" i="8"/>
  <c r="A1002" i="8"/>
  <c r="A1001" i="8"/>
  <c r="A1000" i="8"/>
  <c r="A999" i="8"/>
  <c r="A998" i="8"/>
  <c r="A997" i="8"/>
  <c r="A996" i="8"/>
  <c r="A995" i="8"/>
  <c r="A994" i="8"/>
  <c r="A993" i="8"/>
  <c r="A992" i="8"/>
  <c r="A991" i="8"/>
  <c r="A990" i="8"/>
  <c r="A989" i="8"/>
  <c r="A988" i="8"/>
  <c r="A987" i="8"/>
  <c r="A986" i="8"/>
  <c r="A985" i="8"/>
  <c r="A984" i="8"/>
  <c r="A983" i="8"/>
  <c r="A982" i="8"/>
  <c r="A981" i="8"/>
  <c r="A980" i="8"/>
  <c r="A979" i="8"/>
  <c r="A978" i="8"/>
  <c r="A977" i="8"/>
  <c r="A976" i="8"/>
  <c r="A975" i="8"/>
  <c r="A974" i="8"/>
  <c r="A973" i="8"/>
  <c r="A972" i="8"/>
  <c r="A971" i="8"/>
  <c r="A970" i="8"/>
  <c r="A969" i="8"/>
  <c r="A968" i="8"/>
  <c r="A967" i="8"/>
  <c r="A966" i="8"/>
  <c r="A965" i="8"/>
  <c r="A964" i="8"/>
  <c r="A963" i="8"/>
  <c r="A962" i="8"/>
  <c r="A961" i="8"/>
  <c r="A960" i="8"/>
  <c r="A959" i="8"/>
  <c r="A958" i="8"/>
  <c r="A957" i="8"/>
  <c r="A956" i="8"/>
  <c r="A955" i="8"/>
  <c r="A954" i="8"/>
  <c r="A953" i="8"/>
  <c r="A952" i="8"/>
  <c r="A951" i="8"/>
  <c r="A950" i="8"/>
  <c r="A949" i="8"/>
  <c r="A948" i="8"/>
  <c r="A947" i="8"/>
  <c r="A946" i="8"/>
  <c r="A945" i="8"/>
  <c r="A944" i="8"/>
  <c r="A943" i="8"/>
  <c r="A942" i="8"/>
  <c r="A941" i="8"/>
  <c r="A940" i="8"/>
  <c r="A939" i="8"/>
  <c r="A938" i="8"/>
  <c r="A937" i="8"/>
  <c r="A936" i="8"/>
  <c r="A935" i="8"/>
  <c r="A934" i="8"/>
  <c r="A933" i="8"/>
  <c r="A932" i="8"/>
  <c r="A931" i="8"/>
  <c r="A930" i="8"/>
  <c r="A929" i="8"/>
  <c r="A928" i="8"/>
  <c r="A927" i="8"/>
  <c r="A926" i="8"/>
  <c r="A925" i="8"/>
  <c r="A924" i="8"/>
  <c r="A923" i="8"/>
  <c r="A922" i="8"/>
  <c r="A921" i="8"/>
  <c r="A920" i="8"/>
  <c r="A919" i="8"/>
  <c r="A918" i="8"/>
  <c r="A917" i="8"/>
  <c r="A916" i="8"/>
  <c r="A915" i="8"/>
  <c r="A914" i="8"/>
  <c r="A913" i="8"/>
  <c r="A912" i="8"/>
  <c r="A911" i="8"/>
  <c r="A910" i="8"/>
  <c r="A909" i="8"/>
  <c r="A908" i="8"/>
  <c r="A907" i="8"/>
  <c r="A906" i="8"/>
  <c r="A905" i="8"/>
  <c r="A904" i="8"/>
  <c r="A903" i="8"/>
  <c r="A902" i="8"/>
  <c r="A901" i="8"/>
  <c r="A900" i="8"/>
  <c r="A899" i="8"/>
  <c r="A898" i="8"/>
  <c r="A897" i="8"/>
  <c r="A896" i="8"/>
  <c r="A895" i="8"/>
  <c r="A894" i="8"/>
  <c r="A893" i="8"/>
  <c r="A892" i="8"/>
  <c r="A891" i="8"/>
  <c r="A890" i="8"/>
  <c r="A889" i="8"/>
  <c r="A888" i="8"/>
  <c r="A887" i="8"/>
  <c r="A886" i="8"/>
  <c r="A885" i="8"/>
  <c r="A884" i="8"/>
  <c r="A883" i="8"/>
  <c r="A882" i="8"/>
  <c r="A881" i="8"/>
  <c r="A880" i="8"/>
  <c r="A879" i="8"/>
  <c r="A878" i="8"/>
  <c r="A877" i="8"/>
  <c r="A876" i="8"/>
  <c r="A875" i="8"/>
  <c r="A874" i="8"/>
  <c r="A873" i="8"/>
  <c r="A872" i="8"/>
  <c r="A871" i="8"/>
  <c r="A870" i="8"/>
  <c r="A869" i="8"/>
  <c r="A868" i="8"/>
  <c r="A867" i="8"/>
  <c r="A866" i="8"/>
  <c r="A865" i="8"/>
  <c r="A864" i="8"/>
  <c r="A863" i="8"/>
  <c r="A862" i="8"/>
  <c r="A861" i="8"/>
  <c r="A860" i="8"/>
  <c r="A859" i="8"/>
  <c r="A858" i="8"/>
  <c r="A857" i="8"/>
  <c r="A856" i="8"/>
  <c r="A855" i="8"/>
  <c r="A854" i="8"/>
  <c r="A853" i="8"/>
  <c r="A852" i="8"/>
  <c r="A851" i="8"/>
  <c r="A850" i="8"/>
  <c r="A849" i="8"/>
  <c r="A848" i="8"/>
  <c r="A847" i="8"/>
  <c r="A846" i="8"/>
  <c r="A845" i="8"/>
  <c r="A844" i="8"/>
  <c r="A843" i="8"/>
  <c r="A842" i="8"/>
  <c r="A841" i="8"/>
  <c r="A840" i="8"/>
  <c r="A839" i="8"/>
  <c r="A838" i="8"/>
  <c r="A837" i="8"/>
  <c r="A836" i="8"/>
  <c r="A835" i="8"/>
  <c r="A834" i="8"/>
  <c r="A833" i="8"/>
  <c r="A832" i="8"/>
  <c r="A831" i="8"/>
  <c r="A830" i="8"/>
  <c r="A829" i="8"/>
  <c r="A828" i="8"/>
  <c r="A827" i="8"/>
  <c r="A826" i="8"/>
  <c r="A825" i="8"/>
  <c r="A824" i="8"/>
  <c r="A823" i="8"/>
  <c r="A822" i="8"/>
  <c r="A821" i="8"/>
  <c r="A820" i="8"/>
  <c r="A819" i="8"/>
  <c r="A818" i="8"/>
  <c r="A817" i="8"/>
  <c r="A816" i="8"/>
  <c r="A815" i="8"/>
  <c r="A814" i="8"/>
  <c r="A813" i="8"/>
  <c r="A812" i="8"/>
  <c r="A811" i="8"/>
  <c r="A810" i="8"/>
  <c r="A809" i="8"/>
  <c r="A808" i="8"/>
  <c r="A807" i="8"/>
  <c r="A806" i="8"/>
  <c r="A805" i="8"/>
  <c r="A804" i="8"/>
  <c r="A803" i="8"/>
  <c r="A802" i="8"/>
  <c r="A801" i="8"/>
  <c r="A800" i="8"/>
  <c r="A799" i="8"/>
  <c r="A798" i="8"/>
  <c r="A797" i="8"/>
  <c r="A796" i="8"/>
  <c r="A795" i="8"/>
  <c r="A794" i="8"/>
  <c r="A793" i="8"/>
  <c r="A792" i="8"/>
  <c r="A791" i="8"/>
  <c r="A790" i="8"/>
  <c r="A789" i="8"/>
  <c r="A788" i="8"/>
  <c r="A787" i="8"/>
  <c r="A786" i="8"/>
  <c r="A785" i="8"/>
  <c r="A784" i="8"/>
  <c r="A783" i="8"/>
  <c r="A782" i="8"/>
  <c r="A781" i="8"/>
  <c r="A780" i="8"/>
  <c r="A779" i="8"/>
  <c r="A778" i="8"/>
  <c r="A777" i="8"/>
  <c r="A776" i="8"/>
  <c r="A775" i="8"/>
  <c r="A774" i="8"/>
  <c r="A773" i="8"/>
  <c r="A772" i="8"/>
  <c r="A771" i="8"/>
  <c r="A770" i="8"/>
  <c r="A769" i="8"/>
  <c r="A768" i="8"/>
  <c r="A767" i="8"/>
  <c r="A766" i="8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N10" i="8"/>
  <c r="A10" i="8"/>
  <c r="N9" i="8"/>
  <c r="A9" i="8"/>
  <c r="A8" i="8"/>
  <c r="N7" i="8"/>
  <c r="A7" i="8"/>
  <c r="N6" i="8"/>
  <c r="A6" i="8"/>
  <c r="N5" i="8"/>
  <c r="A5" i="8"/>
  <c r="N4" i="8"/>
  <c r="A4" i="8"/>
  <c r="N3" i="8"/>
  <c r="A3" i="8"/>
  <c r="N2" i="8"/>
  <c r="A2" i="8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5" i="6"/>
  <c r="J105" i="6"/>
  <c r="I105" i="6"/>
  <c r="K104" i="6"/>
  <c r="J104" i="6"/>
  <c r="I104" i="6"/>
  <c r="K103" i="6"/>
  <c r="J103" i="6"/>
  <c r="I103" i="6"/>
  <c r="K102" i="6"/>
  <c r="J102" i="6"/>
  <c r="I102" i="6"/>
  <c r="K101" i="6"/>
  <c r="J101" i="6"/>
  <c r="I101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5" i="6"/>
  <c r="J65" i="6"/>
  <c r="I65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2" i="6"/>
  <c r="J42" i="6"/>
  <c r="I42" i="6"/>
  <c r="K41" i="6"/>
  <c r="J41" i="6"/>
  <c r="I41" i="6"/>
  <c r="K40" i="6"/>
  <c r="J40" i="6"/>
  <c r="I40" i="6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K34" i="6"/>
  <c r="J34" i="6"/>
  <c r="I34" i="6"/>
  <c r="K33" i="6"/>
  <c r="J33" i="6"/>
  <c r="I33" i="6"/>
  <c r="K32" i="6"/>
  <c r="J32" i="6"/>
  <c r="I32" i="6"/>
  <c r="K31" i="6"/>
  <c r="J31" i="6"/>
  <c r="I31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" i="6"/>
  <c r="J4" i="6"/>
  <c r="I4" i="6"/>
  <c r="K3" i="6"/>
  <c r="J3" i="6"/>
  <c r="I3" i="6"/>
  <c r="K2" i="6"/>
  <c r="J2" i="6"/>
  <c r="I2" i="6"/>
  <c r="L9" i="8" l="1"/>
  <c r="O9" i="8" s="1"/>
  <c r="L2" i="8"/>
  <c r="L3" i="8"/>
  <c r="O3" i="8" s="1"/>
  <c r="O2" i="8"/>
  <c r="M2" i="8"/>
  <c r="L7" i="8"/>
  <c r="L11" i="8"/>
  <c r="L4" i="8"/>
  <c r="L8" i="8"/>
  <c r="L6" i="8"/>
  <c r="L10" i="8"/>
  <c r="L5" i="8"/>
  <c r="M9" i="8" l="1"/>
  <c r="M3" i="8"/>
  <c r="O10" i="8"/>
  <c r="M10" i="8"/>
  <c r="O6" i="8"/>
  <c r="M6" i="8"/>
  <c r="O7" i="8"/>
  <c r="M7" i="8"/>
  <c r="M8" i="8"/>
  <c r="M11" i="8"/>
  <c r="M5" i="8"/>
  <c r="O5" i="8"/>
  <c r="M4" i="8"/>
  <c r="O4" i="8"/>
  <c r="M12" i="8" l="1"/>
  <c r="M13" i="8" s="1"/>
  <c r="M14" i="8" s="1"/>
  <c r="N11" i="8" l="1"/>
  <c r="O11" i="8" s="1"/>
  <c r="N8" i="8" l="1"/>
  <c r="O8" i="8" s="1"/>
  <c r="O12" i="8" s="1"/>
  <c r="O13" i="8" s="1"/>
  <c r="O14" i="8" s="1"/>
</calcChain>
</file>

<file path=xl/sharedStrings.xml><?xml version="1.0" encoding="utf-8"?>
<sst xmlns="http://schemas.openxmlformats.org/spreadsheetml/2006/main" count="4493" uniqueCount="708">
  <si>
    <t>Id</t>
  </si>
  <si>
    <t>Deal Type</t>
  </si>
  <si>
    <t>Counterparty</t>
  </si>
  <si>
    <t>Ccy Bought</t>
  </si>
  <si>
    <t>Amount Bought</t>
  </si>
  <si>
    <t>Deal Rate</t>
  </si>
  <si>
    <t>Ccy Sold</t>
  </si>
  <si>
    <t>Amount Sold</t>
  </si>
  <si>
    <t>Value Date Buy</t>
  </si>
  <si>
    <t>FX1633600003</t>
  </si>
  <si>
    <t>JPY</t>
  </si>
  <si>
    <t>USD</t>
  </si>
  <si>
    <t>Amount</t>
  </si>
  <si>
    <t>Term</t>
  </si>
  <si>
    <t>Date</t>
  </si>
  <si>
    <t>RefNO</t>
  </si>
  <si>
    <t>BR_NO</t>
  </si>
  <si>
    <t>PRODUCT</t>
  </si>
  <si>
    <t>CURRPAIR1</t>
  </si>
  <si>
    <t>CURRPAIR2</t>
  </si>
  <si>
    <t>CUR</t>
  </si>
  <si>
    <t>NPV(Asset)</t>
  </si>
  <si>
    <t>NPV(Liability)</t>
  </si>
  <si>
    <t>NET NPV</t>
  </si>
  <si>
    <t>NPV(Asset)in USD</t>
  </si>
  <si>
    <t>NPV (Liab) in USD</t>
  </si>
  <si>
    <t>NET NPV in USD</t>
  </si>
  <si>
    <t>FX1611700069</t>
  </si>
  <si>
    <t>MYR</t>
  </si>
  <si>
    <t>FX1707500045</t>
  </si>
  <si>
    <t>THB</t>
  </si>
  <si>
    <t>EUR</t>
  </si>
  <si>
    <t>@ID</t>
  </si>
  <si>
    <t>AUD</t>
  </si>
  <si>
    <t>CAD</t>
  </si>
  <si>
    <t>CHF</t>
  </si>
  <si>
    <t>CNY</t>
  </si>
  <si>
    <t>DKK</t>
  </si>
  <si>
    <t>GBP</t>
  </si>
  <si>
    <t>HKD</t>
  </si>
  <si>
    <t>IDR</t>
  </si>
  <si>
    <t>NOK</t>
  </si>
  <si>
    <t>NZD</t>
  </si>
  <si>
    <t>SEK</t>
  </si>
  <si>
    <t>SGD</t>
  </si>
  <si>
    <t>EFFECTIVE.DATE</t>
  </si>
  <si>
    <t>REST.PERIOD</t>
  </si>
  <si>
    <t>REST.DATE</t>
  </si>
  <si>
    <t>DAYS.SINCE.SPOT</t>
  </si>
  <si>
    <t>FORWARD.PREMIUM</t>
  </si>
  <si>
    <t>RATE.INPUT.MKR</t>
  </si>
  <si>
    <t>DATE</t>
  </si>
  <si>
    <t>DAYS</t>
  </si>
  <si>
    <t>RATE</t>
  </si>
  <si>
    <t>AUD1</t>
  </si>
  <si>
    <t>-2D</t>
  </si>
  <si>
    <t>-1D</t>
  </si>
  <si>
    <t>1D</t>
  </si>
  <si>
    <t>7D</t>
  </si>
  <si>
    <t>1M</t>
  </si>
  <si>
    <t>3M</t>
  </si>
  <si>
    <t>6M</t>
  </si>
  <si>
    <t>12M</t>
  </si>
  <si>
    <t>18M</t>
  </si>
  <si>
    <t>24M</t>
  </si>
  <si>
    <t>36M</t>
  </si>
  <si>
    <t>48M</t>
  </si>
  <si>
    <t>60M</t>
  </si>
  <si>
    <t>R</t>
  </si>
  <si>
    <t>CNY1</t>
  </si>
  <si>
    <t>EUR1</t>
  </si>
  <si>
    <t>GBP1</t>
  </si>
  <si>
    <t>HKD1</t>
  </si>
  <si>
    <t>JPY1</t>
  </si>
  <si>
    <t>SGD1</t>
  </si>
  <si>
    <t>THB1</t>
  </si>
  <si>
    <t>USD1</t>
  </si>
  <si>
    <t>Days</t>
  </si>
  <si>
    <t>1W</t>
  </si>
  <si>
    <t>9M</t>
  </si>
  <si>
    <t>RATE ON RISK FACTORS</t>
  </si>
  <si>
    <t>CALCULATION OF DELTA</t>
  </si>
  <si>
    <t>±0</t>
  </si>
  <si>
    <t>+1bp</t>
  </si>
  <si>
    <t>-1bp</t>
  </si>
  <si>
    <t>DELTAMAP</t>
  </si>
  <si>
    <t>PVBP</t>
  </si>
  <si>
    <t>PVBP in USD</t>
  </si>
  <si>
    <t>Currency</t>
  </si>
  <si>
    <t>Value (Total by Currency)</t>
  </si>
  <si>
    <t>Abs(Total) 
(Before Simulation)</t>
  </si>
  <si>
    <t>SIMULATION</t>
  </si>
  <si>
    <t>Abs(Total) 
(After Simulation)</t>
  </si>
  <si>
    <t>FX1706100040</t>
  </si>
  <si>
    <t>FX1706100041</t>
  </si>
  <si>
    <t>FX1706100042</t>
  </si>
  <si>
    <t>FX1706100043</t>
  </si>
  <si>
    <t>FX1706100046</t>
  </si>
  <si>
    <t>FX1706200014</t>
  </si>
  <si>
    <t>TOTAL</t>
  </si>
  <si>
    <t>TOTAL in USD thousand</t>
  </si>
  <si>
    <t>FX1706200026</t>
  </si>
  <si>
    <t>10BPV Limit (USD'000)</t>
  </si>
  <si>
    <t>FX1706200030</t>
  </si>
  <si>
    <t>FX1706200036</t>
  </si>
  <si>
    <t>FX1706500005</t>
  </si>
  <si>
    <t>FX1706500006</t>
  </si>
  <si>
    <t>FX1706500007</t>
  </si>
  <si>
    <t>FX1706500010</t>
  </si>
  <si>
    <t>FX1706500011</t>
  </si>
  <si>
    <t>FX1706500013</t>
  </si>
  <si>
    <t>FX1706500040</t>
  </si>
  <si>
    <t>FX1706500046</t>
  </si>
  <si>
    <t>FX1706600021</t>
  </si>
  <si>
    <t>FX1706600023</t>
  </si>
  <si>
    <t>FX1706700012</t>
  </si>
  <si>
    <t>FX1706800043</t>
  </si>
  <si>
    <t>FX1706800044</t>
  </si>
  <si>
    <t>FX1706900015</t>
  </si>
  <si>
    <t>FX1706900016</t>
  </si>
  <si>
    <t>FX1706900018</t>
  </si>
  <si>
    <t>FX1706900020</t>
  </si>
  <si>
    <t>FX1706900021</t>
  </si>
  <si>
    <t>FX1706900022</t>
  </si>
  <si>
    <t>FX1706900023</t>
  </si>
  <si>
    <t>FX1706900028</t>
  </si>
  <si>
    <t>FX1706900029</t>
  </si>
  <si>
    <t>FX1706900030</t>
  </si>
  <si>
    <t>FX1706900041</t>
  </si>
  <si>
    <t>FX1707200034</t>
  </si>
  <si>
    <t>FX1707200042</t>
  </si>
  <si>
    <t>FX1707200044</t>
  </si>
  <si>
    <t>FX1707300022</t>
  </si>
  <si>
    <t>FX1707400018</t>
  </si>
  <si>
    <t>FX1707400019</t>
  </si>
  <si>
    <t>FX1707400046</t>
  </si>
  <si>
    <t>FX1707500009</t>
  </si>
  <si>
    <t>FX1707500014</t>
  </si>
  <si>
    <t>FX1707500020</t>
  </si>
  <si>
    <t>FX1707500026</t>
  </si>
  <si>
    <t>FX1707500027</t>
  </si>
  <si>
    <t>FX1707500028</t>
  </si>
  <si>
    <t>FX1707500044</t>
  </si>
  <si>
    <t>FX1707500046</t>
  </si>
  <si>
    <t>FX1707500047</t>
  </si>
  <si>
    <t>FX1707500048</t>
  </si>
  <si>
    <t>FX1707500052</t>
  </si>
  <si>
    <t>FX1707500053</t>
  </si>
  <si>
    <t>FX1707500054</t>
  </si>
  <si>
    <t>FX1707600034</t>
  </si>
  <si>
    <t>FX1707600041</t>
  </si>
  <si>
    <t>FX1707600042</t>
  </si>
  <si>
    <t>FX1708000020</t>
  </si>
  <si>
    <t>FX1708000022</t>
  </si>
  <si>
    <t>FX1708000023</t>
  </si>
  <si>
    <t>FX1708100017</t>
  </si>
  <si>
    <t>FX1708100022</t>
  </si>
  <si>
    <t>FX1708200016</t>
  </si>
  <si>
    <t>FX1708200027</t>
  </si>
  <si>
    <t>FX1708300019</t>
  </si>
  <si>
    <t>FX1708300020</t>
  </si>
  <si>
    <t>FX1708300022</t>
  </si>
  <si>
    <t>FX1708300024</t>
  </si>
  <si>
    <t>FX1708300027</t>
  </si>
  <si>
    <t>FX1708300028</t>
  </si>
  <si>
    <t>FX1708300031</t>
  </si>
  <si>
    <t>FX1708300032</t>
  </si>
  <si>
    <t>FX1708300033</t>
  </si>
  <si>
    <t>FX1708300034</t>
  </si>
  <si>
    <t>FX1708300036</t>
  </si>
  <si>
    <t>FX1708300037</t>
  </si>
  <si>
    <t>FX1708300038</t>
  </si>
  <si>
    <t>FX1708300039</t>
  </si>
  <si>
    <t>FX1708300040</t>
  </si>
  <si>
    <t>FX1708300041</t>
  </si>
  <si>
    <t>FX1708300042</t>
  </si>
  <si>
    <t>FX1708300047</t>
  </si>
  <si>
    <t>FX1708300048</t>
  </si>
  <si>
    <t>FX1708300050</t>
  </si>
  <si>
    <t>FX1708600038</t>
  </si>
  <si>
    <t>FX1708600039</t>
  </si>
  <si>
    <t>FX1708600040</t>
  </si>
  <si>
    <t>FX1708600041</t>
  </si>
  <si>
    <t>FX1708600042</t>
  </si>
  <si>
    <t>FX1708600048</t>
  </si>
  <si>
    <t>FX1708600049</t>
  </si>
  <si>
    <t>FX1708600057</t>
  </si>
  <si>
    <t>FX1708600058</t>
  </si>
  <si>
    <t>FX1708700020</t>
  </si>
  <si>
    <t>FX1708700021</t>
  </si>
  <si>
    <t>FX1708700043</t>
  </si>
  <si>
    <t>FX1708700051</t>
  </si>
  <si>
    <t>FX1708700053</t>
  </si>
  <si>
    <t>FX1708700054</t>
  </si>
  <si>
    <t>FX1708700055</t>
  </si>
  <si>
    <t>FX1708700056</t>
  </si>
  <si>
    <t>FX1708800001</t>
  </si>
  <si>
    <t>FX1708800004</t>
  </si>
  <si>
    <t>FX1708800006</t>
  </si>
  <si>
    <t>FX1708800008</t>
  </si>
  <si>
    <t>FX1708800009</t>
  </si>
  <si>
    <t>FX1708800010</t>
  </si>
  <si>
    <t>FX1708800011</t>
  </si>
  <si>
    <t>FX1708800026</t>
  </si>
  <si>
    <t>FX1611700166</t>
  </si>
  <si>
    <t>FX1611700167</t>
  </si>
  <si>
    <t>FX1611700168</t>
  </si>
  <si>
    <t>FX1611700169</t>
  </si>
  <si>
    <t>FX1611700170</t>
  </si>
  <si>
    <t>FX1611700171</t>
  </si>
  <si>
    <t>FX1611700172</t>
  </si>
  <si>
    <t>FX1611700173</t>
  </si>
  <si>
    <t>FX1611700174</t>
  </si>
  <si>
    <t>FX1611700175</t>
  </si>
  <si>
    <t>FX1611700157</t>
  </si>
  <si>
    <t>FX1611700158</t>
  </si>
  <si>
    <t>FX1611700159</t>
  </si>
  <si>
    <t>FX1611700160</t>
  </si>
  <si>
    <t>FX1611700161</t>
  </si>
  <si>
    <t>FX1611700162</t>
  </si>
  <si>
    <t>FX1611700164</t>
  </si>
  <si>
    <t>FX1611700165</t>
  </si>
  <si>
    <t>FX1611700073</t>
  </si>
  <si>
    <t>FX1611700148</t>
  </si>
  <si>
    <t>FX1611700149</t>
  </si>
  <si>
    <t>FX1611700150</t>
  </si>
  <si>
    <t>FX1611700151</t>
  </si>
  <si>
    <t>FX1611700152</t>
  </si>
  <si>
    <t>FX1611700153</t>
  </si>
  <si>
    <t>FX1611700071</t>
  </si>
  <si>
    <t>FX1611700155</t>
  </si>
  <si>
    <t>FX1611700156</t>
  </si>
  <si>
    <t>FX1611700141</t>
  </si>
  <si>
    <t>FX1611700142</t>
  </si>
  <si>
    <t>FX1611700143</t>
  </si>
  <si>
    <t>FX1611700070</t>
  </si>
  <si>
    <t>FX1611700144</t>
  </si>
  <si>
    <t>FX1611700145</t>
  </si>
  <si>
    <t>FX1611700146</t>
  </si>
  <si>
    <t>FX1611700147</t>
  </si>
  <si>
    <t>FX1611700134</t>
  </si>
  <si>
    <t>FX1611700135</t>
  </si>
  <si>
    <t>FX1611700136</t>
  </si>
  <si>
    <t>FX1611700137</t>
  </si>
  <si>
    <t>FX1611700138</t>
  </si>
  <si>
    <t>FX1611700139</t>
  </si>
  <si>
    <t>FX1611700140</t>
  </si>
  <si>
    <t>FX1611700127</t>
  </si>
  <si>
    <t>FX1611700128</t>
  </si>
  <si>
    <t>FX1611700129</t>
  </si>
  <si>
    <t>FX1611700130</t>
  </si>
  <si>
    <t>FX1611700131</t>
  </si>
  <si>
    <t>FX1611700132</t>
  </si>
  <si>
    <t>FX1611700133</t>
  </si>
  <si>
    <t>FX1611700121</t>
  </si>
  <si>
    <t>FX1611700122</t>
  </si>
  <si>
    <t>FX1611700123</t>
  </si>
  <si>
    <t>FX1611700067</t>
  </si>
  <si>
    <t>FX1611700124</t>
  </si>
  <si>
    <t>FX1611700125</t>
  </si>
  <si>
    <t>FX1611700126</t>
  </si>
  <si>
    <t>FX1611700115</t>
  </si>
  <si>
    <t>FX1611700116</t>
  </si>
  <si>
    <t>FX1611700117</t>
  </si>
  <si>
    <t>FX1611700118</t>
  </si>
  <si>
    <t>FX1611700119</t>
  </si>
  <si>
    <t>FX1611700120</t>
  </si>
  <si>
    <t>FX1611700110</t>
  </si>
  <si>
    <t>FX1611700111</t>
  </si>
  <si>
    <t>FX1611700112</t>
  </si>
  <si>
    <t>FX1611700113</t>
  </si>
  <si>
    <t>FX1611700065</t>
  </si>
  <si>
    <t>FX1611700114</t>
  </si>
  <si>
    <t>FX1611700103</t>
  </si>
  <si>
    <t>FX1611700104</t>
  </si>
  <si>
    <t>FX1611700105</t>
  </si>
  <si>
    <t>FX1611700107</t>
  </si>
  <si>
    <t>FX1611700108</t>
  </si>
  <si>
    <t>FX1611700098</t>
  </si>
  <si>
    <t>FX1611700099</t>
  </si>
  <si>
    <t>FX1611700100</t>
  </si>
  <si>
    <t>FX1611700060</t>
  </si>
  <si>
    <t>FX1611700102</t>
  </si>
  <si>
    <t>FX1611700092</t>
  </si>
  <si>
    <t>FX1611700093</t>
  </si>
  <si>
    <t>FX1611700094</t>
  </si>
  <si>
    <t>FX1611700095</t>
  </si>
  <si>
    <t>FX1611700096</t>
  </si>
  <si>
    <t>FX1611700087</t>
  </si>
  <si>
    <t>FX1610200014</t>
  </si>
  <si>
    <t>FX1611700089</t>
  </si>
  <si>
    <t>FX1611700090</t>
  </si>
  <si>
    <t>FX1611700083</t>
  </si>
  <si>
    <t>FX1611700084</t>
  </si>
  <si>
    <t>FX1611700085</t>
  </si>
  <si>
    <t>FX1611700086</t>
  </si>
  <si>
    <t>FX1705300039</t>
  </si>
  <si>
    <t>FX1705300048</t>
  </si>
  <si>
    <t>FX1705300051</t>
  </si>
  <si>
    <t>FX1705500042</t>
  </si>
  <si>
    <t>FX1705500043</t>
  </si>
  <si>
    <t>FX1705500048</t>
  </si>
  <si>
    <t>FX1705500049</t>
  </si>
  <si>
    <t>FX1705800037</t>
  </si>
  <si>
    <t>FX1705900050</t>
  </si>
  <si>
    <t>FX1705900053</t>
  </si>
  <si>
    <t>FX1705900054</t>
  </si>
  <si>
    <t>FX1705900056</t>
  </si>
  <si>
    <t>FX1706000035</t>
  </si>
  <si>
    <t>FX1706000037</t>
  </si>
  <si>
    <t>FX1706100023</t>
  </si>
  <si>
    <t>FX1706100024</t>
  </si>
  <si>
    <t>FX1706100030</t>
  </si>
  <si>
    <t>FX1706100032</t>
  </si>
  <si>
    <t>FX1706100038</t>
  </si>
  <si>
    <t>FX1706100039</t>
  </si>
  <si>
    <t>FX1611700081</t>
  </si>
  <si>
    <t>FX1611700082</t>
  </si>
  <si>
    <t>FX1609600029</t>
  </si>
  <si>
    <t>FX1611700074</t>
  </si>
  <si>
    <t>FX1611700176</t>
  </si>
  <si>
    <t>FX1613200041</t>
  </si>
  <si>
    <t>FX1613200049</t>
  </si>
  <si>
    <t>FX1614500053</t>
  </si>
  <si>
    <t>FX1616000003</t>
  </si>
  <si>
    <t>FX1616000037</t>
  </si>
  <si>
    <t>FX1616000040</t>
  </si>
  <si>
    <t>FX1616700021</t>
  </si>
  <si>
    <t>FX1616700022</t>
  </si>
  <si>
    <t>FX1620700033</t>
  </si>
  <si>
    <t>FX1620700035</t>
  </si>
  <si>
    <t>FX1622200020</t>
  </si>
  <si>
    <t>FX1622200025</t>
  </si>
  <si>
    <t>FX1622200031</t>
  </si>
  <si>
    <t>FX1623000026</t>
  </si>
  <si>
    <t>FX1623000027</t>
  </si>
  <si>
    <t>FX1623700017</t>
  </si>
  <si>
    <t>FX1625000038</t>
  </si>
  <si>
    <t>FX1625000039</t>
  </si>
  <si>
    <t>FX1625700028</t>
  </si>
  <si>
    <t>FX1625700029</t>
  </si>
  <si>
    <t>FX1628100021</t>
  </si>
  <si>
    <t>FX1628600026</t>
  </si>
  <si>
    <t>FX1628600030</t>
  </si>
  <si>
    <t>FX1628700032</t>
  </si>
  <si>
    <t>FX1629100016</t>
  </si>
  <si>
    <t>FX1630500020</t>
  </si>
  <si>
    <t>FX1630500025</t>
  </si>
  <si>
    <t>FX1630600002</t>
  </si>
  <si>
    <t>FX1630600003</t>
  </si>
  <si>
    <t>FX1630600004</t>
  </si>
  <si>
    <t>FX1630600005</t>
  </si>
  <si>
    <t>FX1630600007</t>
  </si>
  <si>
    <t>FX1630600008</t>
  </si>
  <si>
    <t>FX1631400034</t>
  </si>
  <si>
    <t>FX1631400035</t>
  </si>
  <si>
    <t>FX1631400036</t>
  </si>
  <si>
    <t>FX1631500008</t>
  </si>
  <si>
    <t>FX1631500009</t>
  </si>
  <si>
    <t>FX1631600011</t>
  </si>
  <si>
    <t>FX1631600013</t>
  </si>
  <si>
    <t>FX1631600017</t>
  </si>
  <si>
    <t>FX1631600018</t>
  </si>
  <si>
    <t>FX1631600023</t>
  </si>
  <si>
    <t>FX1631600024</t>
  </si>
  <si>
    <t>FX1631900016</t>
  </si>
  <si>
    <t>FX1631900017</t>
  </si>
  <si>
    <t>FX1632000024</t>
  </si>
  <si>
    <t>FX1632000025</t>
  </si>
  <si>
    <t>FX1632000030</t>
  </si>
  <si>
    <t>FX1632000031</t>
  </si>
  <si>
    <t>FX1632100010</t>
  </si>
  <si>
    <t>FX1632100011</t>
  </si>
  <si>
    <t>FX1632100037</t>
  </si>
  <si>
    <t>FX1632100038</t>
  </si>
  <si>
    <t>FX1632100039</t>
  </si>
  <si>
    <t>FX1632100046</t>
  </si>
  <si>
    <t>FX1632100047</t>
  </si>
  <si>
    <t>FX1632100048</t>
  </si>
  <si>
    <t>FX1632200015</t>
  </si>
  <si>
    <t>FX1632200016</t>
  </si>
  <si>
    <t>FX1632200023</t>
  </si>
  <si>
    <t>FX1632200024</t>
  </si>
  <si>
    <t>FX1632200029</t>
  </si>
  <si>
    <t>FX1632300017</t>
  </si>
  <si>
    <t>FX1632300018</t>
  </si>
  <si>
    <t>FX1632300030</t>
  </si>
  <si>
    <t>FX1632300038</t>
  </si>
  <si>
    <t>FX1632600005</t>
  </si>
  <si>
    <t>FX1632600006</t>
  </si>
  <si>
    <t>FX1632600022</t>
  </si>
  <si>
    <t>FX1632600023</t>
  </si>
  <si>
    <t>FX1632600024</t>
  </si>
  <si>
    <t>FX1632600028</t>
  </si>
  <si>
    <t>FX1632600029</t>
  </si>
  <si>
    <t>FX1632600030</t>
  </si>
  <si>
    <t>FX1632600031</t>
  </si>
  <si>
    <t>FX1632600032</t>
  </si>
  <si>
    <t>FX1632600033</t>
  </si>
  <si>
    <t>FX1632600049</t>
  </si>
  <si>
    <t>FX1632600050</t>
  </si>
  <si>
    <t>FX1632600052</t>
  </si>
  <si>
    <t>FX1632600053</t>
  </si>
  <si>
    <t>FX1632900010</t>
  </si>
  <si>
    <t>FX1632900011</t>
  </si>
  <si>
    <t>FX1632900013</t>
  </si>
  <si>
    <t>FX1633000013</t>
  </si>
  <si>
    <t>FX1633000014</t>
  </si>
  <si>
    <t>FX1633600002</t>
  </si>
  <si>
    <t>FX1633600004</t>
  </si>
  <si>
    <t>FX1611700076</t>
  </si>
  <si>
    <t>FX1633600005</t>
  </si>
  <si>
    <t>FX1633600007</t>
  </si>
  <si>
    <t>FX1633600008</t>
  </si>
  <si>
    <t>FX1633700023</t>
  </si>
  <si>
    <t>FX1633700024</t>
  </si>
  <si>
    <t>FX1633700025</t>
  </si>
  <si>
    <t>FX1634000043</t>
  </si>
  <si>
    <t>FX1634000045</t>
  </si>
  <si>
    <t>FX1634000046</t>
  </si>
  <si>
    <t>FX1634000048</t>
  </si>
  <si>
    <t>FX1634000052</t>
  </si>
  <si>
    <t>FX1634000054</t>
  </si>
  <si>
    <t>FX1635000035</t>
  </si>
  <si>
    <t>FX1635000037</t>
  </si>
  <si>
    <t>FX1635100042</t>
  </si>
  <si>
    <t>FX1635100043</t>
  </si>
  <si>
    <t>FX1635400026</t>
  </si>
  <si>
    <t>FX1635400027</t>
  </si>
  <si>
    <t>FX1635400050</t>
  </si>
  <si>
    <t>FX1635400052</t>
  </si>
  <si>
    <t>FX1635400064</t>
  </si>
  <si>
    <t>FX1635500024</t>
  </si>
  <si>
    <t>FX1635500025</t>
  </si>
  <si>
    <t>FX1636300013</t>
  </si>
  <si>
    <t>FX1636300038</t>
  </si>
  <si>
    <t>FX1636400043</t>
  </si>
  <si>
    <t>FX1636400057</t>
  </si>
  <si>
    <t>FX1636500035</t>
  </si>
  <si>
    <t>FX1636500037</t>
  </si>
  <si>
    <t>FX1636500040</t>
  </si>
  <si>
    <t>FX1636500042</t>
  </si>
  <si>
    <t>FX1700500018</t>
  </si>
  <si>
    <t>FX1700500020</t>
  </si>
  <si>
    <t>FX1700600023</t>
  </si>
  <si>
    <t>FX1701700037</t>
  </si>
  <si>
    <t>FX1701800011</t>
  </si>
  <si>
    <t>FX1701800017</t>
  </si>
  <si>
    <t>FX1702000010</t>
  </si>
  <si>
    <t>FX1702000021</t>
  </si>
  <si>
    <t>FX1702000022</t>
  </si>
  <si>
    <t>FX1702000024</t>
  </si>
  <si>
    <t>FX1702000041</t>
  </si>
  <si>
    <t>FX1702000043</t>
  </si>
  <si>
    <t>FX1702000044</t>
  </si>
  <si>
    <t>FX1702000045</t>
  </si>
  <si>
    <t>FX1702000046</t>
  </si>
  <si>
    <t>FX1702000047</t>
  </si>
  <si>
    <t>FX1702000048</t>
  </si>
  <si>
    <t>FX1702000049</t>
  </si>
  <si>
    <t>FX1702000050</t>
  </si>
  <si>
    <t>FX1702000072</t>
  </si>
  <si>
    <t>FX1702400027</t>
  </si>
  <si>
    <t>FX1702400028</t>
  </si>
  <si>
    <t>FX1702400029</t>
  </si>
  <si>
    <t>FX1702500027</t>
  </si>
  <si>
    <t>FX1702500028</t>
  </si>
  <si>
    <t>FX1702500031</t>
  </si>
  <si>
    <t>FX1702500037</t>
  </si>
  <si>
    <t>FX1702500040</t>
  </si>
  <si>
    <t>FX1702500041</t>
  </si>
  <si>
    <t>FX1702500043</t>
  </si>
  <si>
    <t>FX1702500046</t>
  </si>
  <si>
    <t>FX1702500047</t>
  </si>
  <si>
    <t>FX1702500048</t>
  </si>
  <si>
    <t>FX1702500049</t>
  </si>
  <si>
    <t>FX1702600042</t>
  </si>
  <si>
    <t>FX1702600063</t>
  </si>
  <si>
    <t>FX1702600064</t>
  </si>
  <si>
    <t>FX1702600065</t>
  </si>
  <si>
    <t>FX1702600066</t>
  </si>
  <si>
    <t>FX1702600070</t>
  </si>
  <si>
    <t>FX1702600072</t>
  </si>
  <si>
    <t>FX1702600073</t>
  </si>
  <si>
    <t>FX1702600074</t>
  </si>
  <si>
    <t>FX1702600080</t>
  </si>
  <si>
    <t>FX1702600081</t>
  </si>
  <si>
    <t>FX1702600082</t>
  </si>
  <si>
    <t>FX1702600085</t>
  </si>
  <si>
    <t>FX1702700038</t>
  </si>
  <si>
    <t>FX1702700039</t>
  </si>
  <si>
    <t>FX1702700040</t>
  </si>
  <si>
    <t>FX1702700042</t>
  </si>
  <si>
    <t>FX1702700052</t>
  </si>
  <si>
    <t>FX1703100028</t>
  </si>
  <si>
    <t>FX1703100029</t>
  </si>
  <si>
    <t>FX1703100030</t>
  </si>
  <si>
    <t>FX1703100031</t>
  </si>
  <si>
    <t>FX1703300023</t>
  </si>
  <si>
    <t>FX1703300025</t>
  </si>
  <si>
    <t>FX1703300028</t>
  </si>
  <si>
    <t>FX1703300032</t>
  </si>
  <si>
    <t>FX1703400017</t>
  </si>
  <si>
    <t>FX1703400019</t>
  </si>
  <si>
    <t>FX1703400031</t>
  </si>
  <si>
    <t>FX1703700013</t>
  </si>
  <si>
    <t>FX1703700014</t>
  </si>
  <si>
    <t>FX1703700015</t>
  </si>
  <si>
    <t>FX1703700016</t>
  </si>
  <si>
    <t>FX1703700025</t>
  </si>
  <si>
    <t>FX1703800017</t>
  </si>
  <si>
    <t>FX1611700078</t>
  </si>
  <si>
    <t>FX1703800018</t>
  </si>
  <si>
    <t>FX1703800019</t>
  </si>
  <si>
    <t>FX1703800020</t>
  </si>
  <si>
    <t>FX1703800021</t>
  </si>
  <si>
    <t>FX1703800023</t>
  </si>
  <si>
    <t>FX1703800025</t>
  </si>
  <si>
    <t>FX1703800027</t>
  </si>
  <si>
    <t>FX1703800033</t>
  </si>
  <si>
    <t>FX1703800035</t>
  </si>
  <si>
    <t>FX1703800036</t>
  </si>
  <si>
    <t>FX1703800041</t>
  </si>
  <si>
    <t>FX1703800044</t>
  </si>
  <si>
    <t>FX1703900014</t>
  </si>
  <si>
    <t>FX1703900015</t>
  </si>
  <si>
    <t>FX1703900016</t>
  </si>
  <si>
    <t>FX1703900017</t>
  </si>
  <si>
    <t>FX1703900018</t>
  </si>
  <si>
    <t>FX1704100011</t>
  </si>
  <si>
    <t>FX1704100012</t>
  </si>
  <si>
    <t>FX1704100013</t>
  </si>
  <si>
    <t>FX1704100014</t>
  </si>
  <si>
    <t>FX1704100015</t>
  </si>
  <si>
    <t>FX1704100017</t>
  </si>
  <si>
    <t>FX1704100031</t>
  </si>
  <si>
    <t>FX1704100044</t>
  </si>
  <si>
    <t>FX1704100045</t>
  </si>
  <si>
    <t>FX1704100049</t>
  </si>
  <si>
    <t>FX1704400025</t>
  </si>
  <si>
    <t>FX1704400026</t>
  </si>
  <si>
    <t>FX1704400027</t>
  </si>
  <si>
    <t>FX1704400028</t>
  </si>
  <si>
    <t>FX1704400029</t>
  </si>
  <si>
    <t>FX1704400039</t>
  </si>
  <si>
    <t>FX1704400040</t>
  </si>
  <si>
    <t>FX1704600018</t>
  </si>
  <si>
    <t>FX1704600019</t>
  </si>
  <si>
    <t>FX1704800019</t>
  </si>
  <si>
    <t>FX1704800020</t>
  </si>
  <si>
    <t>FX1704800021</t>
  </si>
  <si>
    <t>FX1704800022</t>
  </si>
  <si>
    <t>FX1705100015</t>
  </si>
  <si>
    <t>FX1705100018</t>
  </si>
  <si>
    <t>FX1705100019</t>
  </si>
  <si>
    <t>FX1705100020</t>
  </si>
  <si>
    <t>FX1705300020</t>
  </si>
  <si>
    <t>FX1705300022</t>
  </si>
  <si>
    <t>FX1705300023</t>
  </si>
  <si>
    <t>FX1705300024</t>
  </si>
  <si>
    <t>FX1705300025</t>
  </si>
  <si>
    <t>FX1705300038</t>
  </si>
  <si>
    <t>Sub Total by Currency</t>
  </si>
  <si>
    <t>Grand Total</t>
  </si>
  <si>
    <t>IFERROR(IFERROR(VLOOKUP($J$4,INDIRECT(A13&amp;"RF"),1,FALSE),LARGE(INDIRECT(A13&amp;"RF"),COUNTIF(INDIRECT(A13&amp;"RF"),"&gt;="&amp;$J$4)+1)),0)</t>
  </si>
  <si>
    <t>IFERROR(VLOOKUP($J$4,INDIRECT(A13&amp;"RF"),1,FALSE),SMALL(INDIRECT(A13&amp;"RF"),COUNTIF(INDIRECT(A13&amp;"RF"),"&lt;="&amp;$J$4)+1))</t>
  </si>
  <si>
    <t>term</t>
  </si>
  <si>
    <t>VLOOKUP(CONCATENATE(A13,B13),MYC_PERIODIC_INTEREST!N:Q,4,FALSE)</t>
  </si>
  <si>
    <t>IF(B13=0,0,C13+0.01)</t>
  </si>
  <si>
    <t>c14+0.01</t>
  </si>
  <si>
    <t>IF(B13=0,0,C13-0.01)</t>
  </si>
  <si>
    <t>Delta +1bp</t>
  </si>
  <si>
    <t>IF(B13=0,0,IF($J4=$B13,D13,D13+(C14-D13)*($J$4-B13)/(B14-B13)))</t>
  </si>
  <si>
    <t>IF($B14=$J4,D14,C13+(D14-C13)*($J$4-B13)/(B14-B13))</t>
  </si>
  <si>
    <t>IF(B13=0,0,IF($B13=$J4,E13,E13+(C14-E13)*($J$4-B13)/(B14-B13)))</t>
  </si>
  <si>
    <t>IF($B14=$J4,E14,C13+(E14-C13)*($J$4-B13)/(B14-B13))</t>
  </si>
  <si>
    <t>DF +1bp</t>
  </si>
  <si>
    <t>IF(B13=0,0,1/(1+F13%*$J$4/IF(OR($A$13="USD",$A$13="AUD",$A$13="CNY",$A$13="EUR",$A$13="JPY"),"360","365")))</t>
  </si>
  <si>
    <t>1/(1+F14%*$J$4/IF(OR($A$13="USD",$A$13="AUD",$A$13="CNY",$A$13="EUR",$A$13="JPY"),"360","365"))</t>
  </si>
  <si>
    <t>DF-1bp</t>
  </si>
  <si>
    <t>IF(B13=0,0,1/(1+G13%*$J$4/IF(OR($A$13="USD",$A$13="AUD",$A$13="CNY",$A$13="EUR",$A$13="JPY"),"360","365")))</t>
  </si>
  <si>
    <t>1/(1+G14%*$J$4/IF(OR($A$13="USD",$A$13="AUD",$A$13="CNY",$A$13="EUR",$A$13="JPY"),"360","365"))</t>
  </si>
  <si>
    <t>PV +1bp</t>
  </si>
  <si>
    <t>$E$4*H13</t>
  </si>
  <si>
    <t>PV-1bp</t>
  </si>
  <si>
    <t>Delta Map</t>
  </si>
  <si>
    <t>(J27-K27)/2</t>
  </si>
  <si>
    <t>IF(B13=B14,10*(L13+L14)/2,10*(L13+L14))</t>
  </si>
  <si>
    <t>IF(A13="USD",M13,M13*VLOOKUP(A13,MYC_Currency!A:W,23,FALSE))</t>
  </si>
  <si>
    <t>convert using spot date</t>
  </si>
  <si>
    <t>DUMMY</t>
  </si>
  <si>
    <t>Base Date</t>
  </si>
  <si>
    <t>TRE</t>
  </si>
  <si>
    <t>RMD</t>
  </si>
  <si>
    <t>RMD | TRE</t>
  </si>
  <si>
    <t>via email</t>
  </si>
  <si>
    <t>EOD</t>
  </si>
  <si>
    <t>Macro involve</t>
  </si>
  <si>
    <t>SW</t>
  </si>
  <si>
    <t>HSBCMY</t>
  </si>
  <si>
    <t>FX1234</t>
  </si>
  <si>
    <t>FX1235</t>
  </si>
  <si>
    <t>FX1236</t>
  </si>
  <si>
    <t>FX1237</t>
  </si>
  <si>
    <t>FX1238</t>
  </si>
  <si>
    <t>Real ID</t>
  </si>
  <si>
    <t>FX1613200048</t>
  </si>
  <si>
    <t>MAY</t>
  </si>
  <si>
    <t>FX1613200040</t>
  </si>
  <si>
    <t>FX1616000002</t>
  </si>
  <si>
    <t>MHCBSG</t>
  </si>
  <si>
    <t>FX1616000036</t>
  </si>
  <si>
    <t>FX1622200019</t>
  </si>
  <si>
    <t>FX1239</t>
  </si>
  <si>
    <t>MHCBTK</t>
  </si>
  <si>
    <t>FX1622200024</t>
  </si>
  <si>
    <t>FX1240</t>
  </si>
  <si>
    <t>FX1631300015</t>
  </si>
  <si>
    <t>FX1241</t>
  </si>
  <si>
    <t>FX1631300007</t>
  </si>
  <si>
    <t>FX1242</t>
  </si>
  <si>
    <t>FX1632200028</t>
  </si>
  <si>
    <t>FX1243</t>
  </si>
  <si>
    <t>FX1632300029</t>
  </si>
  <si>
    <t>FX1244</t>
  </si>
  <si>
    <t>FX1632300033</t>
  </si>
  <si>
    <t>FX1245</t>
  </si>
  <si>
    <t>HLBK</t>
  </si>
  <si>
    <t>FX1634000044</t>
  </si>
  <si>
    <t>FX1246</t>
  </si>
  <si>
    <t>FX1634000047</t>
  </si>
  <si>
    <t>FX1247</t>
  </si>
  <si>
    <t>FX1634000051</t>
  </si>
  <si>
    <t>FX1248</t>
  </si>
  <si>
    <t>FX1634000053</t>
  </si>
  <si>
    <t>FX1249</t>
  </si>
  <si>
    <t>FX1635400063</t>
  </si>
  <si>
    <t>FX1250</t>
  </si>
  <si>
    <t>FX1635400047</t>
  </si>
  <si>
    <t>FX1251</t>
  </si>
  <si>
    <t>FX1635400049</t>
  </si>
  <si>
    <t>Reporting Date</t>
  </si>
  <si>
    <r>
      <t xml:space="preserve">  (please key-in the reporting date. Format: </t>
    </r>
    <r>
      <rPr>
        <b/>
        <i/>
        <sz val="8"/>
        <color theme="1"/>
        <rFont val="Arial"/>
        <family val="2"/>
      </rPr>
      <t>dd/mm/yyyy</t>
    </r>
    <r>
      <rPr>
        <i/>
        <sz val="8"/>
        <color theme="1"/>
        <rFont val="Arial"/>
        <family val="2"/>
      </rPr>
      <t>)</t>
    </r>
  </si>
  <si>
    <t>Previous Day's 
Reporting Date</t>
  </si>
  <si>
    <r>
      <t xml:space="preserve">  (please key-in the previous day's reporting date. Format: </t>
    </r>
    <r>
      <rPr>
        <b/>
        <i/>
        <sz val="8"/>
        <color theme="1"/>
        <rFont val="Arial"/>
        <family val="2"/>
      </rPr>
      <t>dd/mm/yyyy</t>
    </r>
    <r>
      <rPr>
        <i/>
        <sz val="8"/>
        <color theme="1"/>
        <rFont val="Arial"/>
        <family val="2"/>
      </rPr>
      <t>)</t>
    </r>
  </si>
  <si>
    <t>Types of Report</t>
  </si>
  <si>
    <t xml:space="preserve"> (please select one from the drop-down list)</t>
  </si>
  <si>
    <r>
      <rPr>
        <b/>
        <u/>
        <sz val="12"/>
        <color theme="1"/>
        <rFont val="Arial"/>
        <family val="2"/>
      </rPr>
      <t>GMRS and IBU Calculation</t>
    </r>
    <r>
      <rPr>
        <u/>
        <sz val="12"/>
        <color theme="1"/>
        <rFont val="Arial"/>
        <family val="2"/>
      </rPr>
      <t xml:space="preserve"> </t>
    </r>
    <r>
      <rPr>
        <i/>
        <u/>
        <sz val="12"/>
        <color theme="1"/>
        <rFont val="Arial"/>
        <family val="2"/>
      </rPr>
      <t>(to include Dummy Deals for Swap Deposit)</t>
    </r>
  </si>
  <si>
    <t>For Checking Purposes:</t>
  </si>
  <si>
    <t>No of Dummy deals:</t>
  </si>
  <si>
    <t>BOENPV</t>
  </si>
  <si>
    <t>Lines created for</t>
  </si>
  <si>
    <t>DMAP</t>
  </si>
  <si>
    <t>FXDELTA</t>
  </si>
  <si>
    <t>FX10BPV</t>
  </si>
  <si>
    <r>
      <t xml:space="preserve">           
           </t>
    </r>
    <r>
      <rPr>
        <b/>
        <i/>
        <u/>
        <sz val="8"/>
        <color theme="1"/>
        <rFont val="Arial"/>
        <family val="2"/>
      </rPr>
      <t>Note:</t>
    </r>
    <r>
      <rPr>
        <i/>
        <sz val="8"/>
        <color theme="1"/>
        <rFont val="Arial"/>
        <family val="2"/>
      </rPr>
      <t xml:space="preserve">
           Please ensure the listed files below are prepared prior calculating
           and generating the reports:
                (a) </t>
    </r>
    <r>
      <rPr>
        <b/>
        <i/>
        <sz val="8"/>
        <color rgb="FFFF0000"/>
        <rFont val="Arial"/>
        <family val="2"/>
      </rPr>
      <t>MYC_PERIODIC_INTEREST_yyyymmdd_FINAL</t>
    </r>
    <r>
      <rPr>
        <b/>
        <i/>
        <sz val="8"/>
        <color theme="1"/>
        <rFont val="Arial"/>
        <family val="2"/>
      </rPr>
      <t>**</t>
    </r>
    <r>
      <rPr>
        <b/>
        <i/>
        <sz val="8"/>
        <color rgb="FFFF0000"/>
        <rFont val="Arial"/>
        <family val="2"/>
      </rPr>
      <t>.csv</t>
    </r>
    <r>
      <rPr>
        <i/>
        <sz val="8"/>
        <color theme="1"/>
        <rFont val="Arial"/>
        <family val="2"/>
      </rPr>
      <t xml:space="preserve">
                      - ** (FLASH1, FLASH2, FLASH3, FLASH4)
                      - (Path: FX &amp; MM PL\Swap Depo Calculation\Periodic Interest)
               (b) </t>
    </r>
    <r>
      <rPr>
        <b/>
        <i/>
        <sz val="8"/>
        <color rgb="FFFF0000"/>
        <rFont val="Arial"/>
        <family val="2"/>
      </rPr>
      <t>MYC_CURRENCY.csv</t>
    </r>
    <r>
      <rPr>
        <i/>
        <sz val="8"/>
        <color theme="1"/>
        <rFont val="Arial"/>
        <family val="2"/>
      </rPr>
      <t xml:space="preserve">
                      - (Path: FX &amp; MM PL\yyyymmdd\FX\Final)</t>
    </r>
  </si>
  <si>
    <t>Transaction ID</t>
  </si>
  <si>
    <t>Value Date</t>
  </si>
  <si>
    <t>Ccy1</t>
  </si>
  <si>
    <t>Amt Ccy1</t>
  </si>
  <si>
    <t>Ccy2</t>
  </si>
  <si>
    <t>Amt Ccy2</t>
  </si>
  <si>
    <t>Position Ccy1</t>
  </si>
  <si>
    <t>Position Ccy2</t>
  </si>
  <si>
    <t>CF</t>
    <phoneticPr fontId="2"/>
  </si>
  <si>
    <t>CALC RESULTS</t>
  </si>
  <si>
    <t>Grid(First)</t>
    <phoneticPr fontId="2"/>
  </si>
  <si>
    <t>±0</t>
    <phoneticPr fontId="2"/>
  </si>
  <si>
    <t>-1bp</t>
    <phoneticPr fontId="2"/>
  </si>
  <si>
    <t>Grid(Second)</t>
    <phoneticPr fontId="2"/>
  </si>
  <si>
    <t>FXNPV</t>
  </si>
  <si>
    <t>DF</t>
    <phoneticPr fontId="2"/>
  </si>
  <si>
    <t>PV</t>
    <phoneticPr fontId="2"/>
  </si>
  <si>
    <t>10BPV Calculation of Offset Transaction</t>
  </si>
  <si>
    <t>№</t>
    <phoneticPr fontId="1"/>
  </si>
  <si>
    <t>GRID.POINT</t>
    <phoneticPr fontId="1"/>
  </si>
  <si>
    <t>GRID.DAYS</t>
    <phoneticPr fontId="1"/>
  </si>
  <si>
    <t>2M</t>
    <phoneticPr fontId="1"/>
  </si>
  <si>
    <t>15M</t>
  </si>
  <si>
    <t>21M</t>
  </si>
  <si>
    <t>RISK FACTORS</t>
  </si>
  <si>
    <t>1. Please key in the 12-character Swap Depo Transaction ID (e.g. FX1611700060) and click "Run".</t>
  </si>
  <si>
    <t>2. Please check the base date, market data and calculations.</t>
  </si>
  <si>
    <t xml:space="preserve">If the original transaction is buy USD sell MYR, the offset transaction here will be buy MYR sell USD. </t>
  </si>
  <si>
    <t>Once the "Run" macro is selected, all the white and blue cells will be auto-populated with the original data and BPV calculations.</t>
  </si>
  <si>
    <t>1BPV</t>
  </si>
  <si>
    <t>10BPV</t>
  </si>
  <si>
    <t>10BPV (USD)</t>
  </si>
  <si>
    <t xml:space="preserve">3. Please click "Next" once the details for the current offset transaction are in order. </t>
  </si>
  <si>
    <t>T24 System</t>
  </si>
  <si>
    <t>Category 2 EUC</t>
  </si>
  <si>
    <t>FX1721500023</t>
  </si>
  <si>
    <t>FX1721500031</t>
  </si>
  <si>
    <t>FX1721500037</t>
  </si>
  <si>
    <t>FX1721500014</t>
  </si>
  <si>
    <t>FX1721600007</t>
  </si>
  <si>
    <t>FX1721600008</t>
  </si>
  <si>
    <t>FX1721600014</t>
  </si>
  <si>
    <t>FX1721900024</t>
  </si>
  <si>
    <t>NEW</t>
  </si>
  <si>
    <t>Swap deposit transactions</t>
  </si>
  <si>
    <t>Market Data</t>
  </si>
  <si>
    <t>Exchange rates</t>
  </si>
  <si>
    <t>1. New offset transactions
2. Outstanding offset transactions</t>
  </si>
  <si>
    <t>*Macro will allow user to key in the next Transaction ID above and repeat the same process. New offset transactions that are created will be appended below preceding ones.</t>
  </si>
  <si>
    <t xml:space="preserve">4. Please click "Update" to refresh all outstanding transactions that have been keyed previously. </t>
  </si>
  <si>
    <t xml:space="preserve">5. Please click "Export" once all the offset transactions have been keyed and refreshed. </t>
  </si>
  <si>
    <r>
      <t xml:space="preserve">*The macro is NOT READY. </t>
    </r>
    <r>
      <rPr>
        <i/>
        <sz val="9"/>
        <color theme="0"/>
        <rFont val="Arial"/>
        <family val="2"/>
      </rPr>
      <t>Macro will combine all the new and outstanding offset transactions created in Steps 3 and 4 with the original 10BPV file from T24. User will need to verify the csv file before uploading into Cat2 system.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</si>
</sst>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3" formatCode="_(* #,##0.00_);_(* \(#,##0.00\);_(* &quot;-&quot;??_);_(@_)"/>
    <numFmt numFmtId="164" formatCode="0.00000000"/>
    <numFmt numFmtId="165" formatCode="_(* #,##0.000_);_(* \(#,##0.000\);_(* &quot;-&quot;??_);_(@_)"/>
    <numFmt numFmtId="166" formatCode="0_ "/>
    <numFmt numFmtId="167" formatCode="_(* #,##0.000000_);_(* \(#,##0.000000\);_(* &quot;-&quot;??_);_(@_)"/>
    <numFmt numFmtId="168" formatCode="_(* #,##0.00000_);_(* \(#,##0.00000\);_(* &quot;-&quot;??_);_(@_)"/>
    <numFmt numFmtId="169" formatCode="_(* #,##0.0000_);_(* \(#,##0.0000\);_(* &quot;-&quot;??_);_(@_)"/>
    <numFmt numFmtId="170" formatCode="_(* #,##0.0000000000_);_(* \(#,##0.0000000000\);_(* &quot;-&quot;??_);_(@_)"/>
    <numFmt numFmtId="171" formatCode="_(* #,##0.0000000_);_(* \(#,##0.0000000\);_(* &quot;-&quot;??_);_(@_)"/>
    <numFmt numFmtId="172" formatCode="_(* #,##0.00000000000_);_(* \(#,##0.00000000000\);_(* &quot;-&quot;??_);_(@_)"/>
    <numFmt numFmtId="173" formatCode="0.000000%"/>
    <numFmt numFmtId="174" formatCode="0.00000%"/>
    <numFmt numFmtId="175" formatCode="0.0000000000000000%"/>
    <numFmt numFmtId="176" formatCode="0.00000"/>
    <numFmt numFmtId="177" formatCode="mm/dd/yyyy"/>
    <numFmt numFmtId="178" formatCode="0.0000%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indexed="63"/>
      <name val="Calibri"/>
      <family val="2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1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1"/>
      <scheme val="minor"/>
    </font>
    <font>
      <sz val="11"/>
      <color indexed="62"/>
      <name val="Calibri"/>
      <family val="2"/>
    </font>
    <font>
      <b/>
      <u/>
      <sz val="11"/>
      <name val="Calibri"/>
      <family val="2"/>
    </font>
    <font>
      <sz val="11"/>
      <color indexed="23"/>
      <name val="Calibri"/>
      <family val="2"/>
    </font>
    <font>
      <i/>
      <u/>
      <sz val="11"/>
      <name val="Calibri"/>
      <family val="2"/>
    </font>
    <font>
      <b/>
      <sz val="11"/>
      <color indexed="30"/>
      <name val="Calibri"/>
      <family val="2"/>
    </font>
    <font>
      <sz val="11"/>
      <name val="Calibri"/>
      <family val="2"/>
    </font>
    <font>
      <i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Calibri"/>
      <family val="2"/>
    </font>
    <font>
      <b/>
      <sz val="9"/>
      <color rgb="FF000000"/>
      <name val="Calibri"/>
      <family val="2"/>
    </font>
    <font>
      <u/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u/>
      <sz val="12"/>
      <color theme="1"/>
      <name val="Arial"/>
      <family val="2"/>
    </font>
    <font>
      <b/>
      <i/>
      <sz val="8"/>
      <color theme="1"/>
      <name val="Arial"/>
      <family val="2"/>
    </font>
    <font>
      <i/>
      <sz val="8"/>
      <color theme="1"/>
      <name val="Arial"/>
      <family val="2"/>
    </font>
    <font>
      <sz val="8"/>
      <name val="Arial"/>
      <family val="2"/>
    </font>
    <font>
      <b/>
      <sz val="12"/>
      <color rgb="FF000000"/>
      <name val="Calibri"/>
      <family val="2"/>
    </font>
    <font>
      <b/>
      <sz val="8"/>
      <color rgb="FF000000"/>
      <name val="Calibri"/>
      <family val="2"/>
    </font>
    <font>
      <b/>
      <i/>
      <u val="double"/>
      <sz val="9"/>
      <color theme="1"/>
      <name val="Arial"/>
      <family val="2"/>
    </font>
    <font>
      <i/>
      <u val="double"/>
      <sz val="9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charset val="128"/>
      <scheme val="minor"/>
    </font>
    <font>
      <b/>
      <i/>
      <sz val="8"/>
      <color rgb="FFFF0000"/>
      <name val="Arial"/>
      <family val="2"/>
    </font>
    <font>
      <b/>
      <i/>
      <u/>
      <sz val="8"/>
      <color theme="1"/>
      <name val="Arial"/>
      <family val="2"/>
    </font>
    <font>
      <i/>
      <sz val="10"/>
      <color theme="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i/>
      <sz val="9"/>
      <color theme="1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u/>
      <sz val="13"/>
      <color theme="1"/>
      <name val="Calibri"/>
      <family val="2"/>
      <scheme val="minor"/>
    </font>
    <font>
      <b/>
      <sz val="20"/>
      <name val="Arial"/>
      <family val="2"/>
    </font>
    <font>
      <sz val="11"/>
      <color theme="0" tint="-0.249977111117893"/>
      <name val="Arial"/>
      <family val="2"/>
    </font>
    <font>
      <i/>
      <sz val="9"/>
      <color theme="1"/>
      <name val="Arial"/>
      <family val="2"/>
    </font>
    <font>
      <b/>
      <i/>
      <sz val="10"/>
      <color theme="1"/>
      <name val="Arial"/>
      <family val="2"/>
    </font>
    <font>
      <b/>
      <sz val="11"/>
      <color indexed="9"/>
      <name val="Arial"/>
      <family val="2"/>
    </font>
    <font>
      <b/>
      <sz val="20"/>
      <color theme="1"/>
      <name val="Times New Roman"/>
      <family val="1"/>
    </font>
    <font>
      <sz val="11"/>
      <color theme="0"/>
      <name val="Calibri"/>
      <family val="2"/>
      <scheme val="minor"/>
    </font>
    <font>
      <b/>
      <sz val="20"/>
      <color rgb="FF0000FF"/>
      <name val="Times New Roman"/>
      <family val="1"/>
    </font>
    <font>
      <b/>
      <sz val="20"/>
      <color rgb="FFFF0000"/>
      <name val="Times New Roman"/>
      <family val="1"/>
    </font>
    <font>
      <sz val="12"/>
      <color theme="1"/>
      <name val="Times New Roman"/>
      <family val="1"/>
    </font>
    <font>
      <i/>
      <sz val="9"/>
      <color theme="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FF0000"/>
      </bottom>
      <diagonal/>
    </border>
    <border>
      <left/>
      <right/>
      <top style="thin">
        <color indexed="64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thin">
        <color indexed="64"/>
      </left>
      <right/>
      <top style="thin">
        <color rgb="FFFF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FF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FF0000"/>
      </top>
      <bottom style="thin">
        <color indexed="64"/>
      </bottom>
      <diagonal/>
    </border>
  </borders>
  <cellStyleXfs count="33">
    <xf numFmtId="0" fontId="0" fillId="0" borderId="0"/>
    <xf numFmtId="43" fontId="1" fillId="0" borderId="0" applyFont="0" applyFill="0" applyBorder="0" applyAlignment="0" applyProtection="0"/>
    <xf numFmtId="0" fontId="5" fillId="0" borderId="0">
      <alignment vertical="center"/>
    </xf>
    <xf numFmtId="0" fontId="9" fillId="0" borderId="0"/>
    <xf numFmtId="43" fontId="9" fillId="0" borderId="0" applyFont="0" applyFill="0" applyBorder="0" applyAlignment="0" applyProtection="0"/>
    <xf numFmtId="38" fontId="1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6" fillId="0" borderId="0" applyFont="0" applyFill="0" applyBorder="0" applyAlignment="0" applyProtection="0"/>
    <xf numFmtId="40" fontId="15" fillId="0" borderId="0" applyFont="0" applyFill="0" applyBorder="0" applyAlignment="0" applyProtection="0"/>
    <xf numFmtId="40" fontId="15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38" fontId="16" fillId="0" borderId="0"/>
    <xf numFmtId="38" fontId="17" fillId="0" borderId="0"/>
    <xf numFmtId="38" fontId="18" fillId="0" borderId="0"/>
    <xf numFmtId="3" fontId="16" fillId="16" borderId="2" applyFont="0">
      <alignment horizontal="right" vertical="center"/>
      <protection locked="0"/>
    </xf>
    <xf numFmtId="38" fontId="16" fillId="0" borderId="0"/>
    <xf numFmtId="0" fontId="16" fillId="0" borderId="0"/>
    <xf numFmtId="0" fontId="19" fillId="0" borderId="0"/>
    <xf numFmtId="0" fontId="15" fillId="0" borderId="0"/>
    <xf numFmtId="0" fontId="16" fillId="0" borderId="0"/>
    <xf numFmtId="38" fontId="17" fillId="0" borderId="0"/>
    <xf numFmtId="0" fontId="9" fillId="0" borderId="0"/>
    <xf numFmtId="0" fontId="9" fillId="0" borderId="0"/>
    <xf numFmtId="38" fontId="16" fillId="0" borderId="0"/>
    <xf numFmtId="9" fontId="1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3" fontId="16" fillId="17" borderId="2" applyFont="0">
      <alignment horizontal="right" vertical="center"/>
    </xf>
    <xf numFmtId="0" fontId="15" fillId="0" borderId="0">
      <alignment vertical="center"/>
    </xf>
    <xf numFmtId="0" fontId="37" fillId="0" borderId="0">
      <alignment vertical="center"/>
    </xf>
    <xf numFmtId="9" fontId="1" fillId="0" borderId="0" applyFont="0" applyFill="0" applyBorder="0" applyAlignment="0" applyProtection="0"/>
  </cellStyleXfs>
  <cellXfs count="343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4" fontId="0" fillId="4" borderId="2" xfId="0" applyNumberFormat="1" applyFill="1" applyBorder="1"/>
    <xf numFmtId="15" fontId="0" fillId="4" borderId="4" xfId="0" applyNumberFormat="1" applyFill="1" applyBorder="1"/>
    <xf numFmtId="14" fontId="0" fillId="4" borderId="2" xfId="0" applyNumberFormat="1" applyFill="1" applyBorder="1"/>
    <xf numFmtId="15" fontId="0" fillId="4" borderId="4" xfId="0" applyNumberFormat="1" applyFill="1" applyBorder="1" applyAlignment="1">
      <alignment horizontal="center"/>
    </xf>
    <xf numFmtId="0" fontId="0" fillId="5" borderId="2" xfId="0" applyFill="1" applyBorder="1"/>
    <xf numFmtId="0" fontId="0" fillId="6" borderId="8" xfId="0" applyFill="1" applyBorder="1"/>
    <xf numFmtId="0" fontId="0" fillId="0" borderId="8" xfId="0" applyFill="1" applyBorder="1" applyAlignment="1"/>
    <xf numFmtId="14" fontId="0" fillId="0" borderId="8" xfId="0" applyNumberFormat="1" applyFill="1" applyBorder="1" applyAlignment="1"/>
    <xf numFmtId="43" fontId="0" fillId="0" borderId="0" xfId="0" applyNumberFormat="1" applyFill="1"/>
    <xf numFmtId="0" fontId="3" fillId="0" borderId="0" xfId="0" applyFont="1" applyFill="1"/>
    <xf numFmtId="0" fontId="4" fillId="0" borderId="2" xfId="0" applyFont="1" applyBorder="1"/>
    <xf numFmtId="4" fontId="0" fillId="0" borderId="2" xfId="0" applyNumberFormat="1" applyBorder="1"/>
    <xf numFmtId="0" fontId="0" fillId="0" borderId="2" xfId="0" applyBorder="1"/>
    <xf numFmtId="0" fontId="0" fillId="8" borderId="2" xfId="0" applyFill="1" applyBorder="1"/>
    <xf numFmtId="15" fontId="0" fillId="0" borderId="2" xfId="0" applyNumberFormat="1" applyBorder="1"/>
    <xf numFmtId="43" fontId="0" fillId="0" borderId="2" xfId="1" applyFont="1" applyBorder="1"/>
    <xf numFmtId="14" fontId="0" fillId="0" borderId="2" xfId="0" applyNumberFormat="1" applyFill="1" applyBorder="1"/>
    <xf numFmtId="4" fontId="0" fillId="0" borderId="2" xfId="0" applyNumberFormat="1" applyFill="1" applyBorder="1"/>
    <xf numFmtId="0" fontId="0" fillId="0" borderId="2" xfId="0" applyFill="1" applyBorder="1"/>
    <xf numFmtId="15" fontId="0" fillId="0" borderId="2" xfId="0" applyNumberFormat="1" applyFill="1" applyBorder="1"/>
    <xf numFmtId="15" fontId="0" fillId="0" borderId="2" xfId="0" applyNumberFormat="1" applyFill="1" applyBorder="1" applyAlignment="1">
      <alignment horizontal="center"/>
    </xf>
    <xf numFmtId="43" fontId="0" fillId="0" borderId="2" xfId="0" applyNumberFormat="1" applyFill="1" applyBorder="1"/>
    <xf numFmtId="4" fontId="0" fillId="0" borderId="2" xfId="0" applyNumberFormat="1" applyFill="1" applyBorder="1" applyAlignment="1">
      <alignment horizontal="center"/>
    </xf>
    <xf numFmtId="14" fontId="0" fillId="0" borderId="0" xfId="0" applyNumberFormat="1"/>
    <xf numFmtId="43" fontId="0" fillId="0" borderId="0" xfId="1" applyFont="1"/>
    <xf numFmtId="14" fontId="0" fillId="0" borderId="2" xfId="0" applyNumberFormat="1" applyBorder="1"/>
    <xf numFmtId="0" fontId="0" fillId="9" borderId="0" xfId="0" applyFill="1" applyAlignment="1"/>
    <xf numFmtId="0" fontId="0" fillId="9" borderId="0" xfId="0" applyFill="1"/>
    <xf numFmtId="0" fontId="0" fillId="8" borderId="0" xfId="0" applyFill="1"/>
    <xf numFmtId="0" fontId="7" fillId="10" borderId="13" xfId="0" applyFont="1" applyFill="1" applyBorder="1" applyAlignment="1" applyProtection="1">
      <alignment horizontal="center" vertical="center"/>
    </xf>
    <xf numFmtId="0" fontId="7" fillId="10" borderId="8" xfId="0" quotePrefix="1" applyFont="1" applyFill="1" applyBorder="1" applyAlignment="1" applyProtection="1">
      <alignment horizontal="center" vertical="center"/>
    </xf>
    <xf numFmtId="0" fontId="7" fillId="10" borderId="9" xfId="0" quotePrefix="1" applyFont="1" applyFill="1" applyBorder="1" applyAlignment="1" applyProtection="1">
      <alignment horizontal="center" vertical="center"/>
    </xf>
    <xf numFmtId="0" fontId="7" fillId="12" borderId="8" xfId="0" applyFont="1" applyFill="1" applyBorder="1" applyAlignment="1" applyProtection="1">
      <alignment horizontal="center" vertical="center"/>
    </xf>
    <xf numFmtId="0" fontId="7" fillId="12" borderId="9" xfId="0" applyFont="1" applyFill="1" applyBorder="1" applyAlignment="1" applyProtection="1">
      <alignment horizontal="center" vertical="center"/>
    </xf>
    <xf numFmtId="0" fontId="10" fillId="9" borderId="0" xfId="3" applyFont="1" applyFill="1"/>
    <xf numFmtId="0" fontId="11" fillId="9" borderId="0" xfId="3" applyFont="1" applyFill="1" applyProtection="1">
      <protection locked="0"/>
    </xf>
    <xf numFmtId="0" fontId="9" fillId="9" borderId="0" xfId="3" applyFill="1"/>
    <xf numFmtId="0" fontId="12" fillId="13" borderId="8" xfId="3" applyFont="1" applyFill="1" applyBorder="1" applyAlignment="1">
      <alignment horizontal="center" vertical="center"/>
    </xf>
    <xf numFmtId="0" fontId="12" fillId="13" borderId="13" xfId="3" applyFont="1" applyFill="1" applyBorder="1" applyAlignment="1">
      <alignment horizontal="center" vertical="center"/>
    </xf>
    <xf numFmtId="0" fontId="12" fillId="13" borderId="7" xfId="3" applyFont="1" applyFill="1" applyBorder="1" applyAlignment="1">
      <alignment horizontal="center" vertical="center" wrapText="1"/>
    </xf>
    <xf numFmtId="0" fontId="12" fillId="14" borderId="8" xfId="3" applyFont="1" applyFill="1" applyBorder="1" applyAlignment="1">
      <alignment horizontal="center" vertical="center"/>
    </xf>
    <xf numFmtId="0" fontId="12" fillId="14" borderId="5" xfId="3" applyFont="1" applyFill="1" applyBorder="1" applyAlignment="1">
      <alignment horizontal="center" wrapText="1"/>
    </xf>
    <xf numFmtId="0" fontId="12" fillId="13" borderId="8" xfId="3" applyFont="1" applyFill="1" applyBorder="1"/>
    <xf numFmtId="43" fontId="11" fillId="13" borderId="8" xfId="4" applyFont="1" applyFill="1" applyBorder="1" applyAlignment="1">
      <alignment horizontal="center"/>
    </xf>
    <xf numFmtId="43" fontId="11" fillId="13" borderId="8" xfId="4" applyFont="1" applyFill="1" applyBorder="1"/>
    <xf numFmtId="43" fontId="1" fillId="7" borderId="14" xfId="4" applyFont="1" applyFill="1" applyBorder="1" applyAlignment="1">
      <alignment horizontal="center"/>
    </xf>
    <xf numFmtId="43" fontId="13" fillId="7" borderId="8" xfId="4" applyFont="1" applyFill="1" applyBorder="1"/>
    <xf numFmtId="43" fontId="11" fillId="13" borderId="12" xfId="4" applyFont="1" applyFill="1" applyBorder="1" applyAlignment="1">
      <alignment horizontal="center"/>
    </xf>
    <xf numFmtId="0" fontId="14" fillId="6" borderId="14" xfId="3" applyFont="1" applyFill="1" applyBorder="1" applyAlignment="1">
      <alignment horizontal="center"/>
    </xf>
    <xf numFmtId="43" fontId="13" fillId="7" borderId="15" xfId="4" applyFont="1" applyFill="1" applyBorder="1" applyAlignment="1">
      <alignment horizontal="center"/>
    </xf>
    <xf numFmtId="43" fontId="11" fillId="13" borderId="16" xfId="4" applyFont="1" applyFill="1" applyBorder="1" applyAlignment="1">
      <alignment horizontal="center" vertical="center"/>
    </xf>
    <xf numFmtId="0" fontId="14" fillId="6" borderId="11" xfId="3" applyFont="1" applyFill="1" applyBorder="1" applyAlignment="1">
      <alignment horizontal="center"/>
    </xf>
    <xf numFmtId="43" fontId="13" fillId="7" borderId="16" xfId="4" applyFont="1" applyFill="1" applyBorder="1" applyAlignment="1">
      <alignment horizontal="center" vertical="center"/>
    </xf>
    <xf numFmtId="0" fontId="12" fillId="9" borderId="17" xfId="3" applyFont="1" applyFill="1" applyBorder="1" applyAlignment="1">
      <alignment horizontal="center"/>
    </xf>
    <xf numFmtId="2" fontId="12" fillId="15" borderId="8" xfId="3" applyNumberFormat="1" applyFont="1" applyFill="1" applyBorder="1" applyAlignment="1">
      <alignment horizontal="center"/>
    </xf>
    <xf numFmtId="0" fontId="3" fillId="9" borderId="0" xfId="3" applyFont="1" applyFill="1"/>
    <xf numFmtId="166" fontId="20" fillId="0" borderId="13" xfId="0" applyNumberFormat="1" applyFont="1" applyFill="1" applyBorder="1" applyAlignment="1" applyProtection="1">
      <alignment vertical="center"/>
    </xf>
    <xf numFmtId="166" fontId="20" fillId="0" borderId="18" xfId="0" applyNumberFormat="1" applyFont="1" applyFill="1" applyBorder="1" applyAlignment="1" applyProtection="1">
      <alignment vertical="center"/>
    </xf>
    <xf numFmtId="0" fontId="0" fillId="0" borderId="0" xfId="0" quotePrefix="1" applyFill="1"/>
    <xf numFmtId="168" fontId="0" fillId="0" borderId="2" xfId="0" applyNumberFormat="1" applyFill="1" applyBorder="1"/>
    <xf numFmtId="169" fontId="20" fillId="0" borderId="8" xfId="6" applyNumberFormat="1" applyFont="1" applyFill="1" applyBorder="1" applyAlignment="1" applyProtection="1">
      <alignment vertical="center"/>
    </xf>
    <xf numFmtId="43" fontId="20" fillId="0" borderId="8" xfId="6" applyFont="1" applyFill="1" applyBorder="1" applyAlignment="1" applyProtection="1">
      <alignment vertical="center"/>
    </xf>
    <xf numFmtId="168" fontId="20" fillId="0" borderId="8" xfId="6" applyNumberFormat="1" applyFont="1" applyFill="1" applyBorder="1" applyAlignment="1" applyProtection="1">
      <alignment vertical="center"/>
    </xf>
    <xf numFmtId="167" fontId="20" fillId="0" borderId="8" xfId="6" applyNumberFormat="1" applyFont="1" applyFill="1" applyBorder="1" applyAlignment="1" applyProtection="1">
      <alignment vertical="center"/>
    </xf>
    <xf numFmtId="170" fontId="20" fillId="0" borderId="8" xfId="6" applyNumberFormat="1" applyFont="1" applyFill="1" applyBorder="1" applyAlignment="1" applyProtection="1">
      <alignment vertical="center"/>
    </xf>
    <xf numFmtId="169" fontId="20" fillId="0" borderId="17" xfId="6" applyNumberFormat="1" applyFont="1" applyFill="1" applyBorder="1" applyAlignment="1" applyProtection="1">
      <alignment vertical="center"/>
    </xf>
    <xf numFmtId="43" fontId="20" fillId="0" borderId="17" xfId="6" applyFont="1" applyFill="1" applyBorder="1" applyAlignment="1" applyProtection="1">
      <alignment vertical="center"/>
    </xf>
    <xf numFmtId="168" fontId="20" fillId="0" borderId="17" xfId="6" applyNumberFormat="1" applyFont="1" applyFill="1" applyBorder="1" applyAlignment="1" applyProtection="1">
      <alignment vertical="center"/>
    </xf>
    <xf numFmtId="167" fontId="20" fillId="0" borderId="17" xfId="6" applyNumberFormat="1" applyFont="1" applyFill="1" applyBorder="1" applyAlignment="1" applyProtection="1">
      <alignment vertical="center"/>
    </xf>
    <xf numFmtId="170" fontId="20" fillId="0" borderId="17" xfId="6" applyNumberFormat="1" applyFont="1" applyFill="1" applyBorder="1" applyAlignment="1" applyProtection="1">
      <alignment vertical="center"/>
    </xf>
    <xf numFmtId="43" fontId="20" fillId="0" borderId="9" xfId="6" applyFont="1" applyFill="1" applyBorder="1" applyAlignment="1" applyProtection="1">
      <alignment vertical="center"/>
    </xf>
    <xf numFmtId="43" fontId="20" fillId="0" borderId="19" xfId="6" applyFont="1" applyFill="1" applyBorder="1" applyAlignment="1" applyProtection="1">
      <alignment vertical="center"/>
    </xf>
    <xf numFmtId="4" fontId="0" fillId="0" borderId="0" xfId="0" applyNumberFormat="1" applyFill="1" applyBorder="1"/>
    <xf numFmtId="0" fontId="0" fillId="0" borderId="0" xfId="0" applyFill="1" applyBorder="1"/>
    <xf numFmtId="15" fontId="0" fillId="0" borderId="0" xfId="0" applyNumberFormat="1" applyFill="1" applyBorder="1"/>
    <xf numFmtId="168" fontId="0" fillId="0" borderId="0" xfId="0" applyNumberFormat="1" applyFill="1" applyBorder="1"/>
    <xf numFmtId="166" fontId="0" fillId="0" borderId="2" xfId="0" applyNumberFormat="1" applyBorder="1"/>
    <xf numFmtId="43" fontId="0" fillId="0" borderId="0" xfId="1" applyFont="1" applyFill="1"/>
    <xf numFmtId="43" fontId="0" fillId="0" borderId="0" xfId="1" applyFont="1" applyFill="1" applyAlignment="1">
      <alignment horizontal="center"/>
    </xf>
    <xf numFmtId="172" fontId="20" fillId="0" borderId="8" xfId="6" applyNumberFormat="1" applyFont="1" applyFill="1" applyBorder="1" applyAlignment="1" applyProtection="1">
      <alignment vertical="center"/>
    </xf>
    <xf numFmtId="172" fontId="20" fillId="0" borderId="9" xfId="6" applyNumberFormat="1" applyFont="1" applyFill="1" applyBorder="1" applyAlignment="1" applyProtection="1">
      <alignment vertical="center"/>
    </xf>
    <xf numFmtId="172" fontId="20" fillId="0" borderId="17" xfId="6" applyNumberFormat="1" applyFont="1" applyFill="1" applyBorder="1" applyAlignment="1" applyProtection="1">
      <alignment vertical="center"/>
    </xf>
    <xf numFmtId="172" fontId="20" fillId="0" borderId="19" xfId="6" applyNumberFormat="1" applyFont="1" applyFill="1" applyBorder="1" applyAlignment="1" applyProtection="1">
      <alignment vertical="center"/>
    </xf>
    <xf numFmtId="43" fontId="20" fillId="0" borderId="8" xfId="6" applyNumberFormat="1" applyFont="1" applyFill="1" applyBorder="1" applyAlignment="1" applyProtection="1">
      <alignment vertical="center"/>
    </xf>
    <xf numFmtId="43" fontId="20" fillId="0" borderId="17" xfId="6" applyNumberFormat="1" applyFont="1" applyFill="1" applyBorder="1" applyAlignment="1" applyProtection="1">
      <alignment vertical="center"/>
    </xf>
    <xf numFmtId="171" fontId="0" fillId="0" borderId="2" xfId="1" applyNumberFormat="1" applyFont="1" applyBorder="1"/>
    <xf numFmtId="171" fontId="0" fillId="0" borderId="0" xfId="1" applyNumberFormat="1" applyFont="1"/>
    <xf numFmtId="0" fontId="22" fillId="0" borderId="13" xfId="0" applyFont="1" applyFill="1" applyBorder="1"/>
    <xf numFmtId="14" fontId="11" fillId="0" borderId="8" xfId="0" applyNumberFormat="1" applyFont="1" applyFill="1" applyBorder="1"/>
    <xf numFmtId="0" fontId="0" fillId="10" borderId="8" xfId="0" applyFill="1" applyBorder="1" applyAlignment="1">
      <alignment horizontal="center" vertical="center"/>
    </xf>
    <xf numFmtId="0" fontId="0" fillId="10" borderId="8" xfId="0" applyFill="1" applyBorder="1"/>
    <xf numFmtId="0" fontId="4" fillId="9" borderId="0" xfId="0" applyFont="1" applyFill="1"/>
    <xf numFmtId="0" fontId="23" fillId="0" borderId="0" xfId="0" applyFont="1" applyFill="1"/>
    <xf numFmtId="0" fontId="23" fillId="9" borderId="10" xfId="0" applyFont="1" applyFill="1" applyBorder="1"/>
    <xf numFmtId="0" fontId="23" fillId="9" borderId="11" xfId="0" applyFont="1" applyFill="1" applyBorder="1"/>
    <xf numFmtId="0" fontId="23" fillId="9" borderId="12" xfId="0" applyFont="1" applyFill="1" applyBorder="1"/>
    <xf numFmtId="0" fontId="23" fillId="9" borderId="22" xfId="0" applyFont="1" applyFill="1" applyBorder="1"/>
    <xf numFmtId="0" fontId="26" fillId="9" borderId="20" xfId="0" applyFont="1" applyFill="1" applyBorder="1" applyAlignment="1"/>
    <xf numFmtId="0" fontId="23" fillId="9" borderId="0" xfId="0" applyFont="1" applyFill="1" applyBorder="1"/>
    <xf numFmtId="0" fontId="23" fillId="9" borderId="20" xfId="0" applyFont="1" applyFill="1" applyBorder="1"/>
    <xf numFmtId="0" fontId="23" fillId="9" borderId="22" xfId="0" applyFont="1" applyFill="1" applyBorder="1" applyAlignment="1">
      <alignment vertical="center"/>
    </xf>
    <xf numFmtId="0" fontId="29" fillId="12" borderId="8" xfId="0" applyFont="1" applyFill="1" applyBorder="1" applyAlignment="1">
      <alignment horizontal="center" vertical="center"/>
    </xf>
    <xf numFmtId="14" fontId="23" fillId="8" borderId="9" xfId="0" applyNumberFormat="1" applyFont="1" applyFill="1" applyBorder="1" applyAlignment="1">
      <alignment horizontal="center" vertical="center"/>
    </xf>
    <xf numFmtId="0" fontId="30" fillId="9" borderId="0" xfId="0" applyFont="1" applyFill="1" applyBorder="1" applyAlignment="1">
      <alignment horizontal="left" vertical="center"/>
    </xf>
    <xf numFmtId="0" fontId="23" fillId="9" borderId="0" xfId="0" applyFont="1" applyFill="1" applyBorder="1" applyAlignment="1">
      <alignment vertical="center"/>
    </xf>
    <xf numFmtId="0" fontId="23" fillId="9" borderId="20" xfId="0" applyFont="1" applyFill="1" applyBorder="1" applyAlignment="1">
      <alignment vertical="center"/>
    </xf>
    <xf numFmtId="0" fontId="29" fillId="15" borderId="8" xfId="0" applyFont="1" applyFill="1" applyBorder="1" applyAlignment="1">
      <alignment horizontal="center" vertical="center" wrapText="1"/>
    </xf>
    <xf numFmtId="0" fontId="31" fillId="19" borderId="8" xfId="0" applyFont="1" applyFill="1" applyBorder="1" applyAlignment="1">
      <alignment horizontal="center" vertical="center"/>
    </xf>
    <xf numFmtId="0" fontId="29" fillId="9" borderId="0" xfId="0" applyFont="1" applyFill="1" applyBorder="1" applyAlignment="1">
      <alignment horizontal="center" vertical="center"/>
    </xf>
    <xf numFmtId="0" fontId="23" fillId="9" borderId="0" xfId="0" applyFont="1" applyFill="1" applyBorder="1" applyAlignment="1">
      <alignment horizontal="center" vertical="center"/>
    </xf>
    <xf numFmtId="0" fontId="23" fillId="9" borderId="18" xfId="0" applyFont="1" applyFill="1" applyBorder="1"/>
    <xf numFmtId="0" fontId="23" fillId="9" borderId="23" xfId="0" applyFont="1" applyFill="1" applyBorder="1"/>
    <xf numFmtId="0" fontId="23" fillId="9" borderId="19" xfId="0" applyFont="1" applyFill="1" applyBorder="1"/>
    <xf numFmtId="0" fontId="23" fillId="8" borderId="9" xfId="0" applyFont="1" applyFill="1" applyBorder="1" applyAlignment="1">
      <alignment horizontal="center" vertical="center"/>
    </xf>
    <xf numFmtId="0" fontId="34" fillId="9" borderId="0" xfId="0" applyFont="1" applyFill="1" applyBorder="1" applyAlignment="1"/>
    <xf numFmtId="0" fontId="35" fillId="9" borderId="0" xfId="0" applyFont="1" applyFill="1" applyBorder="1" applyAlignment="1"/>
    <xf numFmtId="0" fontId="35" fillId="9" borderId="20" xfId="0" applyFont="1" applyFill="1" applyBorder="1" applyAlignment="1"/>
    <xf numFmtId="0" fontId="23" fillId="9" borderId="8" xfId="0" applyFont="1" applyFill="1" applyBorder="1" applyAlignment="1">
      <alignment horizontal="center" vertical="center"/>
    </xf>
    <xf numFmtId="0" fontId="36" fillId="9" borderId="25" xfId="0" applyFont="1" applyFill="1" applyBorder="1" applyAlignment="1">
      <alignment horizontal="center" vertical="center"/>
    </xf>
    <xf numFmtId="0" fontId="36" fillId="9" borderId="26" xfId="0" applyFont="1" applyFill="1" applyBorder="1" applyAlignment="1">
      <alignment horizontal="center" vertical="center"/>
    </xf>
    <xf numFmtId="0" fontId="36" fillId="9" borderId="28" xfId="0" applyFont="1" applyFill="1" applyBorder="1" applyAlignment="1">
      <alignment horizontal="center" vertical="center"/>
    </xf>
    <xf numFmtId="0" fontId="30" fillId="9" borderId="0" xfId="0" applyFont="1" applyFill="1" applyBorder="1" applyAlignment="1">
      <alignment vertical="top" wrapText="1"/>
    </xf>
    <xf numFmtId="0" fontId="40" fillId="9" borderId="0" xfId="0" applyFont="1" applyFill="1" applyBorder="1" applyAlignment="1">
      <alignment horizontal="left" vertical="center"/>
    </xf>
    <xf numFmtId="0" fontId="0" fillId="9" borderId="0" xfId="0" applyFill="1" applyBorder="1"/>
    <xf numFmtId="0" fontId="23" fillId="9" borderId="19" xfId="0" applyFont="1" applyFill="1" applyBorder="1" applyAlignment="1">
      <alignment vertical="center"/>
    </xf>
    <xf numFmtId="0" fontId="0" fillId="9" borderId="10" xfId="0" applyFill="1" applyBorder="1"/>
    <xf numFmtId="0" fontId="0" fillId="9" borderId="11" xfId="0" applyFill="1" applyBorder="1"/>
    <xf numFmtId="0" fontId="0" fillId="9" borderId="12" xfId="0" applyFill="1" applyBorder="1"/>
    <xf numFmtId="0" fontId="41" fillId="21" borderId="0" xfId="0" applyFont="1" applyFill="1" applyAlignment="1">
      <alignment vertical="center"/>
    </xf>
    <xf numFmtId="14" fontId="44" fillId="8" borderId="9" xfId="0" applyNumberFormat="1" applyFont="1" applyFill="1" applyBorder="1" applyAlignment="1">
      <alignment horizontal="center" vertical="center"/>
    </xf>
    <xf numFmtId="0" fontId="0" fillId="9" borderId="22" xfId="0" applyFill="1" applyBorder="1"/>
    <xf numFmtId="0" fontId="0" fillId="9" borderId="18" xfId="0" applyFill="1" applyBorder="1"/>
    <xf numFmtId="0" fontId="0" fillId="9" borderId="0" xfId="0" applyNumberFormat="1" applyFill="1"/>
    <xf numFmtId="0" fontId="0" fillId="9" borderId="11" xfId="0" applyNumberFormat="1" applyFill="1" applyBorder="1"/>
    <xf numFmtId="0" fontId="23" fillId="9" borderId="0" xfId="0" applyNumberFormat="1" applyFont="1" applyFill="1" applyBorder="1"/>
    <xf numFmtId="0" fontId="0" fillId="9" borderId="0" xfId="0" applyNumberFormat="1" applyFill="1" applyBorder="1"/>
    <xf numFmtId="0" fontId="30" fillId="9" borderId="0" xfId="0" applyNumberFormat="1" applyFont="1" applyFill="1" applyBorder="1" applyAlignment="1">
      <alignment vertical="top" wrapText="1"/>
    </xf>
    <xf numFmtId="14" fontId="0" fillId="9" borderId="0" xfId="0" applyNumberFormat="1" applyFill="1" applyBorder="1"/>
    <xf numFmtId="0" fontId="0" fillId="9" borderId="20" xfId="0" applyFill="1" applyBorder="1"/>
    <xf numFmtId="0" fontId="0" fillId="9" borderId="23" xfId="0" applyFill="1" applyBorder="1"/>
    <xf numFmtId="0" fontId="0" fillId="9" borderId="23" xfId="0" applyNumberFormat="1" applyFill="1" applyBorder="1"/>
    <xf numFmtId="0" fontId="0" fillId="9" borderId="19" xfId="0" applyFill="1" applyBorder="1"/>
    <xf numFmtId="0" fontId="42" fillId="0" borderId="37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1" fontId="42" fillId="0" borderId="2" xfId="0" applyNumberFormat="1" applyFont="1" applyBorder="1" applyAlignment="1">
      <alignment horizontal="center" vertical="center"/>
    </xf>
    <xf numFmtId="0" fontId="42" fillId="0" borderId="2" xfId="0" applyFont="1" applyFill="1" applyBorder="1" applyAlignment="1">
      <alignment horizontal="center" vertical="center"/>
    </xf>
    <xf numFmtId="0" fontId="0" fillId="4" borderId="40" xfId="0" applyFill="1" applyBorder="1"/>
    <xf numFmtId="0" fontId="0" fillId="4" borderId="40" xfId="0" applyFont="1" applyFill="1" applyBorder="1"/>
    <xf numFmtId="0" fontId="0" fillId="4" borderId="42" xfId="0" applyFont="1" applyFill="1" applyBorder="1"/>
    <xf numFmtId="0" fontId="0" fillId="4" borderId="44" xfId="0" applyFont="1" applyFill="1" applyBorder="1"/>
    <xf numFmtId="0" fontId="3" fillId="4" borderId="45" xfId="0" applyFont="1" applyFill="1" applyBorder="1"/>
    <xf numFmtId="0" fontId="3" fillId="4" borderId="44" xfId="0" applyFont="1" applyFill="1" applyBorder="1"/>
    <xf numFmtId="0" fontId="6" fillId="4" borderId="41" xfId="0" applyFont="1" applyFill="1" applyBorder="1"/>
    <xf numFmtId="0" fontId="6" fillId="4" borderId="40" xfId="0" applyFont="1" applyFill="1" applyBorder="1"/>
    <xf numFmtId="0" fontId="6" fillId="4" borderId="43" xfId="0" applyFont="1" applyFill="1" applyBorder="1"/>
    <xf numFmtId="0" fontId="6" fillId="4" borderId="42" xfId="0" applyFont="1" applyFill="1" applyBorder="1"/>
    <xf numFmtId="0" fontId="0" fillId="4" borderId="41" xfId="0" applyFill="1" applyBorder="1"/>
    <xf numFmtId="0" fontId="50" fillId="0" borderId="0" xfId="0" applyFont="1"/>
    <xf numFmtId="0" fontId="0" fillId="4" borderId="38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6" fillId="4" borderId="40" xfId="0" applyFont="1" applyFill="1" applyBorder="1" applyAlignment="1">
      <alignment horizontal="center"/>
    </xf>
    <xf numFmtId="0" fontId="6" fillId="4" borderId="43" xfId="0" applyFont="1" applyFill="1" applyBorder="1" applyAlignment="1">
      <alignment horizontal="center"/>
    </xf>
    <xf numFmtId="0" fontId="6" fillId="4" borderId="42" xfId="0" applyFont="1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40" xfId="0" applyFont="1" applyFill="1" applyBorder="1" applyAlignment="1">
      <alignment horizontal="center"/>
    </xf>
    <xf numFmtId="0" fontId="0" fillId="4" borderId="42" xfId="0" applyFont="1" applyFill="1" applyBorder="1" applyAlignment="1">
      <alignment horizontal="center"/>
    </xf>
    <xf numFmtId="0" fontId="0" fillId="4" borderId="44" xfId="0" applyFont="1" applyFill="1" applyBorder="1" applyAlignment="1">
      <alignment horizontal="center"/>
    </xf>
    <xf numFmtId="0" fontId="3" fillId="4" borderId="45" xfId="0" applyFont="1" applyFill="1" applyBorder="1" applyAlignment="1">
      <alignment horizontal="center"/>
    </xf>
    <xf numFmtId="0" fontId="3" fillId="4" borderId="44" xfId="0" applyFont="1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49" fillId="0" borderId="0" xfId="0" applyFont="1" applyFill="1" applyBorder="1"/>
    <xf numFmtId="0" fontId="48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42" fillId="0" borderId="2" xfId="0" applyNumberFormat="1" applyFont="1" applyBorder="1" applyAlignment="1">
      <alignment horizontal="center" vertical="center"/>
    </xf>
    <xf numFmtId="0" fontId="42" fillId="0" borderId="2" xfId="0" applyNumberFormat="1" applyFont="1" applyFill="1" applyBorder="1" applyAlignment="1">
      <alignment horizontal="center" vertical="center"/>
    </xf>
    <xf numFmtId="0" fontId="41" fillId="6" borderId="0" xfId="0" applyFont="1" applyFill="1" applyAlignment="1">
      <alignment vertical="center"/>
    </xf>
    <xf numFmtId="0" fontId="42" fillId="9" borderId="30" xfId="0" applyFont="1" applyFill="1" applyBorder="1" applyAlignment="1">
      <alignment horizontal="center" vertical="center"/>
    </xf>
    <xf numFmtId="4" fontId="42" fillId="9" borderId="30" xfId="0" applyNumberFormat="1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14" fontId="44" fillId="9" borderId="0" xfId="0" applyNumberFormat="1" applyFont="1" applyFill="1" applyBorder="1" applyAlignment="1">
      <alignment horizontal="center" vertical="center"/>
    </xf>
    <xf numFmtId="0" fontId="52" fillId="21" borderId="0" xfId="0" applyFont="1" applyFill="1" applyAlignment="1">
      <alignment vertical="center"/>
    </xf>
    <xf numFmtId="14" fontId="42" fillId="9" borderId="9" xfId="0" applyNumberFormat="1" applyFont="1" applyFill="1" applyBorder="1" applyAlignment="1">
      <alignment horizontal="center" vertical="center"/>
    </xf>
    <xf numFmtId="0" fontId="42" fillId="9" borderId="9" xfId="0" applyNumberFormat="1" applyFont="1" applyFill="1" applyBorder="1" applyAlignment="1">
      <alignment horizontal="center" vertical="center"/>
    </xf>
    <xf numFmtId="0" fontId="53" fillId="0" borderId="8" xfId="0" applyFont="1" applyFill="1" applyBorder="1" applyAlignment="1">
      <alignment horizontal="center" vertical="center"/>
    </xf>
    <xf numFmtId="0" fontId="47" fillId="12" borderId="8" xfId="0" applyFont="1" applyFill="1" applyBorder="1" applyAlignment="1">
      <alignment horizontal="center" vertical="center"/>
    </xf>
    <xf numFmtId="0" fontId="47" fillId="12" borderId="8" xfId="0" applyNumberFormat="1" applyFont="1" applyFill="1" applyBorder="1" applyAlignment="1">
      <alignment horizontal="center" vertical="center"/>
    </xf>
    <xf numFmtId="4" fontId="47" fillId="12" borderId="8" xfId="0" applyNumberFormat="1" applyFont="1" applyFill="1" applyBorder="1" applyAlignment="1">
      <alignment horizontal="center" vertical="center"/>
    </xf>
    <xf numFmtId="174" fontId="42" fillId="9" borderId="9" xfId="0" applyNumberFormat="1" applyFont="1" applyFill="1" applyBorder="1" applyAlignment="1">
      <alignment horizontal="center" vertical="center"/>
    </xf>
    <xf numFmtId="0" fontId="54" fillId="12" borderId="8" xfId="0" applyFont="1" applyFill="1" applyBorder="1" applyAlignment="1">
      <alignment horizontal="center" vertical="center" wrapText="1"/>
    </xf>
    <xf numFmtId="0" fontId="54" fillId="12" borderId="8" xfId="0" applyFont="1" applyFill="1" applyBorder="1" applyAlignment="1">
      <alignment horizontal="center" vertical="center"/>
    </xf>
    <xf numFmtId="0" fontId="45" fillId="20" borderId="37" xfId="0" applyFont="1" applyFill="1" applyBorder="1" applyAlignment="1">
      <alignment horizontal="center" vertical="center"/>
    </xf>
    <xf numFmtId="175" fontId="0" fillId="9" borderId="0" xfId="0" applyNumberFormat="1" applyFill="1" applyBorder="1"/>
    <xf numFmtId="173" fontId="41" fillId="21" borderId="0" xfId="0" applyNumberFormat="1" applyFont="1" applyFill="1" applyAlignment="1">
      <alignment vertical="center"/>
    </xf>
    <xf numFmtId="166" fontId="42" fillId="0" borderId="2" xfId="0" applyNumberFormat="1" applyFont="1" applyFill="1" applyBorder="1" applyAlignment="1">
      <alignment horizontal="center" vertical="center"/>
    </xf>
    <xf numFmtId="174" fontId="42" fillId="0" borderId="2" xfId="0" applyNumberFormat="1" applyFont="1" applyBorder="1" applyAlignment="1">
      <alignment vertical="center"/>
    </xf>
    <xf numFmtId="4" fontId="42" fillId="0" borderId="2" xfId="0" applyNumberFormat="1" applyFont="1" applyBorder="1" applyAlignment="1">
      <alignment vertical="center"/>
    </xf>
    <xf numFmtId="174" fontId="41" fillId="21" borderId="0" xfId="32" applyNumberFormat="1" applyFont="1" applyFill="1" applyAlignment="1">
      <alignment vertical="center"/>
    </xf>
    <xf numFmtId="174" fontId="41" fillId="21" borderId="0" xfId="0" applyNumberFormat="1" applyFont="1" applyFill="1" applyAlignment="1">
      <alignment vertical="center"/>
    </xf>
    <xf numFmtId="176" fontId="42" fillId="0" borderId="2" xfId="0" applyNumberFormat="1" applyFont="1" applyBorder="1" applyAlignment="1">
      <alignment vertical="center"/>
    </xf>
    <xf numFmtId="176" fontId="41" fillId="21" borderId="0" xfId="0" applyNumberFormat="1" applyFont="1" applyFill="1" applyAlignment="1">
      <alignment vertical="center"/>
    </xf>
    <xf numFmtId="0" fontId="41" fillId="21" borderId="0" xfId="0" applyFont="1" applyFill="1" applyBorder="1" applyAlignment="1">
      <alignment vertical="center"/>
    </xf>
    <xf numFmtId="4" fontId="44" fillId="9" borderId="2" xfId="0" applyNumberFormat="1" applyFont="1" applyFill="1" applyBorder="1"/>
    <xf numFmtId="0" fontId="43" fillId="9" borderId="23" xfId="0" applyFont="1" applyFill="1" applyBorder="1" applyAlignment="1">
      <alignment horizontal="center" vertical="center"/>
    </xf>
    <xf numFmtId="14" fontId="44" fillId="9" borderId="23" xfId="0" applyNumberFormat="1" applyFont="1" applyFill="1" applyBorder="1" applyAlignment="1">
      <alignment horizontal="center" vertical="center"/>
    </xf>
    <xf numFmtId="0" fontId="23" fillId="9" borderId="23" xfId="0" applyFont="1" applyFill="1" applyBorder="1" applyAlignment="1">
      <alignment vertical="center"/>
    </xf>
    <xf numFmtId="0" fontId="29" fillId="9" borderId="11" xfId="0" applyFont="1" applyFill="1" applyBorder="1" applyAlignment="1">
      <alignment horizontal="center" vertical="center"/>
    </xf>
    <xf numFmtId="0" fontId="23" fillId="9" borderId="11" xfId="0" applyFont="1" applyFill="1" applyBorder="1" applyAlignment="1">
      <alignment horizontal="center" vertical="center"/>
    </xf>
    <xf numFmtId="0" fontId="30" fillId="9" borderId="11" xfId="0" applyNumberFormat="1" applyFont="1" applyFill="1" applyBorder="1" applyAlignment="1">
      <alignment vertical="top" wrapText="1"/>
    </xf>
    <xf numFmtId="0" fontId="30" fillId="9" borderId="11" xfId="0" applyFont="1" applyFill="1" applyBorder="1" applyAlignment="1">
      <alignment vertical="top" wrapText="1"/>
    </xf>
    <xf numFmtId="0" fontId="23" fillId="9" borderId="12" xfId="0" applyFont="1" applyFill="1" applyBorder="1" applyAlignment="1">
      <alignment vertical="center"/>
    </xf>
    <xf numFmtId="0" fontId="53" fillId="0" borderId="0" xfId="0" applyFont="1" applyFill="1" applyBorder="1" applyAlignment="1">
      <alignment horizontal="center" vertical="center"/>
    </xf>
    <xf numFmtId="14" fontId="42" fillId="9" borderId="0" xfId="0" applyNumberFormat="1" applyFont="1" applyFill="1" applyBorder="1" applyAlignment="1">
      <alignment horizontal="center" vertical="center"/>
    </xf>
    <xf numFmtId="0" fontId="42" fillId="9" borderId="0" xfId="0" applyNumberFormat="1" applyFont="1" applyFill="1" applyBorder="1" applyAlignment="1">
      <alignment horizontal="center" vertical="center"/>
    </xf>
    <xf numFmtId="174" fontId="42" fillId="9" borderId="0" xfId="0" applyNumberFormat="1" applyFont="1" applyFill="1" applyBorder="1" applyAlignment="1">
      <alignment horizontal="center" vertical="center"/>
    </xf>
    <xf numFmtId="0" fontId="42" fillId="9" borderId="17" xfId="0" applyFont="1" applyFill="1" applyBorder="1" applyAlignment="1">
      <alignment vertical="center"/>
    </xf>
    <xf numFmtId="0" fontId="42" fillId="9" borderId="8" xfId="0" applyFont="1" applyFill="1" applyBorder="1" applyAlignment="1">
      <alignment vertical="center"/>
    </xf>
    <xf numFmtId="174" fontId="42" fillId="0" borderId="30" xfId="0" applyNumberFormat="1" applyFont="1" applyBorder="1" applyAlignment="1">
      <alignment vertical="center"/>
    </xf>
    <xf numFmtId="174" fontId="42" fillId="0" borderId="49" xfId="0" applyNumberFormat="1" applyFont="1" applyBorder="1" applyAlignment="1">
      <alignment vertical="center"/>
    </xf>
    <xf numFmtId="174" fontId="42" fillId="0" borderId="35" xfId="0" applyNumberFormat="1" applyFont="1" applyBorder="1" applyAlignment="1">
      <alignment vertical="center"/>
    </xf>
    <xf numFmtId="176" fontId="42" fillId="0" borderId="35" xfId="0" applyNumberFormat="1" applyFont="1" applyBorder="1" applyAlignment="1">
      <alignment vertical="center"/>
    </xf>
    <xf numFmtId="4" fontId="42" fillId="0" borderId="35" xfId="0" applyNumberFormat="1" applyFont="1" applyBorder="1" applyAlignment="1">
      <alignment vertical="center"/>
    </xf>
    <xf numFmtId="4" fontId="44" fillId="9" borderId="30" xfId="0" applyNumberFormat="1" applyFont="1" applyFill="1" applyBorder="1"/>
    <xf numFmtId="4" fontId="42" fillId="0" borderId="49" xfId="0" applyNumberFormat="1" applyFont="1" applyFill="1" applyBorder="1" applyAlignment="1">
      <alignment vertical="center"/>
    </xf>
    <xf numFmtId="4" fontId="42" fillId="0" borderId="35" xfId="0" applyNumberFormat="1" applyFont="1" applyFill="1" applyBorder="1" applyAlignment="1">
      <alignment vertical="center"/>
    </xf>
    <xf numFmtId="174" fontId="42" fillId="0" borderId="49" xfId="0" applyNumberFormat="1" applyFont="1" applyFill="1" applyBorder="1" applyAlignment="1">
      <alignment vertical="center"/>
    </xf>
    <xf numFmtId="166" fontId="42" fillId="0" borderId="50" xfId="0" applyNumberFormat="1" applyFont="1" applyFill="1" applyBorder="1" applyAlignment="1">
      <alignment horizontal="center" vertical="center"/>
    </xf>
    <xf numFmtId="0" fontId="42" fillId="0" borderId="51" xfId="0" applyNumberFormat="1" applyFont="1" applyFill="1" applyBorder="1" applyAlignment="1">
      <alignment horizontal="center" vertical="center"/>
    </xf>
    <xf numFmtId="0" fontId="45" fillId="24" borderId="29" xfId="0" applyFont="1" applyFill="1" applyBorder="1" applyAlignment="1">
      <alignment horizontal="center" vertical="center"/>
    </xf>
    <xf numFmtId="0" fontId="45" fillId="24" borderId="37" xfId="0" applyFont="1" applyFill="1" applyBorder="1" applyAlignment="1">
      <alignment horizontal="center" vertical="center"/>
    </xf>
    <xf numFmtId="0" fontId="55" fillId="24" borderId="2" xfId="0" applyFont="1" applyFill="1" applyBorder="1" applyAlignment="1">
      <alignment vertical="center"/>
    </xf>
    <xf numFmtId="0" fontId="45" fillId="24" borderId="2" xfId="0" applyFont="1" applyFill="1" applyBorder="1" applyAlignment="1">
      <alignment vertical="center"/>
    </xf>
    <xf numFmtId="0" fontId="45" fillId="24" borderId="48" xfId="0" applyFont="1" applyFill="1" applyBorder="1" applyAlignment="1">
      <alignment horizontal="center"/>
    </xf>
    <xf numFmtId="0" fontId="41" fillId="9" borderId="30" xfId="0" applyFont="1" applyFill="1" applyBorder="1" applyAlignment="1">
      <alignment vertical="center"/>
    </xf>
    <xf numFmtId="0" fontId="46" fillId="9" borderId="34" xfId="0" applyFont="1" applyFill="1" applyBorder="1" applyAlignment="1">
      <alignment horizontal="center" vertical="center"/>
    </xf>
    <xf numFmtId="0" fontId="41" fillId="9" borderId="34" xfId="0" applyFont="1" applyFill="1" applyBorder="1" applyAlignment="1">
      <alignment horizontal="center" vertical="center"/>
    </xf>
    <xf numFmtId="0" fontId="41" fillId="9" borderId="53" xfId="0" quotePrefix="1" applyFont="1" applyFill="1" applyBorder="1" applyAlignment="1">
      <alignment vertical="center"/>
    </xf>
    <xf numFmtId="0" fontId="41" fillId="9" borderId="2" xfId="0" applyFont="1" applyFill="1" applyBorder="1" applyAlignment="1">
      <alignment vertical="center"/>
    </xf>
    <xf numFmtId="0" fontId="55" fillId="24" borderId="4" xfId="0" applyFont="1" applyFill="1" applyBorder="1" applyAlignment="1">
      <alignment vertical="center"/>
    </xf>
    <xf numFmtId="0" fontId="45" fillId="24" borderId="4" xfId="0" applyFont="1" applyFill="1" applyBorder="1" applyAlignment="1">
      <alignment vertical="center"/>
    </xf>
    <xf numFmtId="0" fontId="41" fillId="9" borderId="53" xfId="0" applyFont="1" applyFill="1" applyBorder="1" applyAlignment="1">
      <alignment vertical="center"/>
    </xf>
    <xf numFmtId="2" fontId="42" fillId="9" borderId="17" xfId="0" applyNumberFormat="1" applyFont="1" applyFill="1" applyBorder="1" applyAlignment="1">
      <alignment vertical="center"/>
    </xf>
    <xf numFmtId="2" fontId="42" fillId="9" borderId="8" xfId="0" applyNumberFormat="1" applyFont="1" applyFill="1" applyBorder="1" applyAlignment="1">
      <alignment vertical="center"/>
    </xf>
    <xf numFmtId="0" fontId="41" fillId="9" borderId="2" xfId="0" applyFont="1" applyFill="1" applyBorder="1" applyAlignment="1">
      <alignment horizontal="center" vertical="center"/>
    </xf>
    <xf numFmtId="0" fontId="0" fillId="4" borderId="0" xfId="0" applyFill="1"/>
    <xf numFmtId="0" fontId="0" fillId="18" borderId="0" xfId="0" applyFill="1"/>
    <xf numFmtId="0" fontId="41" fillId="21" borderId="0" xfId="32" applyNumberFormat="1" applyFont="1" applyFill="1" applyAlignment="1">
      <alignment vertical="center"/>
    </xf>
    <xf numFmtId="4" fontId="42" fillId="9" borderId="30" xfId="1" applyNumberFormat="1" applyFont="1" applyFill="1" applyBorder="1" applyAlignment="1">
      <alignment horizontal="center" vertical="center"/>
    </xf>
    <xf numFmtId="4" fontId="42" fillId="0" borderId="2" xfId="0" applyNumberFormat="1" applyFont="1" applyFill="1" applyBorder="1" applyAlignment="1">
      <alignment horizontal="center" vertical="center"/>
    </xf>
    <xf numFmtId="39" fontId="42" fillId="9" borderId="30" xfId="1" applyNumberFormat="1" applyFont="1" applyFill="1" applyBorder="1" applyAlignment="1">
      <alignment horizontal="center" vertical="center"/>
    </xf>
    <xf numFmtId="4" fontId="42" fillId="0" borderId="52" xfId="0" applyNumberFormat="1" applyFont="1" applyFill="1" applyBorder="1" applyAlignment="1">
      <alignment horizontal="center" vertical="center"/>
    </xf>
    <xf numFmtId="177" fontId="41" fillId="21" borderId="0" xfId="0" applyNumberFormat="1" applyFont="1" applyFill="1" applyAlignment="1">
      <alignment vertical="center"/>
    </xf>
    <xf numFmtId="14" fontId="44" fillId="9" borderId="9" xfId="0" applyNumberFormat="1" applyFont="1" applyFill="1" applyBorder="1" applyAlignment="1">
      <alignment horizontal="center" vertical="center"/>
    </xf>
    <xf numFmtId="14" fontId="42" fillId="9" borderId="30" xfId="0" applyNumberFormat="1" applyFont="1" applyFill="1" applyBorder="1" applyAlignment="1">
      <alignment horizontal="center" vertical="center"/>
    </xf>
    <xf numFmtId="0" fontId="57" fillId="9" borderId="0" xfId="0" applyNumberFormat="1" applyFont="1" applyFill="1" applyBorder="1"/>
    <xf numFmtId="0" fontId="42" fillId="0" borderId="17" xfId="0" applyFont="1" applyFill="1" applyBorder="1" applyAlignment="1">
      <alignment vertical="center"/>
    </xf>
    <xf numFmtId="2" fontId="42" fillId="0" borderId="17" xfId="0" applyNumberFormat="1" applyFont="1" applyFill="1" applyBorder="1" applyAlignment="1">
      <alignment vertical="center"/>
    </xf>
    <xf numFmtId="0" fontId="42" fillId="0" borderId="8" xfId="0" applyFont="1" applyFill="1" applyBorder="1" applyAlignment="1">
      <alignment vertical="center"/>
    </xf>
    <xf numFmtId="2" fontId="42" fillId="0" borderId="8" xfId="0" applyNumberFormat="1" applyFont="1" applyFill="1" applyBorder="1" applyAlignment="1">
      <alignment vertical="center"/>
    </xf>
    <xf numFmtId="0" fontId="58" fillId="4" borderId="0" xfId="0" applyFont="1" applyFill="1"/>
    <xf numFmtId="0" fontId="59" fillId="0" borderId="0" xfId="0" applyFont="1" applyFill="1"/>
    <xf numFmtId="178" fontId="41" fillId="21" borderId="0" xfId="0" applyNumberFormat="1" applyFont="1" applyFill="1" applyAlignment="1">
      <alignment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right"/>
    </xf>
    <xf numFmtId="0" fontId="4" fillId="9" borderId="13" xfId="0" applyFont="1" applyFill="1" applyBorder="1" applyAlignment="1">
      <alignment horizontal="center"/>
    </xf>
    <xf numFmtId="0" fontId="4" fillId="9" borderId="14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27" fillId="9" borderId="0" xfId="0" applyFont="1" applyFill="1" applyBorder="1" applyAlignment="1">
      <alignment horizontal="left"/>
    </xf>
    <xf numFmtId="0" fontId="26" fillId="9" borderId="0" xfId="0" applyFont="1" applyFill="1" applyBorder="1" applyAlignment="1">
      <alignment horizontal="left"/>
    </xf>
    <xf numFmtId="0" fontId="45" fillId="20" borderId="31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46" fillId="12" borderId="13" xfId="0" applyFont="1" applyFill="1" applyBorder="1" applyAlignment="1">
      <alignment horizontal="center" vertical="center"/>
    </xf>
    <xf numFmtId="0" fontId="46" fillId="12" borderId="14" xfId="0" applyFont="1" applyFill="1" applyBorder="1" applyAlignment="1">
      <alignment horizontal="center" vertical="center"/>
    </xf>
    <xf numFmtId="0" fontId="46" fillId="12" borderId="9" xfId="0" applyFont="1" applyFill="1" applyBorder="1" applyAlignment="1">
      <alignment horizontal="center" vertical="center"/>
    </xf>
    <xf numFmtId="0" fontId="53" fillId="9" borderId="0" xfId="0" applyFont="1" applyFill="1" applyBorder="1" applyAlignment="1">
      <alignment horizontal="left" vertical="center" wrapText="1"/>
    </xf>
    <xf numFmtId="0" fontId="45" fillId="24" borderId="46" xfId="0" applyFont="1" applyFill="1" applyBorder="1" applyAlignment="1">
      <alignment horizontal="center" vertical="center"/>
    </xf>
    <xf numFmtId="0" fontId="45" fillId="24" borderId="47" xfId="0" applyFont="1" applyFill="1" applyBorder="1" applyAlignment="1">
      <alignment horizontal="center" vertical="center"/>
    </xf>
    <xf numFmtId="0" fontId="45" fillId="24" borderId="0" xfId="0" applyFont="1" applyFill="1" applyBorder="1" applyAlignment="1">
      <alignment horizontal="center" vertical="center"/>
    </xf>
    <xf numFmtId="0" fontId="45" fillId="24" borderId="29" xfId="0" applyFont="1" applyFill="1" applyBorder="1" applyAlignment="1">
      <alignment horizontal="center" vertical="center"/>
    </xf>
    <xf numFmtId="0" fontId="45" fillId="24" borderId="31" xfId="0" applyFont="1" applyFill="1" applyBorder="1" applyAlignment="1">
      <alignment horizontal="center" vertical="center"/>
    </xf>
    <xf numFmtId="0" fontId="45" fillId="24" borderId="32" xfId="0" applyFont="1" applyFill="1" applyBorder="1" applyAlignment="1">
      <alignment horizontal="center" vertical="center"/>
    </xf>
    <xf numFmtId="0" fontId="45" fillId="24" borderId="33" xfId="0" applyFont="1" applyFill="1" applyBorder="1" applyAlignment="1">
      <alignment horizontal="center" vertical="center"/>
    </xf>
    <xf numFmtId="0" fontId="41" fillId="9" borderId="36" xfId="0" applyFont="1" applyFill="1" applyBorder="1" applyAlignment="1">
      <alignment horizontal="center" vertical="center"/>
    </xf>
    <xf numFmtId="0" fontId="41" fillId="9" borderId="30" xfId="0" applyFont="1" applyFill="1" applyBorder="1" applyAlignment="1">
      <alignment horizontal="center" vertical="center"/>
    </xf>
    <xf numFmtId="4" fontId="51" fillId="23" borderId="0" xfId="0" applyNumberFormat="1" applyFont="1" applyFill="1" applyAlignment="1">
      <alignment horizontal="center" vertical="center"/>
    </xf>
    <xf numFmtId="0" fontId="51" fillId="23" borderId="0" xfId="0" applyFont="1" applyFill="1" applyAlignment="1">
      <alignment horizontal="center" vertical="center"/>
    </xf>
    <xf numFmtId="0" fontId="26" fillId="9" borderId="0" xfId="0" applyFont="1" applyFill="1" applyBorder="1" applyAlignment="1">
      <alignment horizontal="center"/>
    </xf>
    <xf numFmtId="0" fontId="29" fillId="12" borderId="15" xfId="0" applyFont="1" applyFill="1" applyBorder="1" applyAlignment="1">
      <alignment horizontal="center" vertical="center"/>
    </xf>
    <xf numFmtId="0" fontId="29" fillId="12" borderId="21" xfId="0" applyFont="1" applyFill="1" applyBorder="1" applyAlignment="1">
      <alignment horizontal="center" vertical="center"/>
    </xf>
    <xf numFmtId="0" fontId="29" fillId="12" borderId="17" xfId="0" applyFont="1" applyFill="1" applyBorder="1" applyAlignment="1">
      <alignment horizontal="center" vertical="center"/>
    </xf>
    <xf numFmtId="0" fontId="36" fillId="9" borderId="10" xfId="0" applyFont="1" applyFill="1" applyBorder="1" applyAlignment="1">
      <alignment horizontal="center" vertical="center"/>
    </xf>
    <xf numFmtId="0" fontId="36" fillId="9" borderId="12" xfId="0" applyFont="1" applyFill="1" applyBorder="1" applyAlignment="1">
      <alignment horizontal="center" vertical="center"/>
    </xf>
    <xf numFmtId="0" fontId="36" fillId="9" borderId="24" xfId="0" applyFont="1" applyFill="1" applyBorder="1" applyAlignment="1">
      <alignment horizontal="center" vertical="center" wrapText="1"/>
    </xf>
    <xf numFmtId="0" fontId="36" fillId="9" borderId="1" xfId="0" applyFont="1" applyFill="1" applyBorder="1" applyAlignment="1">
      <alignment horizontal="center" vertical="center" wrapText="1"/>
    </xf>
    <xf numFmtId="0" fontId="36" fillId="9" borderId="27" xfId="0" applyFont="1" applyFill="1" applyBorder="1" applyAlignment="1">
      <alignment horizontal="center" vertical="center" wrapText="1"/>
    </xf>
    <xf numFmtId="0" fontId="30" fillId="9" borderId="0" xfId="0" applyFont="1" applyFill="1" applyBorder="1" applyAlignment="1">
      <alignment horizontal="left" vertical="top" wrapText="1"/>
    </xf>
    <xf numFmtId="0" fontId="0" fillId="7" borderId="8" xfId="0" applyFill="1" applyBorder="1" applyAlignment="1">
      <alignment horizontal="center" vertical="center"/>
    </xf>
    <xf numFmtId="4" fontId="8" fillId="18" borderId="15" xfId="0" applyNumberFormat="1" applyFont="1" applyFill="1" applyBorder="1" applyAlignment="1" applyProtection="1">
      <alignment horizontal="center" vertical="center"/>
    </xf>
    <xf numFmtId="4" fontId="8" fillId="18" borderId="17" xfId="0" applyNumberFormat="1" applyFont="1" applyFill="1" applyBorder="1" applyAlignment="1" applyProtection="1">
      <alignment horizontal="center" vertical="center"/>
    </xf>
    <xf numFmtId="168" fontId="21" fillId="0" borderId="20" xfId="6" applyNumberFormat="1" applyFont="1" applyFill="1" applyBorder="1" applyAlignment="1" applyProtection="1">
      <alignment horizontal="center" vertical="center"/>
    </xf>
    <xf numFmtId="168" fontId="21" fillId="0" borderId="19" xfId="6" applyNumberFormat="1" applyFont="1" applyFill="1" applyBorder="1" applyAlignment="1" applyProtection="1">
      <alignment horizontal="center" vertical="center"/>
    </xf>
    <xf numFmtId="4" fontId="0" fillId="5" borderId="15" xfId="0" applyNumberFormat="1" applyFill="1" applyBorder="1" applyAlignment="1">
      <alignment horizontal="center" vertical="center" textRotation="90"/>
    </xf>
    <xf numFmtId="4" fontId="0" fillId="5" borderId="21" xfId="0" applyNumberFormat="1" applyFill="1" applyBorder="1" applyAlignment="1">
      <alignment horizontal="center" vertical="center" textRotation="90"/>
    </xf>
    <xf numFmtId="4" fontId="0" fillId="5" borderId="17" xfId="0" applyNumberFormat="1" applyFill="1" applyBorder="1" applyAlignment="1">
      <alignment horizontal="center" vertical="center" textRotation="90"/>
    </xf>
    <xf numFmtId="0" fontId="8" fillId="10" borderId="8" xfId="0" applyFont="1" applyFill="1" applyBorder="1" applyAlignment="1" applyProtection="1">
      <alignment horizontal="center" vertical="center"/>
    </xf>
    <xf numFmtId="0" fontId="7" fillId="10" borderId="10" xfId="0" applyFont="1" applyFill="1" applyBorder="1" applyAlignment="1" applyProtection="1">
      <alignment horizontal="center" vertical="center"/>
    </xf>
    <xf numFmtId="0" fontId="7" fillId="10" borderId="11" xfId="0" applyFont="1" applyFill="1" applyBorder="1" applyAlignment="1" applyProtection="1">
      <alignment horizontal="center" vertical="center"/>
    </xf>
    <xf numFmtId="0" fontId="7" fillId="10" borderId="12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center"/>
    </xf>
    <xf numFmtId="0" fontId="7" fillId="11" borderId="11" xfId="0" applyFont="1" applyFill="1" applyBorder="1" applyAlignment="1" applyProtection="1">
      <alignment horizontal="center"/>
    </xf>
    <xf numFmtId="0" fontId="7" fillId="11" borderId="12" xfId="0" applyFont="1" applyFill="1" applyBorder="1" applyAlignment="1" applyProtection="1">
      <alignment horizontal="center"/>
    </xf>
    <xf numFmtId="15" fontId="8" fillId="4" borderId="15" xfId="0" applyNumberFormat="1" applyFont="1" applyFill="1" applyBorder="1" applyAlignment="1" applyProtection="1">
      <alignment horizontal="center" vertical="center"/>
    </xf>
    <xf numFmtId="15" fontId="8" fillId="4" borderId="17" xfId="0" applyNumberFormat="1" applyFont="1" applyFill="1" applyBorder="1" applyAlignment="1" applyProtection="1">
      <alignment horizontal="center" vertical="center"/>
    </xf>
    <xf numFmtId="168" fontId="21" fillId="0" borderId="12" xfId="6" applyNumberFormat="1" applyFont="1" applyFill="1" applyBorder="1" applyAlignment="1" applyProtection="1">
      <alignment horizontal="center" vertical="center"/>
    </xf>
    <xf numFmtId="164" fontId="0" fillId="0" borderId="8" xfId="0" applyNumberFormat="1" applyFill="1" applyBorder="1" applyAlignment="1">
      <alignment horizontal="center" vertical="center"/>
    </xf>
    <xf numFmtId="165" fontId="0" fillId="0" borderId="8" xfId="1" applyNumberFormat="1" applyFont="1" applyFill="1" applyBorder="1" applyAlignment="1">
      <alignment horizontal="center" vertical="center"/>
    </xf>
    <xf numFmtId="43" fontId="0" fillId="0" borderId="8" xfId="1" applyFont="1" applyFill="1" applyBorder="1" applyAlignment="1">
      <alignment horizontal="center" vertical="center"/>
    </xf>
    <xf numFmtId="4" fontId="0" fillId="0" borderId="8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15" fontId="0" fillId="0" borderId="8" xfId="0" applyNumberFormat="1" applyFill="1" applyBorder="1" applyAlignment="1">
      <alignment horizontal="center" vertical="center"/>
    </xf>
    <xf numFmtId="0" fontId="12" fillId="13" borderId="13" xfId="3" applyFont="1" applyFill="1" applyBorder="1" applyAlignment="1">
      <alignment horizontal="center"/>
    </xf>
    <xf numFmtId="0" fontId="12" fillId="13" borderId="9" xfId="3" applyFont="1" applyFill="1" applyBorder="1" applyAlignment="1">
      <alignment horizontal="center"/>
    </xf>
    <xf numFmtId="0" fontId="12" fillId="15" borderId="13" xfId="3" applyFont="1" applyFill="1" applyBorder="1" applyAlignment="1">
      <alignment horizontal="center"/>
    </xf>
    <xf numFmtId="0" fontId="12" fillId="15" borderId="9" xfId="3" applyFont="1" applyFill="1" applyBorder="1" applyAlignment="1">
      <alignment horizontal="center"/>
    </xf>
    <xf numFmtId="0" fontId="56" fillId="4" borderId="0" xfId="0" applyFont="1" applyFill="1" applyAlignment="1">
      <alignment horizontal="center"/>
    </xf>
    <xf numFmtId="0" fontId="56" fillId="18" borderId="0" xfId="0" applyFont="1" applyFill="1" applyAlignment="1">
      <alignment horizontal="center"/>
    </xf>
    <xf numFmtId="0" fontId="60" fillId="9" borderId="0" xfId="0" applyFont="1" applyFill="1" applyAlignment="1">
      <alignment horizontal="center" wrapText="1"/>
    </xf>
    <xf numFmtId="0" fontId="0" fillId="9" borderId="0" xfId="0" applyFill="1" applyAlignment="1">
      <alignment horizontal="center" vertical="center" wrapText="1"/>
    </xf>
  </cellXfs>
  <cellStyles count="33">
    <cellStyle name="Comma" xfId="1" builtinId="3"/>
    <cellStyle name="Comma [0] 2" xfId="5"/>
    <cellStyle name="Comma 10" xfId="6"/>
    <cellStyle name="Comma 2" xfId="4"/>
    <cellStyle name="Comma 2 2" xfId="7"/>
    <cellStyle name="Comma 3" xfId="8"/>
    <cellStyle name="Comma 4" xfId="9"/>
    <cellStyle name="Comma 5" xfId="10"/>
    <cellStyle name="Comma 6" xfId="11"/>
    <cellStyle name="Custom - Style8" xfId="12"/>
    <cellStyle name="Custom - Style8 2" xfId="13"/>
    <cellStyle name="Custom - Style8 3" xfId="14"/>
    <cellStyle name="inputExposure" xfId="15"/>
    <cellStyle name="Normal" xfId="0" builtinId="0"/>
    <cellStyle name="Normal 13" xfId="16"/>
    <cellStyle name="Normal 2" xfId="3"/>
    <cellStyle name="Normal 2 2" xfId="17"/>
    <cellStyle name="Normal 2 3" xfId="2"/>
    <cellStyle name="Normal 3" xfId="18"/>
    <cellStyle name="Normal 4" xfId="19"/>
    <cellStyle name="Normal 4 2" xfId="20"/>
    <cellStyle name="Normal 5" xfId="21"/>
    <cellStyle name="Normal 5 2" xfId="22"/>
    <cellStyle name="Normal 5 2 4" xfId="23"/>
    <cellStyle name="Normal 8" xfId="24"/>
    <cellStyle name="Percent" xfId="32" builtinId="5"/>
    <cellStyle name="Percent 2" xfId="25"/>
    <cellStyle name="Percent 23" xfId="26"/>
    <cellStyle name="Percent 3" xfId="27"/>
    <cellStyle name="Percent 4" xfId="28"/>
    <cellStyle name="showExposure" xfId="29"/>
    <cellStyle name="標準 6" xfId="31"/>
    <cellStyle name="標準_G-MRS_Grid" xfId="30"/>
  </cellStyles>
  <dxfs count="1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/>
        <i/>
        <color theme="0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0000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9525</xdr:rowOff>
    </xdr:from>
    <xdr:to>
      <xdr:col>4</xdr:col>
      <xdr:colOff>19050</xdr:colOff>
      <xdr:row>9</xdr:row>
      <xdr:rowOff>161924</xdr:rowOff>
    </xdr:to>
    <xdr:sp macro="" textlink="">
      <xdr:nvSpPr>
        <xdr:cNvPr id="3" name="Rectangle 2"/>
        <xdr:cNvSpPr/>
      </xdr:nvSpPr>
      <xdr:spPr>
        <a:xfrm>
          <a:off x="609600" y="1152525"/>
          <a:ext cx="1847850" cy="72389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/>
            <a:t>TRE</a:t>
          </a:r>
          <a:r>
            <a:rPr lang="en-MY" sz="1100" baseline="0"/>
            <a:t> make deals and provide dummy deals to RMD as and when</a:t>
          </a:r>
        </a:p>
        <a:p>
          <a:pPr algn="l"/>
          <a:endParaRPr lang="en-MY" sz="1100"/>
        </a:p>
      </xdr:txBody>
    </xdr:sp>
    <xdr:clientData/>
  </xdr:twoCellAnchor>
  <xdr:twoCellAnchor>
    <xdr:from>
      <xdr:col>5</xdr:col>
      <xdr:colOff>590550</xdr:colOff>
      <xdr:row>6</xdr:row>
      <xdr:rowOff>28575</xdr:rowOff>
    </xdr:from>
    <xdr:to>
      <xdr:col>9</xdr:col>
      <xdr:colOff>0</xdr:colOff>
      <xdr:row>10</xdr:row>
      <xdr:rowOff>0</xdr:rowOff>
    </xdr:to>
    <xdr:sp macro="" textlink="">
      <xdr:nvSpPr>
        <xdr:cNvPr id="4" name="Rectangle 3"/>
        <xdr:cNvSpPr/>
      </xdr:nvSpPr>
      <xdr:spPr>
        <a:xfrm>
          <a:off x="3638550" y="1171575"/>
          <a:ext cx="1847850" cy="733425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/>
            <a:t>RMD will generate</a:t>
          </a:r>
          <a:r>
            <a:rPr lang="en-MY" sz="1100" baseline="0"/>
            <a:t> GMRS and IBU reports data for Dummy Deals</a:t>
          </a:r>
          <a:r>
            <a:rPr lang="en-MY" sz="1100"/>
            <a:t> </a:t>
          </a:r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8</xdr:col>
      <xdr:colOff>9525</xdr:colOff>
      <xdr:row>11</xdr:row>
      <xdr:rowOff>19051</xdr:rowOff>
    </xdr:from>
    <xdr:to>
      <xdr:col>9</xdr:col>
      <xdr:colOff>57150</xdr:colOff>
      <xdr:row>12</xdr:row>
      <xdr:rowOff>114301</xdr:rowOff>
    </xdr:to>
    <xdr:sp macro="" textlink="">
      <xdr:nvSpPr>
        <xdr:cNvPr id="5" name="Rectangle 4"/>
        <xdr:cNvSpPr/>
      </xdr:nvSpPr>
      <xdr:spPr>
        <a:xfrm>
          <a:off x="4886325" y="2114551"/>
          <a:ext cx="657225" cy="28575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/>
            <a:t>BoeNPV</a:t>
          </a:r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8</xdr:col>
      <xdr:colOff>19050</xdr:colOff>
      <xdr:row>19</xdr:row>
      <xdr:rowOff>85725</xdr:rowOff>
    </xdr:from>
    <xdr:to>
      <xdr:col>9</xdr:col>
      <xdr:colOff>504825</xdr:colOff>
      <xdr:row>20</xdr:row>
      <xdr:rowOff>180975</xdr:rowOff>
    </xdr:to>
    <xdr:sp macro="" textlink="">
      <xdr:nvSpPr>
        <xdr:cNvPr id="6" name="Rectangle 5"/>
        <xdr:cNvSpPr/>
      </xdr:nvSpPr>
      <xdr:spPr>
        <a:xfrm>
          <a:off x="4895850" y="3705225"/>
          <a:ext cx="1095375" cy="28575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/>
            <a:t>GMRSFXDELTA</a:t>
          </a:r>
        </a:p>
        <a:p>
          <a:pPr algn="l"/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8</xdr:col>
      <xdr:colOff>9525</xdr:colOff>
      <xdr:row>16</xdr:row>
      <xdr:rowOff>114300</xdr:rowOff>
    </xdr:from>
    <xdr:to>
      <xdr:col>9</xdr:col>
      <xdr:colOff>304800</xdr:colOff>
      <xdr:row>18</xdr:row>
      <xdr:rowOff>28575</xdr:rowOff>
    </xdr:to>
    <xdr:sp macro="" textlink="">
      <xdr:nvSpPr>
        <xdr:cNvPr id="7" name="Rectangle 6"/>
        <xdr:cNvSpPr/>
      </xdr:nvSpPr>
      <xdr:spPr>
        <a:xfrm>
          <a:off x="4886325" y="3162300"/>
          <a:ext cx="904875" cy="295275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/>
            <a:t>GMRSDMAP</a:t>
          </a:r>
        </a:p>
        <a:p>
          <a:pPr algn="l"/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8</xdr:col>
      <xdr:colOff>0</xdr:colOff>
      <xdr:row>14</xdr:row>
      <xdr:rowOff>19050</xdr:rowOff>
    </xdr:from>
    <xdr:to>
      <xdr:col>9</xdr:col>
      <xdr:colOff>19050</xdr:colOff>
      <xdr:row>15</xdr:row>
      <xdr:rowOff>114300</xdr:rowOff>
    </xdr:to>
    <xdr:sp macro="" textlink="">
      <xdr:nvSpPr>
        <xdr:cNvPr id="8" name="Rectangle 7"/>
        <xdr:cNvSpPr/>
      </xdr:nvSpPr>
      <xdr:spPr>
        <a:xfrm>
          <a:off x="4876800" y="2686050"/>
          <a:ext cx="628650" cy="28575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/>
            <a:t>10BPV</a:t>
          </a:r>
        </a:p>
        <a:p>
          <a:pPr algn="l"/>
          <a:endParaRPr lang="en-MY" sz="1100"/>
        </a:p>
        <a:p>
          <a:pPr algn="l"/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3</xdr:col>
      <xdr:colOff>571500</xdr:colOff>
      <xdr:row>14</xdr:row>
      <xdr:rowOff>28575</xdr:rowOff>
    </xdr:from>
    <xdr:to>
      <xdr:col>6</xdr:col>
      <xdr:colOff>590550</xdr:colOff>
      <xdr:row>18</xdr:row>
      <xdr:rowOff>0</xdr:rowOff>
    </xdr:to>
    <xdr:sp macro="" textlink="">
      <xdr:nvSpPr>
        <xdr:cNvPr id="9" name="Rectangle 8"/>
        <xdr:cNvSpPr/>
      </xdr:nvSpPr>
      <xdr:spPr>
        <a:xfrm>
          <a:off x="2400300" y="2695575"/>
          <a:ext cx="1847850" cy="733425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/>
            <a:t>Dummy Deals GMRS &amp;</a:t>
          </a:r>
          <a:r>
            <a:rPr lang="en-MY" sz="1100" baseline="0"/>
            <a:t> IBU data will be appended to production reports</a:t>
          </a:r>
        </a:p>
        <a:p>
          <a:pPr algn="l"/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11</xdr:col>
      <xdr:colOff>9524</xdr:colOff>
      <xdr:row>6</xdr:row>
      <xdr:rowOff>9525</xdr:rowOff>
    </xdr:from>
    <xdr:to>
      <xdr:col>14</xdr:col>
      <xdr:colOff>171449</xdr:colOff>
      <xdr:row>9</xdr:row>
      <xdr:rowOff>180974</xdr:rowOff>
    </xdr:to>
    <xdr:sp macro="" textlink="">
      <xdr:nvSpPr>
        <xdr:cNvPr id="10" name="Rectangle 9"/>
        <xdr:cNvSpPr/>
      </xdr:nvSpPr>
      <xdr:spPr>
        <a:xfrm>
          <a:off x="6715124" y="1152525"/>
          <a:ext cx="1990725" cy="742949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 baseline="0"/>
            <a:t>RMD will keep a list of dummy deals done for the day</a:t>
          </a:r>
        </a:p>
        <a:p>
          <a:pPr algn="l"/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21</xdr:col>
      <xdr:colOff>333375</xdr:colOff>
      <xdr:row>6</xdr:row>
      <xdr:rowOff>9525</xdr:rowOff>
    </xdr:from>
    <xdr:to>
      <xdr:col>24</xdr:col>
      <xdr:colOff>352425</xdr:colOff>
      <xdr:row>9</xdr:row>
      <xdr:rowOff>180975</xdr:rowOff>
    </xdr:to>
    <xdr:sp macro="" textlink="">
      <xdr:nvSpPr>
        <xdr:cNvPr id="11" name="Rectangle 10"/>
        <xdr:cNvSpPr/>
      </xdr:nvSpPr>
      <xdr:spPr>
        <a:xfrm>
          <a:off x="13134975" y="1152525"/>
          <a:ext cx="1847850" cy="742950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 baseline="0"/>
            <a:t>TRE will send their set of dummy deals done for the day</a:t>
          </a:r>
        </a:p>
        <a:p>
          <a:pPr algn="l"/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16</xdr:col>
      <xdr:colOff>171450</xdr:colOff>
      <xdr:row>6</xdr:row>
      <xdr:rowOff>0</xdr:rowOff>
    </xdr:from>
    <xdr:to>
      <xdr:col>19</xdr:col>
      <xdr:colOff>342900</xdr:colOff>
      <xdr:row>10</xdr:row>
      <xdr:rowOff>9525</xdr:rowOff>
    </xdr:to>
    <xdr:sp macro="" textlink="">
      <xdr:nvSpPr>
        <xdr:cNvPr id="12" name="Oval 11"/>
        <xdr:cNvSpPr/>
      </xdr:nvSpPr>
      <xdr:spPr>
        <a:xfrm>
          <a:off x="9925050" y="1143000"/>
          <a:ext cx="2000250" cy="771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MY" sz="1100"/>
            <a:t>Reconsolidate</a:t>
          </a:r>
          <a:r>
            <a:rPr lang="en-MY" sz="1100" baseline="0"/>
            <a:t> the list </a:t>
          </a:r>
        </a:p>
        <a:p>
          <a:pPr algn="l"/>
          <a:r>
            <a:rPr lang="en-MY" sz="1100" baseline="0"/>
            <a:t>(check and compare)</a:t>
          </a:r>
        </a:p>
        <a:p>
          <a:pPr algn="l"/>
          <a:endParaRPr lang="en-MY" sz="1100"/>
        </a:p>
      </xdr:txBody>
    </xdr:sp>
    <xdr:clientData/>
  </xdr:twoCellAnchor>
  <xdr:twoCellAnchor>
    <xdr:from>
      <xdr:col>7</xdr:col>
      <xdr:colOff>19050</xdr:colOff>
      <xdr:row>11</xdr:row>
      <xdr:rowOff>47625</xdr:rowOff>
    </xdr:from>
    <xdr:to>
      <xdr:col>7</xdr:col>
      <xdr:colOff>495300</xdr:colOff>
      <xdr:row>21</xdr:row>
      <xdr:rowOff>9525</xdr:rowOff>
    </xdr:to>
    <xdr:sp macro="" textlink="">
      <xdr:nvSpPr>
        <xdr:cNvPr id="13" name="Right Brace 12"/>
        <xdr:cNvSpPr/>
      </xdr:nvSpPr>
      <xdr:spPr>
        <a:xfrm rot="10800000">
          <a:off x="4286250" y="2143125"/>
          <a:ext cx="476250" cy="1866900"/>
        </a:xfrm>
        <a:prstGeom prst="rightBrace">
          <a:avLst/>
        </a:prstGeom>
        <a:noFill/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MY" sz="1100"/>
        </a:p>
      </xdr:txBody>
    </xdr:sp>
    <xdr:clientData/>
  </xdr:twoCellAnchor>
  <xdr:twoCellAnchor>
    <xdr:from>
      <xdr:col>4</xdr:col>
      <xdr:colOff>66675</xdr:colOff>
      <xdr:row>8</xdr:row>
      <xdr:rowOff>9525</xdr:rowOff>
    </xdr:from>
    <xdr:to>
      <xdr:col>5</xdr:col>
      <xdr:colOff>571500</xdr:colOff>
      <xdr:row>8</xdr:row>
      <xdr:rowOff>9525</xdr:rowOff>
    </xdr:to>
    <xdr:cxnSp macro="">
      <xdr:nvCxnSpPr>
        <xdr:cNvPr id="17" name="Straight Arrow Connector 16"/>
        <xdr:cNvCxnSpPr/>
      </xdr:nvCxnSpPr>
      <xdr:spPr>
        <a:xfrm>
          <a:off x="2505075" y="1533525"/>
          <a:ext cx="1114425" cy="0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8</xdr:row>
      <xdr:rowOff>9525</xdr:rowOff>
    </xdr:from>
    <xdr:to>
      <xdr:col>10</xdr:col>
      <xdr:colOff>552450</xdr:colOff>
      <xdr:row>8</xdr:row>
      <xdr:rowOff>9525</xdr:rowOff>
    </xdr:to>
    <xdr:cxnSp macro="">
      <xdr:nvCxnSpPr>
        <xdr:cNvPr id="28" name="Straight Arrow Connector 27"/>
        <xdr:cNvCxnSpPr/>
      </xdr:nvCxnSpPr>
      <xdr:spPr>
        <a:xfrm>
          <a:off x="5572125" y="1533525"/>
          <a:ext cx="1076325" cy="0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8</xdr:row>
      <xdr:rowOff>0</xdr:rowOff>
    </xdr:from>
    <xdr:to>
      <xdr:col>16</xdr:col>
      <xdr:colOff>76200</xdr:colOff>
      <xdr:row>8</xdr:row>
      <xdr:rowOff>0</xdr:rowOff>
    </xdr:to>
    <xdr:cxnSp macro="">
      <xdr:nvCxnSpPr>
        <xdr:cNvPr id="32" name="Straight Arrow Connector 31"/>
        <xdr:cNvCxnSpPr/>
      </xdr:nvCxnSpPr>
      <xdr:spPr>
        <a:xfrm>
          <a:off x="8782050" y="1524000"/>
          <a:ext cx="1047750" cy="0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438150</xdr:colOff>
      <xdr:row>8</xdr:row>
      <xdr:rowOff>0</xdr:rowOff>
    </xdr:from>
    <xdr:to>
      <xdr:col>21</xdr:col>
      <xdr:colOff>219076</xdr:colOff>
      <xdr:row>8</xdr:row>
      <xdr:rowOff>0</xdr:rowOff>
    </xdr:to>
    <xdr:cxnSp macro="">
      <xdr:nvCxnSpPr>
        <xdr:cNvPr id="34" name="Straight Arrow Connector 33"/>
        <xdr:cNvCxnSpPr/>
      </xdr:nvCxnSpPr>
      <xdr:spPr>
        <a:xfrm flipH="1">
          <a:off x="12020550" y="1524000"/>
          <a:ext cx="1000126" cy="0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257175</xdr:colOff>
      <xdr:row>16</xdr:row>
      <xdr:rowOff>0</xdr:rowOff>
    </xdr:from>
    <xdr:to>
      <xdr:col>16</xdr:col>
      <xdr:colOff>400050</xdr:colOff>
      <xdr:row>18</xdr:row>
      <xdr:rowOff>9525</xdr:rowOff>
    </xdr:to>
    <xdr:sp macro="" textlink="">
      <xdr:nvSpPr>
        <xdr:cNvPr id="38" name="Rectangle 37"/>
        <xdr:cNvSpPr/>
      </xdr:nvSpPr>
      <xdr:spPr>
        <a:xfrm>
          <a:off x="9401175" y="3067050"/>
          <a:ext cx="75247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/>
            <a:t>OK</a:t>
          </a:r>
        </a:p>
        <a:p>
          <a:pPr algn="ctr"/>
          <a:endParaRPr lang="en-MY" sz="1100"/>
        </a:p>
      </xdr:txBody>
    </xdr:sp>
    <xdr:clientData/>
  </xdr:twoCellAnchor>
  <xdr:twoCellAnchor>
    <xdr:from>
      <xdr:col>19</xdr:col>
      <xdr:colOff>161925</xdr:colOff>
      <xdr:row>15</xdr:row>
      <xdr:rowOff>142875</xdr:rowOff>
    </xdr:from>
    <xdr:to>
      <xdr:col>20</xdr:col>
      <xdr:colOff>304800</xdr:colOff>
      <xdr:row>18</xdr:row>
      <xdr:rowOff>0</xdr:rowOff>
    </xdr:to>
    <xdr:sp macro="" textlink="">
      <xdr:nvSpPr>
        <xdr:cNvPr id="39" name="Rectangle 38"/>
        <xdr:cNvSpPr/>
      </xdr:nvSpPr>
      <xdr:spPr>
        <a:xfrm>
          <a:off x="11744325" y="3019425"/>
          <a:ext cx="75247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100"/>
            <a:t>NOT</a:t>
          </a:r>
          <a:r>
            <a:rPr lang="en-MY" sz="1100" baseline="0"/>
            <a:t> </a:t>
          </a:r>
          <a:r>
            <a:rPr lang="en-MY" sz="1100"/>
            <a:t>OK</a:t>
          </a:r>
        </a:p>
        <a:p>
          <a:pPr algn="ctr"/>
          <a:endParaRPr lang="en-MY" sz="1100"/>
        </a:p>
      </xdr:txBody>
    </xdr:sp>
    <xdr:clientData/>
  </xdr:twoCellAnchor>
  <xdr:twoCellAnchor>
    <xdr:from>
      <xdr:col>16</xdr:col>
      <xdr:colOff>23813</xdr:colOff>
      <xdr:row>9</xdr:row>
      <xdr:rowOff>87038</xdr:rowOff>
    </xdr:from>
    <xdr:to>
      <xdr:col>16</xdr:col>
      <xdr:colOff>464380</xdr:colOff>
      <xdr:row>16</xdr:row>
      <xdr:rowOff>0</xdr:rowOff>
    </xdr:to>
    <xdr:cxnSp macro="">
      <xdr:nvCxnSpPr>
        <xdr:cNvPr id="41" name="Straight Arrow Connector 40"/>
        <xdr:cNvCxnSpPr>
          <a:stCxn id="12" idx="3"/>
          <a:endCxn id="38" idx="0"/>
        </xdr:cNvCxnSpPr>
      </xdr:nvCxnSpPr>
      <xdr:spPr>
        <a:xfrm flipH="1">
          <a:off x="9777413" y="1820588"/>
          <a:ext cx="440567" cy="1246462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49970</xdr:colOff>
      <xdr:row>9</xdr:row>
      <xdr:rowOff>87038</xdr:rowOff>
    </xdr:from>
    <xdr:to>
      <xdr:col>19</xdr:col>
      <xdr:colOff>538163</xdr:colOff>
      <xdr:row>15</xdr:row>
      <xdr:rowOff>142875</xdr:rowOff>
    </xdr:to>
    <xdr:cxnSp macro="">
      <xdr:nvCxnSpPr>
        <xdr:cNvPr id="43" name="Straight Arrow Connector 42"/>
        <xdr:cNvCxnSpPr>
          <a:stCxn id="12" idx="5"/>
          <a:endCxn id="39" idx="0"/>
        </xdr:cNvCxnSpPr>
      </xdr:nvCxnSpPr>
      <xdr:spPr>
        <a:xfrm>
          <a:off x="11632370" y="1820588"/>
          <a:ext cx="488193" cy="1198837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38100</xdr:colOff>
      <xdr:row>24</xdr:row>
      <xdr:rowOff>19050</xdr:rowOff>
    </xdr:from>
    <xdr:to>
      <xdr:col>16</xdr:col>
      <xdr:colOff>552450</xdr:colOff>
      <xdr:row>25</xdr:row>
      <xdr:rowOff>114300</xdr:rowOff>
    </xdr:to>
    <xdr:sp macro="" textlink="">
      <xdr:nvSpPr>
        <xdr:cNvPr id="46" name="Rectangle 45"/>
        <xdr:cNvSpPr/>
      </xdr:nvSpPr>
      <xdr:spPr>
        <a:xfrm>
          <a:off x="9182100" y="4610100"/>
          <a:ext cx="1123950" cy="28575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MY" sz="1100"/>
            <a:t>Run</a:t>
          </a:r>
          <a:r>
            <a:rPr lang="en-MY" sz="1100" baseline="0"/>
            <a:t> EOD (Flash)</a:t>
          </a:r>
        </a:p>
        <a:p>
          <a:pPr algn="l"/>
          <a:endParaRPr lang="en-MY" sz="1100" baseline="0"/>
        </a:p>
        <a:p>
          <a:pPr algn="l"/>
          <a:endParaRPr lang="en-MY" sz="1100"/>
        </a:p>
      </xdr:txBody>
    </xdr:sp>
    <xdr:clientData/>
  </xdr:twoCellAnchor>
  <xdr:twoCellAnchor>
    <xdr:from>
      <xdr:col>15</xdr:col>
      <xdr:colOff>600075</xdr:colOff>
      <xdr:row>18</xdr:row>
      <xdr:rowOff>47625</xdr:rowOff>
    </xdr:from>
    <xdr:to>
      <xdr:col>16</xdr:col>
      <xdr:colOff>19050</xdr:colOff>
      <xdr:row>24</xdr:row>
      <xdr:rowOff>9525</xdr:rowOff>
    </xdr:to>
    <xdr:cxnSp macro="">
      <xdr:nvCxnSpPr>
        <xdr:cNvPr id="48" name="Straight Arrow Connector 47"/>
        <xdr:cNvCxnSpPr/>
      </xdr:nvCxnSpPr>
      <xdr:spPr>
        <a:xfrm>
          <a:off x="9744075" y="3495675"/>
          <a:ext cx="28575" cy="1104900"/>
        </a:xfrm>
        <a:prstGeom prst="straightConnector1">
          <a:avLst/>
        </a:prstGeom>
        <a:ln w="158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561975</xdr:colOff>
      <xdr:row>10</xdr:row>
      <xdr:rowOff>9526</xdr:rowOff>
    </xdr:from>
    <xdr:to>
      <xdr:col>19</xdr:col>
      <xdr:colOff>161925</xdr:colOff>
      <xdr:row>16</xdr:row>
      <xdr:rowOff>166689</xdr:rowOff>
    </xdr:to>
    <xdr:cxnSp macro="">
      <xdr:nvCxnSpPr>
        <xdr:cNvPr id="14" name="Curved Connector 13"/>
        <xdr:cNvCxnSpPr>
          <a:stCxn id="39" idx="1"/>
          <a:endCxn id="12" idx="4"/>
        </xdr:cNvCxnSpPr>
      </xdr:nvCxnSpPr>
      <xdr:spPr>
        <a:xfrm rot="10800000">
          <a:off x="10925175" y="1933576"/>
          <a:ext cx="819150" cy="1300163"/>
        </a:xfrm>
        <a:prstGeom prst="curvedConnector2">
          <a:avLst/>
        </a:prstGeom>
        <a:ln w="1905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4</xdr:row>
          <xdr:rowOff>180975</xdr:rowOff>
        </xdr:from>
        <xdr:to>
          <xdr:col>5</xdr:col>
          <xdr:colOff>666750</xdr:colOff>
          <xdr:row>5</xdr:row>
          <xdr:rowOff>333375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70</xdr:row>
          <xdr:rowOff>85725</xdr:rowOff>
        </xdr:from>
        <xdr:to>
          <xdr:col>2</xdr:col>
          <xdr:colOff>1143000</xdr:colOff>
          <xdr:row>72</xdr:row>
          <xdr:rowOff>133350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86</xdr:row>
          <xdr:rowOff>85725</xdr:rowOff>
        </xdr:from>
        <xdr:to>
          <xdr:col>2</xdr:col>
          <xdr:colOff>1143000</xdr:colOff>
          <xdr:row>88</xdr:row>
          <xdr:rowOff>133350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79</xdr:row>
          <xdr:rowOff>66675</xdr:rowOff>
        </xdr:from>
        <xdr:to>
          <xdr:col>2</xdr:col>
          <xdr:colOff>1152525</xdr:colOff>
          <xdr:row>81</xdr:row>
          <xdr:rowOff>114300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9</xdr:row>
          <xdr:rowOff>114300</xdr:rowOff>
        </xdr:from>
        <xdr:to>
          <xdr:col>3</xdr:col>
          <xdr:colOff>0</xdr:colOff>
          <xdr:row>11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114300</xdr:rowOff>
        </xdr:from>
        <xdr:to>
          <xdr:col>3</xdr:col>
          <xdr:colOff>1028700</xdr:colOff>
          <xdr:row>11</xdr:row>
          <xdr:rowOff>38100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11</xdr:row>
          <xdr:rowOff>85725</xdr:rowOff>
        </xdr:from>
        <xdr:to>
          <xdr:col>3</xdr:col>
          <xdr:colOff>1028700</xdr:colOff>
          <xdr:row>13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Reports</a:t>
              </a:r>
              <a:endParaRPr lang="en-US" sz="9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</a:rPr>
                <a:t>(BOENPV, FXDELTA, FX10BPV, DELTAMAP)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19</xdr:row>
      <xdr:rowOff>1</xdr:rowOff>
    </xdr:from>
    <xdr:to>
      <xdr:col>13</xdr:col>
      <xdr:colOff>104775</xdr:colOff>
      <xdr:row>20</xdr:row>
      <xdr:rowOff>114301</xdr:rowOff>
    </xdr:to>
    <xdr:sp macro="" textlink="">
      <xdr:nvSpPr>
        <xdr:cNvPr id="2" name="Rectangle 1"/>
        <xdr:cNvSpPr/>
      </xdr:nvSpPr>
      <xdr:spPr>
        <a:xfrm>
          <a:off x="10506075" y="4781551"/>
          <a:ext cx="4048125" cy="3429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>
            <a:defRPr sz="1000"/>
          </a:pPr>
          <a:r>
            <a:rPr lang="en-MY" sz="1100" b="1" i="0" u="none" strike="noStrike" baseline="0">
              <a:solidFill>
                <a:srgbClr val="0066CC"/>
              </a:solidFill>
              <a:latin typeface="Calibri"/>
              <a:cs typeface="Calibri"/>
            </a:rPr>
            <a:t>Paste the latest 10BPV files with header at B1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600075</xdr:colOff>
      <xdr:row>16</xdr:row>
      <xdr:rowOff>19050</xdr:rowOff>
    </xdr:from>
    <xdr:to>
      <xdr:col>15</xdr:col>
      <xdr:colOff>561975</xdr:colOff>
      <xdr:row>21</xdr:row>
      <xdr:rowOff>142875</xdr:rowOff>
    </xdr:to>
    <xdr:sp macro="" textlink="">
      <xdr:nvSpPr>
        <xdr:cNvPr id="4" name="Flowchart: Document 3"/>
        <xdr:cNvSpPr/>
      </xdr:nvSpPr>
      <xdr:spPr>
        <a:xfrm>
          <a:off x="8524875" y="3124200"/>
          <a:ext cx="1181100" cy="1076325"/>
        </a:xfrm>
        <a:prstGeom prst="flowChartDocumen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5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MYC_FOREX.csv</a:t>
          </a:r>
        </a:p>
      </xdr:txBody>
    </xdr:sp>
    <xdr:clientData/>
  </xdr:twoCellAnchor>
  <xdr:twoCellAnchor>
    <xdr:from>
      <xdr:col>17</xdr:col>
      <xdr:colOff>57150</xdr:colOff>
      <xdr:row>16</xdr:row>
      <xdr:rowOff>19050</xdr:rowOff>
    </xdr:from>
    <xdr:to>
      <xdr:col>19</xdr:col>
      <xdr:colOff>19050</xdr:colOff>
      <xdr:row>21</xdr:row>
      <xdr:rowOff>142875</xdr:rowOff>
    </xdr:to>
    <xdr:sp macro="" textlink="">
      <xdr:nvSpPr>
        <xdr:cNvPr id="6" name="Flowchart: Document 5"/>
        <xdr:cNvSpPr/>
      </xdr:nvSpPr>
      <xdr:spPr>
        <a:xfrm>
          <a:off x="10420350" y="3124200"/>
          <a:ext cx="1181100" cy="1076325"/>
        </a:xfrm>
        <a:prstGeom prst="flowChartDocumen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5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MYC_PERIODIC_INTEREST.csv</a:t>
          </a:r>
        </a:p>
      </xdr:txBody>
    </xdr:sp>
    <xdr:clientData/>
  </xdr:twoCellAnchor>
  <xdr:twoCellAnchor editAs="oneCell">
    <xdr:from>
      <xdr:col>16</xdr:col>
      <xdr:colOff>428625</xdr:colOff>
      <xdr:row>5</xdr:row>
      <xdr:rowOff>28574</xdr:rowOff>
    </xdr:from>
    <xdr:to>
      <xdr:col>19</xdr:col>
      <xdr:colOff>256968</xdr:colOff>
      <xdr:row>11</xdr:row>
      <xdr:rowOff>85563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668"/>
        <a:stretch/>
      </xdr:blipFill>
      <xdr:spPr>
        <a:xfrm>
          <a:off x="10182225" y="1038224"/>
          <a:ext cx="1657143" cy="1199989"/>
        </a:xfrm>
        <a:prstGeom prst="rect">
          <a:avLst/>
        </a:prstGeom>
      </xdr:spPr>
    </xdr:pic>
    <xdr:clientData/>
  </xdr:twoCellAnchor>
  <xdr:twoCellAnchor>
    <xdr:from>
      <xdr:col>14</xdr:col>
      <xdr:colOff>581026</xdr:colOff>
      <xdr:row>11</xdr:row>
      <xdr:rowOff>85562</xdr:rowOff>
    </xdr:from>
    <xdr:to>
      <xdr:col>18</xdr:col>
      <xdr:colOff>37998</xdr:colOff>
      <xdr:row>16</xdr:row>
      <xdr:rowOff>19049</xdr:rowOff>
    </xdr:to>
    <xdr:cxnSp macro="">
      <xdr:nvCxnSpPr>
        <xdr:cNvPr id="9" name="Elbow Connector 8"/>
        <xdr:cNvCxnSpPr>
          <a:stCxn id="7" idx="2"/>
          <a:endCxn id="4" idx="0"/>
        </xdr:cNvCxnSpPr>
      </xdr:nvCxnSpPr>
      <xdr:spPr>
        <a:xfrm rot="5400000">
          <a:off x="9620118" y="1733520"/>
          <a:ext cx="885987" cy="1895372"/>
        </a:xfrm>
        <a:prstGeom prst="bentConnector3">
          <a:avLst/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37997</xdr:colOff>
      <xdr:row>11</xdr:row>
      <xdr:rowOff>85562</xdr:rowOff>
    </xdr:from>
    <xdr:to>
      <xdr:col>18</xdr:col>
      <xdr:colOff>38100</xdr:colOff>
      <xdr:row>16</xdr:row>
      <xdr:rowOff>19049</xdr:rowOff>
    </xdr:to>
    <xdr:cxnSp macro="">
      <xdr:nvCxnSpPr>
        <xdr:cNvPr id="11" name="Elbow Connector 10"/>
        <xdr:cNvCxnSpPr>
          <a:stCxn id="7" idx="2"/>
          <a:endCxn id="6" idx="0"/>
        </xdr:cNvCxnSpPr>
      </xdr:nvCxnSpPr>
      <xdr:spPr>
        <a:xfrm rot="16200000" flipH="1">
          <a:off x="10567855" y="2681154"/>
          <a:ext cx="885987" cy="103"/>
        </a:xfrm>
        <a:prstGeom prst="bentConnector3">
          <a:avLst/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66675</xdr:colOff>
      <xdr:row>16</xdr:row>
      <xdr:rowOff>5443</xdr:rowOff>
    </xdr:from>
    <xdr:to>
      <xdr:col>22</xdr:col>
      <xdr:colOff>28575</xdr:colOff>
      <xdr:row>21</xdr:row>
      <xdr:rowOff>129268</xdr:rowOff>
    </xdr:to>
    <xdr:sp macro="" textlink="">
      <xdr:nvSpPr>
        <xdr:cNvPr id="18" name="Flowchart: Document 17"/>
        <xdr:cNvSpPr/>
      </xdr:nvSpPr>
      <xdr:spPr>
        <a:xfrm>
          <a:off x="12313104" y="3189514"/>
          <a:ext cx="1186542" cy="1076325"/>
        </a:xfrm>
        <a:prstGeom prst="flowChartDocumen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5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MYC_CURRENCY.csv</a:t>
          </a:r>
        </a:p>
      </xdr:txBody>
    </xdr:sp>
    <xdr:clientData/>
  </xdr:twoCellAnchor>
  <xdr:twoCellAnchor>
    <xdr:from>
      <xdr:col>18</xdr:col>
      <xdr:colOff>36635</xdr:colOff>
      <xdr:row>11</xdr:row>
      <xdr:rowOff>85563</xdr:rowOff>
    </xdr:from>
    <xdr:to>
      <xdr:col>21</xdr:col>
      <xdr:colOff>47624</xdr:colOff>
      <xdr:row>16</xdr:row>
      <xdr:rowOff>5443</xdr:rowOff>
    </xdr:to>
    <xdr:cxnSp macro="">
      <xdr:nvCxnSpPr>
        <xdr:cNvPr id="19" name="Elbow Connector 18"/>
        <xdr:cNvCxnSpPr>
          <a:stCxn id="7" idx="2"/>
          <a:endCxn id="18" idx="0"/>
        </xdr:cNvCxnSpPr>
      </xdr:nvCxnSpPr>
      <xdr:spPr>
        <a:xfrm rot="16200000" flipH="1">
          <a:off x="11546208" y="1829347"/>
          <a:ext cx="872380" cy="1847953"/>
        </a:xfrm>
        <a:prstGeom prst="bentConnector3">
          <a:avLst>
            <a:gd name="adj1" fmla="val 50000"/>
          </a:avLst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572849</xdr:colOff>
      <xdr:row>30</xdr:row>
      <xdr:rowOff>57150</xdr:rowOff>
    </xdr:from>
    <xdr:to>
      <xdr:col>19</xdr:col>
      <xdr:colOff>122453</xdr:colOff>
      <xdr:row>37</xdr:row>
      <xdr:rowOff>142875</xdr:rowOff>
    </xdr:to>
    <xdr:sp macro="" textlink="">
      <xdr:nvSpPr>
        <xdr:cNvPr id="23" name="Flowchart: Document 22"/>
        <xdr:cNvSpPr/>
      </xdr:nvSpPr>
      <xdr:spPr>
        <a:xfrm>
          <a:off x="10369992" y="5908221"/>
          <a:ext cx="1386568" cy="1419225"/>
        </a:xfrm>
        <a:prstGeom prst="flowChartDocumen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5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Swap Deposit Management tool.xlsm</a:t>
          </a:r>
        </a:p>
      </xdr:txBody>
    </xdr:sp>
    <xdr:clientData/>
  </xdr:twoCellAnchor>
  <xdr:twoCellAnchor>
    <xdr:from>
      <xdr:col>14</xdr:col>
      <xdr:colOff>581024</xdr:colOff>
      <xdr:row>21</xdr:row>
      <xdr:rowOff>71718</xdr:rowOff>
    </xdr:from>
    <xdr:to>
      <xdr:col>18</xdr:col>
      <xdr:colOff>41489</xdr:colOff>
      <xdr:row>30</xdr:row>
      <xdr:rowOff>57150</xdr:rowOff>
    </xdr:to>
    <xdr:cxnSp macro="">
      <xdr:nvCxnSpPr>
        <xdr:cNvPr id="24" name="Elbow Connector 23"/>
        <xdr:cNvCxnSpPr>
          <a:stCxn id="4" idx="2"/>
          <a:endCxn id="23" idx="0"/>
        </xdr:cNvCxnSpPr>
      </xdr:nvCxnSpPr>
      <xdr:spPr>
        <a:xfrm rot="16200000" flipH="1">
          <a:off x="9258434" y="4103379"/>
          <a:ext cx="1699932" cy="1909751"/>
        </a:xfrm>
        <a:prstGeom prst="bentConnector3">
          <a:avLst>
            <a:gd name="adj1" fmla="val 50000"/>
          </a:avLst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</xdr:colOff>
      <xdr:row>21</xdr:row>
      <xdr:rowOff>71718</xdr:rowOff>
    </xdr:from>
    <xdr:to>
      <xdr:col>18</xdr:col>
      <xdr:colOff>41490</xdr:colOff>
      <xdr:row>30</xdr:row>
      <xdr:rowOff>57150</xdr:rowOff>
    </xdr:to>
    <xdr:cxnSp macro="">
      <xdr:nvCxnSpPr>
        <xdr:cNvPr id="29" name="Elbow Connector 28"/>
        <xdr:cNvCxnSpPr>
          <a:stCxn id="6" idx="2"/>
          <a:endCxn id="23" idx="0"/>
        </xdr:cNvCxnSpPr>
      </xdr:nvCxnSpPr>
      <xdr:spPr>
        <a:xfrm rot="16200000" flipH="1">
          <a:off x="10211615" y="5056560"/>
          <a:ext cx="1699932" cy="3390"/>
        </a:xfrm>
        <a:prstGeom prst="bentConnector3">
          <a:avLst/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41491</xdr:colOff>
      <xdr:row>21</xdr:row>
      <xdr:rowOff>58111</xdr:rowOff>
    </xdr:from>
    <xdr:to>
      <xdr:col>21</xdr:col>
      <xdr:colOff>47626</xdr:colOff>
      <xdr:row>30</xdr:row>
      <xdr:rowOff>57150</xdr:rowOff>
    </xdr:to>
    <xdr:cxnSp macro="">
      <xdr:nvCxnSpPr>
        <xdr:cNvPr id="32" name="Elbow Connector 31"/>
        <xdr:cNvCxnSpPr>
          <a:stCxn id="18" idx="2"/>
          <a:endCxn id="23" idx="0"/>
        </xdr:cNvCxnSpPr>
      </xdr:nvCxnSpPr>
      <xdr:spPr>
        <a:xfrm rot="5400000">
          <a:off x="11128057" y="4129902"/>
          <a:ext cx="1713539" cy="1843099"/>
        </a:xfrm>
        <a:prstGeom prst="bentConnector3">
          <a:avLst>
            <a:gd name="adj1" fmla="val 50000"/>
          </a:avLst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421811</xdr:colOff>
      <xdr:row>48</xdr:row>
      <xdr:rowOff>57149</xdr:rowOff>
    </xdr:from>
    <xdr:to>
      <xdr:col>19</xdr:col>
      <xdr:colOff>247433</xdr:colOff>
      <xdr:row>53</xdr:row>
      <xdr:rowOff>171288</xdr:rowOff>
    </xdr:to>
    <xdr:pic>
      <xdr:nvPicPr>
        <xdr:cNvPr id="35" name="Picture 3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668"/>
        <a:stretch/>
      </xdr:blipFill>
      <xdr:spPr>
        <a:xfrm>
          <a:off x="10218954" y="9337220"/>
          <a:ext cx="1662586" cy="1202711"/>
        </a:xfrm>
        <a:prstGeom prst="rect">
          <a:avLst/>
        </a:prstGeom>
      </xdr:spPr>
    </xdr:pic>
    <xdr:clientData/>
  </xdr:twoCellAnchor>
  <xdr:twoCellAnchor>
    <xdr:from>
      <xdr:col>17</xdr:col>
      <xdr:colOff>51697</xdr:colOff>
      <xdr:row>40</xdr:row>
      <xdr:rowOff>174170</xdr:rowOff>
    </xdr:from>
    <xdr:to>
      <xdr:col>19</xdr:col>
      <xdr:colOff>13597</xdr:colOff>
      <xdr:row>46</xdr:row>
      <xdr:rowOff>107495</xdr:rowOff>
    </xdr:to>
    <xdr:sp macro="" textlink="">
      <xdr:nvSpPr>
        <xdr:cNvPr id="36" name="Flowchart: Document 35"/>
        <xdr:cNvSpPr/>
      </xdr:nvSpPr>
      <xdr:spPr>
        <a:xfrm>
          <a:off x="10461161" y="8066313"/>
          <a:ext cx="1186543" cy="1212396"/>
        </a:xfrm>
        <a:prstGeom prst="flowChartDocumen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5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yyyymmddhhmmssFX10BP.csv</a:t>
          </a:r>
        </a:p>
      </xdr:txBody>
    </xdr:sp>
    <xdr:clientData/>
  </xdr:twoCellAnchor>
  <xdr:twoCellAnchor>
    <xdr:from>
      <xdr:col>18</xdr:col>
      <xdr:colOff>32647</xdr:colOff>
      <xdr:row>37</xdr:row>
      <xdr:rowOff>49049</xdr:rowOff>
    </xdr:from>
    <xdr:to>
      <xdr:col>18</xdr:col>
      <xdr:colOff>41490</xdr:colOff>
      <xdr:row>40</xdr:row>
      <xdr:rowOff>174171</xdr:rowOff>
    </xdr:to>
    <xdr:cxnSp macro="">
      <xdr:nvCxnSpPr>
        <xdr:cNvPr id="37" name="Elbow Connector 36"/>
        <xdr:cNvCxnSpPr>
          <a:stCxn id="23" idx="2"/>
          <a:endCxn id="36" idx="0"/>
        </xdr:cNvCxnSpPr>
      </xdr:nvCxnSpPr>
      <xdr:spPr>
        <a:xfrm rot="5400000">
          <a:off x="10710544" y="7713581"/>
          <a:ext cx="696622" cy="8843"/>
        </a:xfrm>
        <a:prstGeom prst="bentConnector3">
          <a:avLst>
            <a:gd name="adj1" fmla="val 50000"/>
          </a:avLst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28462</xdr:colOff>
      <xdr:row>46</xdr:row>
      <xdr:rowOff>27341</xdr:rowOff>
    </xdr:from>
    <xdr:to>
      <xdr:col>18</xdr:col>
      <xdr:colOff>32648</xdr:colOff>
      <xdr:row>48</xdr:row>
      <xdr:rowOff>57148</xdr:rowOff>
    </xdr:to>
    <xdr:cxnSp macro="">
      <xdr:nvCxnSpPr>
        <xdr:cNvPr id="40" name="Elbow Connector 39"/>
        <xdr:cNvCxnSpPr>
          <a:stCxn id="36" idx="2"/>
          <a:endCxn id="35" idx="0"/>
        </xdr:cNvCxnSpPr>
      </xdr:nvCxnSpPr>
      <xdr:spPr>
        <a:xfrm rot="5400000">
          <a:off x="10846937" y="9401866"/>
          <a:ext cx="410807" cy="4186"/>
        </a:xfrm>
        <a:prstGeom prst="bentConnector3">
          <a:avLst>
            <a:gd name="adj1" fmla="val 50000"/>
          </a:avLst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12245</xdr:colOff>
      <xdr:row>15</xdr:row>
      <xdr:rowOff>185058</xdr:rowOff>
    </xdr:from>
    <xdr:to>
      <xdr:col>24</xdr:col>
      <xdr:colOff>586466</xdr:colOff>
      <xdr:row>21</xdr:row>
      <xdr:rowOff>118383</xdr:rowOff>
    </xdr:to>
    <xdr:sp macro="" textlink="">
      <xdr:nvSpPr>
        <xdr:cNvPr id="17" name="Flowchart: Document 16"/>
        <xdr:cNvSpPr/>
      </xdr:nvSpPr>
      <xdr:spPr>
        <a:xfrm>
          <a:off x="14095638" y="3178629"/>
          <a:ext cx="1186542" cy="1076325"/>
        </a:xfrm>
        <a:prstGeom prst="flowChartDocument">
          <a:avLst/>
        </a:prstGeom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5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yyyymmddhhmmssFX10BP.csv</a:t>
          </a:r>
        </a:p>
      </xdr:txBody>
    </xdr:sp>
    <xdr:clientData/>
  </xdr:twoCellAnchor>
  <xdr:twoCellAnchor>
    <xdr:from>
      <xdr:col>19</xdr:col>
      <xdr:colOff>256968</xdr:colOff>
      <xdr:row>8</xdr:row>
      <xdr:rowOff>57069</xdr:rowOff>
    </xdr:from>
    <xdr:to>
      <xdr:col>23</xdr:col>
      <xdr:colOff>605516</xdr:colOff>
      <xdr:row>15</xdr:row>
      <xdr:rowOff>185058</xdr:rowOff>
    </xdr:to>
    <xdr:cxnSp macro="">
      <xdr:nvCxnSpPr>
        <xdr:cNvPr id="20" name="Elbow Connector 19"/>
        <xdr:cNvCxnSpPr>
          <a:stCxn id="7" idx="3"/>
          <a:endCxn id="17" idx="0"/>
        </xdr:cNvCxnSpPr>
      </xdr:nvCxnSpPr>
      <xdr:spPr>
        <a:xfrm>
          <a:off x="11891075" y="1717140"/>
          <a:ext cx="2797834" cy="1461489"/>
        </a:xfrm>
        <a:prstGeom prst="bentConnector2">
          <a:avLst/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122454</xdr:colOff>
      <xdr:row>21</xdr:row>
      <xdr:rowOff>47226</xdr:rowOff>
    </xdr:from>
    <xdr:to>
      <xdr:col>23</xdr:col>
      <xdr:colOff>605517</xdr:colOff>
      <xdr:row>34</xdr:row>
      <xdr:rowOff>4763</xdr:rowOff>
    </xdr:to>
    <xdr:cxnSp macro="">
      <xdr:nvCxnSpPr>
        <xdr:cNvPr id="22" name="Elbow Connector 21"/>
        <xdr:cNvCxnSpPr>
          <a:stCxn id="17" idx="2"/>
          <a:endCxn id="23" idx="3"/>
        </xdr:cNvCxnSpPr>
      </xdr:nvCxnSpPr>
      <xdr:spPr>
        <a:xfrm rot="5400000">
          <a:off x="12005717" y="3934641"/>
          <a:ext cx="2434037" cy="2932349"/>
        </a:xfrm>
        <a:prstGeom prst="bentConnector2">
          <a:avLst/>
        </a:prstGeom>
        <a:ln w="38100">
          <a:prstDash val="sysDot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alaysia\SWAPDEPO\1.%20FX%20GMRS%20&amp;%20IBU%20Excel%20Tool\Template%20of%20Dummy%20Deals%20and%20Data%20Warehous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alaysia\SWAPDEPO\1.%20FX%20GMRS%20&amp;%20IBU%20Excel%20Tool\10BPV%20&amp;%20DeltaMap\FX10BPV%20Simulation%20template%20V2%20-%20Cop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Details"/>
      <sheetName val="Dummy FX Swap"/>
      <sheetName val="Dummy MM Lending"/>
      <sheetName val="Dummy MM Borrowing"/>
      <sheetName val="FX Spot"/>
      <sheetName val="FX Data from T24"/>
      <sheetName val="MM Data from T24"/>
      <sheetName val="FX10BPV"/>
      <sheetName val="DeltaMap"/>
      <sheetName val="BOE"/>
      <sheetName val="Calculation BoeNPV"/>
      <sheetName val="Dummy BoeNPV"/>
      <sheetName val="Dummy FXDELTA"/>
      <sheetName val="Data validation"/>
      <sheetName val="Currency Rates"/>
      <sheetName val="Forward Rates"/>
      <sheetName val="Periodic Interest"/>
    </sheetNames>
    <sheetDataSet>
      <sheetData sheetId="0">
        <row r="3">
          <cell r="A3" t="str">
            <v>USD</v>
          </cell>
        </row>
        <row r="4">
          <cell r="A4" t="str">
            <v>MYR</v>
          </cell>
        </row>
        <row r="5">
          <cell r="A5" t="str">
            <v>EUR</v>
          </cell>
        </row>
        <row r="6">
          <cell r="A6" t="str">
            <v>GBP</v>
          </cell>
        </row>
        <row r="7">
          <cell r="A7" t="str">
            <v>JPY</v>
          </cell>
        </row>
        <row r="8">
          <cell r="A8" t="str">
            <v>AUD</v>
          </cell>
        </row>
        <row r="9">
          <cell r="A9" t="str">
            <v>CNH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ing tab"/>
      <sheetName val="Dummy GMRSDMAP"/>
      <sheetName val="DUMMY FX10BP"/>
      <sheetName val="Fx10bpv (Simulation)"/>
      <sheetName val="MYC_Currency"/>
      <sheetName val="MYC_PERIODIC_INTEREST"/>
      <sheetName val="Template verification"/>
      <sheetName val="Data Validation"/>
    </sheetNames>
    <sheetDataSet>
      <sheetData sheetId="0">
        <row r="1">
          <cell r="A1" t="str">
            <v>Base date</v>
          </cell>
        </row>
        <row r="3">
          <cell r="A3" t="str">
            <v>Id</v>
          </cell>
        </row>
        <row r="4">
          <cell r="A4" t="str">
            <v>FX1707300022</v>
          </cell>
        </row>
        <row r="11">
          <cell r="A11" t="str">
            <v>FX1707300022</v>
          </cell>
        </row>
        <row r="12">
          <cell r="N12" t="str">
            <v>PVBP in USD</v>
          </cell>
        </row>
        <row r="13">
          <cell r="A13" t="str">
            <v>MYR</v>
          </cell>
          <cell r="N13">
            <v>-3.3703801724529114</v>
          </cell>
        </row>
        <row r="15">
          <cell r="A15" t="str">
            <v>USD</v>
          </cell>
          <cell r="N15">
            <v>3.4018407604344247</v>
          </cell>
        </row>
        <row r="18">
          <cell r="A18" t="str">
            <v>Simulated GMRS-DMAP</v>
          </cell>
        </row>
        <row r="19">
          <cell r="A19" t="str">
            <v>ASOFDATE</v>
          </cell>
        </row>
        <row r="20">
          <cell r="A20">
            <v>42829</v>
          </cell>
        </row>
        <row r="21">
          <cell r="A21">
            <v>42829</v>
          </cell>
        </row>
        <row r="22">
          <cell r="A22">
            <v>42829</v>
          </cell>
        </row>
        <row r="23">
          <cell r="A23">
            <v>42829</v>
          </cell>
        </row>
        <row r="26">
          <cell r="A26" t="str">
            <v>Simulated FX10BP</v>
          </cell>
        </row>
        <row r="27">
          <cell r="A27" t="str">
            <v>RefNO</v>
          </cell>
        </row>
        <row r="28">
          <cell r="A28" t="str">
            <v>FX1707300022</v>
          </cell>
        </row>
        <row r="29">
          <cell r="A29" t="str">
            <v>FX1707300022</v>
          </cell>
        </row>
        <row r="37">
          <cell r="A37" t="str">
            <v/>
          </cell>
        </row>
        <row r="38">
          <cell r="N38" t="str">
            <v>PVBP in USD</v>
          </cell>
        </row>
        <row r="39">
          <cell r="A39" t="str">
            <v/>
          </cell>
          <cell r="N39" t="e">
            <v>#REF!</v>
          </cell>
        </row>
        <row r="41">
          <cell r="A41" t="str">
            <v/>
          </cell>
          <cell r="N41" t="e">
            <v>#REF!</v>
          </cell>
        </row>
        <row r="44">
          <cell r="A44">
            <v>0</v>
          </cell>
        </row>
        <row r="45">
          <cell r="N45" t="str">
            <v>PVBP in USD</v>
          </cell>
        </row>
        <row r="46">
          <cell r="A46">
            <v>0</v>
          </cell>
          <cell r="N46" t="e">
            <v>#REF!</v>
          </cell>
        </row>
        <row r="48">
          <cell r="A48">
            <v>0</v>
          </cell>
          <cell r="N48" t="e">
            <v>#REF!</v>
          </cell>
        </row>
        <row r="51">
          <cell r="A51">
            <v>0</v>
          </cell>
        </row>
        <row r="52">
          <cell r="N52" t="str">
            <v>PVBP in USD</v>
          </cell>
        </row>
        <row r="53">
          <cell r="A53">
            <v>0</v>
          </cell>
          <cell r="N53" t="e">
            <v>#REF!</v>
          </cell>
        </row>
        <row r="55">
          <cell r="A55">
            <v>0</v>
          </cell>
          <cell r="N55" t="e">
            <v>#REF!</v>
          </cell>
        </row>
        <row r="58">
          <cell r="A58">
            <v>0</v>
          </cell>
        </row>
        <row r="59">
          <cell r="N59" t="str">
            <v>PVBP in USD</v>
          </cell>
        </row>
        <row r="60">
          <cell r="A60">
            <v>0</v>
          </cell>
          <cell r="N60" t="e">
            <v>#REF!</v>
          </cell>
        </row>
        <row r="62">
          <cell r="A62">
            <v>0</v>
          </cell>
          <cell r="N62" t="e">
            <v>#REF!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X13"/>
  <sheetViews>
    <sheetView topLeftCell="B1" zoomScaleNormal="100" workbookViewId="0">
      <selection activeCell="I26" sqref="I26"/>
    </sheetView>
  </sheetViews>
  <sheetFormatPr defaultRowHeight="15"/>
  <cols>
    <col min="1" max="16384" width="9.140625" style="34"/>
  </cols>
  <sheetData>
    <row r="1" spans="3:24" ht="15.75" thickBot="1"/>
    <row r="2" spans="3:24" ht="15.75" thickBot="1">
      <c r="R2" s="276" t="s">
        <v>596</v>
      </c>
      <c r="S2" s="277"/>
      <c r="T2" s="277"/>
      <c r="U2" s="277"/>
      <c r="V2" s="277"/>
      <c r="W2" s="277"/>
      <c r="X2" s="278"/>
    </row>
    <row r="5" spans="3:24">
      <c r="C5" s="98" t="s">
        <v>592</v>
      </c>
      <c r="H5" s="98" t="s">
        <v>593</v>
      </c>
      <c r="M5" s="98" t="s">
        <v>593</v>
      </c>
      <c r="R5" s="98" t="s">
        <v>594</v>
      </c>
      <c r="X5" s="98" t="s">
        <v>592</v>
      </c>
    </row>
    <row r="8" spans="3:24">
      <c r="E8" s="274" t="s">
        <v>595</v>
      </c>
      <c r="F8" s="274"/>
      <c r="T8" s="275" t="s">
        <v>595</v>
      </c>
      <c r="U8" s="275"/>
      <c r="V8" s="33"/>
    </row>
    <row r="13" spans="3:24">
      <c r="G13" s="34" t="s">
        <v>597</v>
      </c>
    </row>
  </sheetData>
  <mergeCells count="3">
    <mergeCell ref="E8:F8"/>
    <mergeCell ref="T8:U8"/>
    <mergeCell ref="R2:X2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C000"/>
  </sheetPr>
  <dimension ref="B1:V115"/>
  <sheetViews>
    <sheetView tabSelected="1" zoomScaleNormal="100" workbookViewId="0">
      <selection activeCell="B1" sqref="B1:H1"/>
    </sheetView>
  </sheetViews>
  <sheetFormatPr defaultRowHeight="15"/>
  <cols>
    <col min="1" max="2" width="5.7109375" style="34" customWidth="1"/>
    <col min="3" max="4" width="19.140625" style="34" customWidth="1"/>
    <col min="5" max="5" width="10.28515625" style="139" customWidth="1"/>
    <col min="6" max="6" width="16.140625" style="34" customWidth="1"/>
    <col min="7" max="8" width="5.7109375" style="34" customWidth="1"/>
    <col min="9" max="9" width="9.140625" style="34"/>
    <col min="10" max="10" width="9.140625" style="34" customWidth="1"/>
    <col min="11" max="11" width="9.5703125" style="34" customWidth="1"/>
    <col min="12" max="18" width="15.7109375" style="34" customWidth="1"/>
    <col min="19" max="19" width="13.7109375" style="34" customWidth="1"/>
    <col min="20" max="20" width="6.42578125" style="34" customWidth="1"/>
    <col min="21" max="16384" width="9.140625" style="34"/>
  </cols>
  <sheetData>
    <row r="1" spans="2:20" ht="15.75">
      <c r="B1" s="279" t="s">
        <v>673</v>
      </c>
      <c r="C1" s="280"/>
      <c r="D1" s="280"/>
      <c r="E1" s="280"/>
      <c r="F1" s="280"/>
      <c r="G1" s="280"/>
      <c r="H1" s="280"/>
    </row>
    <row r="2" spans="2:20" ht="15.75" thickBot="1"/>
    <row r="3" spans="2:20">
      <c r="B3" s="132"/>
      <c r="C3" s="133"/>
      <c r="D3" s="133"/>
      <c r="E3" s="140"/>
      <c r="F3" s="133"/>
      <c r="G3" s="133"/>
      <c r="H3" s="133"/>
      <c r="I3" s="134"/>
      <c r="K3" s="135" t="s">
        <v>683</v>
      </c>
      <c r="L3" s="135"/>
      <c r="M3" s="135"/>
      <c r="N3" s="135"/>
      <c r="O3" s="135"/>
      <c r="P3" s="135"/>
      <c r="Q3" s="135"/>
      <c r="R3" s="135"/>
      <c r="S3" s="135"/>
      <c r="T3" s="135"/>
    </row>
    <row r="4" spans="2:20">
      <c r="B4" s="137"/>
      <c r="C4" s="129" t="s">
        <v>681</v>
      </c>
      <c r="D4" s="105"/>
      <c r="E4" s="141"/>
      <c r="F4" s="105"/>
      <c r="G4" s="105"/>
      <c r="H4" s="105"/>
      <c r="I4" s="106"/>
      <c r="K4" s="135" t="s">
        <v>684</v>
      </c>
      <c r="L4" s="135"/>
      <c r="M4" s="135"/>
      <c r="N4" s="135"/>
      <c r="O4" s="135"/>
      <c r="P4" s="135"/>
      <c r="Q4" s="135"/>
      <c r="R4" s="135"/>
      <c r="S4" s="135"/>
      <c r="T4" s="135"/>
    </row>
    <row r="5" spans="2:20" ht="15.75" thickBot="1">
      <c r="B5" s="137"/>
      <c r="C5" s="129"/>
      <c r="D5" s="105"/>
      <c r="E5" s="141"/>
      <c r="F5" s="105"/>
      <c r="G5" s="105"/>
      <c r="H5" s="105"/>
      <c r="I5" s="106"/>
      <c r="K5" s="135"/>
      <c r="L5" s="240" t="s">
        <v>662</v>
      </c>
      <c r="M5" s="240" t="s">
        <v>658</v>
      </c>
      <c r="N5" s="240" t="s">
        <v>659</v>
      </c>
      <c r="O5" s="240" t="s">
        <v>663</v>
      </c>
      <c r="P5" s="240" t="s">
        <v>660</v>
      </c>
      <c r="Q5" s="240" t="s">
        <v>661</v>
      </c>
      <c r="R5" s="240" t="s">
        <v>657</v>
      </c>
      <c r="S5" s="135"/>
      <c r="T5" s="135"/>
    </row>
    <row r="6" spans="2:20" ht="27.75" customHeight="1" thickBot="1">
      <c r="B6" s="137"/>
      <c r="C6" s="202" t="s">
        <v>656</v>
      </c>
      <c r="D6" s="136"/>
      <c r="E6" s="142"/>
      <c r="F6" s="130"/>
      <c r="G6" s="111"/>
      <c r="H6" s="111"/>
      <c r="I6" s="112"/>
      <c r="K6" s="135"/>
      <c r="L6" s="189"/>
      <c r="M6" s="190"/>
      <c r="N6" s="259"/>
      <c r="O6" s="189"/>
      <c r="P6" s="190"/>
      <c r="Q6" s="261"/>
      <c r="R6" s="265"/>
      <c r="S6" s="263"/>
      <c r="T6" s="135"/>
    </row>
    <row r="7" spans="2:20" ht="14.25" customHeight="1" thickBot="1">
      <c r="B7" s="138"/>
      <c r="C7" s="215"/>
      <c r="D7" s="216"/>
      <c r="E7" s="147"/>
      <c r="F7" s="146"/>
      <c r="G7" s="217"/>
      <c r="H7" s="217"/>
      <c r="I7" s="131"/>
      <c r="K7" s="135"/>
      <c r="L7" s="135"/>
      <c r="M7" s="193"/>
      <c r="N7" s="135"/>
      <c r="O7" s="135"/>
      <c r="P7" s="193"/>
      <c r="Q7" s="135"/>
      <c r="R7" s="135"/>
      <c r="S7" s="135"/>
      <c r="T7" s="135"/>
    </row>
    <row r="8" spans="2:20" ht="15.75" thickBot="1">
      <c r="B8" s="130"/>
      <c r="C8" s="115"/>
      <c r="D8" s="116"/>
      <c r="E8" s="143"/>
      <c r="F8" s="128"/>
      <c r="G8" s="128"/>
      <c r="H8" s="128"/>
      <c r="I8" s="111"/>
      <c r="K8" s="188"/>
      <c r="L8" s="188"/>
      <c r="M8" s="188"/>
      <c r="N8" s="188"/>
      <c r="O8" s="188"/>
      <c r="P8" s="188"/>
      <c r="Q8" s="188"/>
      <c r="R8" s="188"/>
      <c r="S8" s="188"/>
      <c r="T8" s="188"/>
    </row>
    <row r="9" spans="2:20">
      <c r="B9" s="132"/>
      <c r="C9" s="218"/>
      <c r="D9" s="219"/>
      <c r="E9" s="220"/>
      <c r="F9" s="221"/>
      <c r="G9" s="221"/>
      <c r="H9" s="221"/>
      <c r="I9" s="222"/>
      <c r="K9" s="135"/>
      <c r="L9" s="135"/>
      <c r="M9" s="135"/>
      <c r="N9" s="135"/>
      <c r="O9" s="135"/>
      <c r="P9" s="213"/>
      <c r="Q9" s="213"/>
      <c r="R9" s="135"/>
      <c r="S9" s="135"/>
      <c r="T9" s="135"/>
    </row>
    <row r="10" spans="2:20">
      <c r="B10" s="137"/>
      <c r="D10" s="130"/>
      <c r="E10" s="142"/>
      <c r="F10" s="130"/>
      <c r="G10" s="130"/>
      <c r="H10" s="130"/>
      <c r="I10" s="145"/>
      <c r="K10" s="135"/>
      <c r="L10" s="296"/>
      <c r="M10" s="297"/>
      <c r="N10" s="135"/>
      <c r="O10" s="213"/>
      <c r="P10" s="250" t="s">
        <v>664</v>
      </c>
      <c r="Q10" s="206"/>
      <c r="R10" s="135"/>
      <c r="S10" s="135"/>
      <c r="T10" s="135"/>
    </row>
    <row r="11" spans="2:20">
      <c r="B11" s="137"/>
      <c r="C11" s="129" t="s">
        <v>682</v>
      </c>
      <c r="D11" s="105"/>
      <c r="E11" s="141"/>
      <c r="F11" s="105"/>
      <c r="G11" s="105"/>
      <c r="H11" s="105"/>
      <c r="I11" s="106"/>
      <c r="K11" s="135"/>
      <c r="L11" s="297"/>
      <c r="M11" s="297"/>
      <c r="N11" s="135"/>
      <c r="O11" s="213"/>
      <c r="P11" s="251" t="s">
        <v>666</v>
      </c>
      <c r="Q11" s="187"/>
      <c r="R11" s="135"/>
      <c r="S11" s="135"/>
      <c r="T11" s="135"/>
    </row>
    <row r="12" spans="2:20" ht="15.75" thickBot="1">
      <c r="B12" s="137"/>
      <c r="C12" s="115"/>
      <c r="D12" s="116"/>
      <c r="E12" s="143"/>
      <c r="F12" s="128"/>
      <c r="G12" s="128"/>
      <c r="H12" s="128"/>
      <c r="I12" s="112"/>
      <c r="K12" s="135"/>
      <c r="L12" s="297"/>
      <c r="M12" s="297"/>
      <c r="N12" s="135"/>
      <c r="O12" s="213"/>
      <c r="P12" s="251" t="s">
        <v>669</v>
      </c>
      <c r="Q12" s="187"/>
      <c r="R12" s="135"/>
      <c r="S12" s="135"/>
      <c r="T12" s="135"/>
    </row>
    <row r="13" spans="2:20" ht="25.5" customHeight="1" thickBot="1">
      <c r="B13" s="137"/>
      <c r="C13" s="201" t="s">
        <v>591</v>
      </c>
      <c r="D13" s="264"/>
      <c r="E13" s="266"/>
      <c r="F13" s="130"/>
      <c r="G13" s="130"/>
      <c r="H13" s="130"/>
      <c r="I13" s="145"/>
      <c r="K13" s="135"/>
      <c r="L13" s="135"/>
      <c r="M13" s="135"/>
      <c r="N13" s="135"/>
      <c r="O13" s="213"/>
      <c r="P13" s="250" t="s">
        <v>12</v>
      </c>
      <c r="Q13" s="260"/>
      <c r="R13" s="135"/>
      <c r="S13" s="135"/>
      <c r="T13" s="135"/>
    </row>
    <row r="14" spans="2:20" ht="15.75" thickBot="1">
      <c r="B14" s="137"/>
      <c r="C14" s="130"/>
      <c r="D14" s="130"/>
      <c r="E14" s="142"/>
      <c r="F14" s="130"/>
      <c r="G14" s="130"/>
      <c r="H14" s="130"/>
      <c r="I14" s="145"/>
      <c r="K14" s="135"/>
      <c r="L14" s="135"/>
      <c r="M14" s="135"/>
      <c r="N14" s="135"/>
      <c r="O14" s="135"/>
      <c r="P14" s="135"/>
      <c r="Q14" s="135"/>
      <c r="R14" s="135"/>
      <c r="S14" s="135"/>
      <c r="T14" s="135"/>
    </row>
    <row r="15" spans="2:20" ht="15.75" thickBot="1">
      <c r="B15" s="137"/>
      <c r="C15" s="283" t="str">
        <f>"MARKET DATA (" &amp; $L$10 &amp; ")"</f>
        <v>MARKET DATA ()</v>
      </c>
      <c r="D15" s="284"/>
      <c r="E15" s="284"/>
      <c r="F15" s="285"/>
      <c r="G15" s="130"/>
      <c r="H15" s="130"/>
      <c r="I15" s="145"/>
      <c r="K15" s="135"/>
      <c r="L15" s="291" t="s">
        <v>680</v>
      </c>
      <c r="M15" s="293"/>
      <c r="N15" s="135"/>
      <c r="O15" s="291" t="s">
        <v>80</v>
      </c>
      <c r="P15" s="292"/>
      <c r="Q15" s="292"/>
      <c r="R15" s="293"/>
      <c r="S15" s="135"/>
      <c r="T15" s="135"/>
    </row>
    <row r="16" spans="2:20" ht="15.75" thickBot="1">
      <c r="B16" s="137"/>
      <c r="C16" s="197" t="s">
        <v>13</v>
      </c>
      <c r="D16" s="197" t="s">
        <v>14</v>
      </c>
      <c r="E16" s="198" t="s">
        <v>77</v>
      </c>
      <c r="F16" s="199" t="str">
        <f>$L$10 &amp; " Mid Rates"</f>
        <v xml:space="preserve"> Mid Rates</v>
      </c>
      <c r="G16" s="130"/>
      <c r="H16" s="130"/>
      <c r="I16" s="145"/>
      <c r="K16" s="135"/>
      <c r="L16" s="241" t="s">
        <v>13</v>
      </c>
      <c r="M16" s="241" t="s">
        <v>77</v>
      </c>
      <c r="N16" s="135"/>
      <c r="O16" s="245"/>
      <c r="P16" s="248" t="s">
        <v>82</v>
      </c>
      <c r="Q16" s="248" t="s">
        <v>83</v>
      </c>
      <c r="R16" s="248" t="s">
        <v>668</v>
      </c>
      <c r="S16" s="135"/>
      <c r="T16" s="135"/>
    </row>
    <row r="17" spans="2:20" ht="15.75" thickBot="1">
      <c r="B17" s="137"/>
      <c r="C17" s="196"/>
      <c r="D17" s="194"/>
      <c r="E17" s="195"/>
      <c r="F17" s="200"/>
      <c r="G17" s="130"/>
      <c r="H17" s="130"/>
      <c r="I17" s="145"/>
      <c r="K17" s="135"/>
      <c r="L17" s="149"/>
      <c r="M17" s="149"/>
      <c r="N17" s="135"/>
      <c r="O17" s="249" t="str">
        <f>"R-" &amp; Q11</f>
        <v>R-</v>
      </c>
      <c r="P17" s="230"/>
      <c r="Q17" s="229"/>
      <c r="R17" s="229"/>
      <c r="S17" s="135"/>
      <c r="T17" s="135"/>
    </row>
    <row r="18" spans="2:20" ht="15.75" thickBot="1">
      <c r="B18" s="137"/>
      <c r="C18" s="196"/>
      <c r="D18" s="194"/>
      <c r="E18" s="195"/>
      <c r="F18" s="200"/>
      <c r="G18" s="130"/>
      <c r="H18" s="130"/>
      <c r="I18" s="145"/>
      <c r="K18" s="135"/>
      <c r="L18" s="150"/>
      <c r="M18" s="151"/>
      <c r="N18" s="135"/>
      <c r="O18" s="249" t="str">
        <f>"R-" &amp; Q12</f>
        <v>R-</v>
      </c>
      <c r="P18" s="231"/>
      <c r="Q18" s="207"/>
      <c r="R18" s="207"/>
      <c r="S18" s="135"/>
      <c r="T18" s="135"/>
    </row>
    <row r="19" spans="2:20" ht="15.75" thickBot="1">
      <c r="B19" s="137"/>
      <c r="C19" s="196"/>
      <c r="D19" s="194"/>
      <c r="E19" s="195"/>
      <c r="F19" s="200"/>
      <c r="G19" s="130"/>
      <c r="H19" s="130"/>
      <c r="I19" s="145"/>
      <c r="K19" s="135"/>
      <c r="L19" s="150"/>
      <c r="M19" s="151"/>
      <c r="N19" s="135"/>
      <c r="O19" s="135"/>
      <c r="P19" s="135"/>
      <c r="Q19" s="135"/>
      <c r="R19" s="135"/>
      <c r="S19" s="135"/>
      <c r="T19" s="135"/>
    </row>
    <row r="20" spans="2:20" ht="15.75" thickBot="1">
      <c r="B20" s="137"/>
      <c r="C20" s="196"/>
      <c r="D20" s="194"/>
      <c r="E20" s="195"/>
      <c r="F20" s="200"/>
      <c r="G20" s="130"/>
      <c r="H20" s="130"/>
      <c r="I20" s="145"/>
      <c r="K20" s="135"/>
      <c r="L20" s="150"/>
      <c r="M20" s="151"/>
      <c r="N20" s="135"/>
      <c r="O20" s="291" t="s">
        <v>81</v>
      </c>
      <c r="P20" s="292"/>
      <c r="Q20" s="292"/>
      <c r="R20" s="293"/>
      <c r="S20" s="135"/>
      <c r="T20" s="135"/>
    </row>
    <row r="21" spans="2:20" ht="15.75" thickBot="1">
      <c r="B21" s="137"/>
      <c r="C21" s="196"/>
      <c r="D21" s="194"/>
      <c r="E21" s="195"/>
      <c r="F21" s="200"/>
      <c r="G21" s="130"/>
      <c r="H21" s="130"/>
      <c r="I21" s="145"/>
      <c r="K21" s="135"/>
      <c r="L21" s="150"/>
      <c r="M21" s="151"/>
      <c r="N21" s="135"/>
      <c r="O21" s="245"/>
      <c r="P21" s="245"/>
      <c r="Q21" s="248" t="s">
        <v>83</v>
      </c>
      <c r="R21" s="248" t="s">
        <v>668</v>
      </c>
      <c r="S21" s="135"/>
      <c r="T21" s="135"/>
    </row>
    <row r="22" spans="2:20" ht="15.75" thickBot="1">
      <c r="B22" s="137"/>
      <c r="C22" s="196"/>
      <c r="D22" s="194"/>
      <c r="E22" s="195"/>
      <c r="F22" s="200"/>
      <c r="G22" s="130"/>
      <c r="H22" s="130"/>
      <c r="I22" s="145"/>
      <c r="K22" s="135"/>
      <c r="L22" s="150"/>
      <c r="M22" s="151"/>
      <c r="N22" s="135"/>
      <c r="O22" s="294" t="s">
        <v>53</v>
      </c>
      <c r="P22" s="249" t="str">
        <f>"P-" &amp; $Q$11</f>
        <v>P-</v>
      </c>
      <c r="Q22" s="231"/>
      <c r="R22" s="229"/>
      <c r="S22" s="135"/>
      <c r="T22" s="135"/>
    </row>
    <row r="23" spans="2:20" ht="15.75" thickBot="1">
      <c r="B23" s="137"/>
      <c r="C23" s="196"/>
      <c r="D23" s="194"/>
      <c r="E23" s="195"/>
      <c r="F23" s="200"/>
      <c r="G23" s="130"/>
      <c r="H23" s="130"/>
      <c r="I23" s="145"/>
      <c r="K23" s="135"/>
      <c r="L23" s="150"/>
      <c r="M23" s="151"/>
      <c r="N23" s="135"/>
      <c r="O23" s="295"/>
      <c r="P23" s="249" t="str">
        <f>"P-" &amp; $Q$12</f>
        <v>P-</v>
      </c>
      <c r="Q23" s="231"/>
      <c r="R23" s="207"/>
      <c r="S23" s="135"/>
      <c r="T23" s="135"/>
    </row>
    <row r="24" spans="2:20" ht="15.75" thickBot="1">
      <c r="B24" s="137"/>
      <c r="C24" s="196"/>
      <c r="D24" s="194"/>
      <c r="E24" s="195"/>
      <c r="F24" s="200"/>
      <c r="G24" s="130"/>
      <c r="H24" s="130"/>
      <c r="I24" s="145"/>
      <c r="K24" s="135"/>
      <c r="L24" s="186"/>
      <c r="M24" s="187"/>
      <c r="N24" s="135"/>
      <c r="O24" s="294" t="s">
        <v>671</v>
      </c>
      <c r="P24" s="249" t="str">
        <f>"P-" &amp; $Q$11</f>
        <v>P-</v>
      </c>
      <c r="Q24" s="232"/>
      <c r="R24" s="211"/>
      <c r="S24" s="135"/>
      <c r="T24" s="135"/>
    </row>
    <row r="25" spans="2:20" ht="15.75" thickBot="1">
      <c r="B25" s="137"/>
      <c r="C25" s="196"/>
      <c r="D25" s="194"/>
      <c r="E25" s="195"/>
      <c r="F25" s="200"/>
      <c r="G25" s="130"/>
      <c r="H25" s="130"/>
      <c r="I25" s="145"/>
      <c r="K25" s="135"/>
      <c r="L25" s="186"/>
      <c r="M25" s="187"/>
      <c r="N25" s="135"/>
      <c r="O25" s="295"/>
      <c r="P25" s="249" t="str">
        <f>"P-" &amp; $Q$12</f>
        <v>P-</v>
      </c>
      <c r="Q25" s="232"/>
      <c r="R25" s="211"/>
      <c r="S25" s="135"/>
      <c r="T25" s="135"/>
    </row>
    <row r="26" spans="2:20" ht="15.75" thickBot="1">
      <c r="B26" s="137"/>
      <c r="C26" s="196"/>
      <c r="D26" s="194"/>
      <c r="E26" s="195"/>
      <c r="F26" s="200"/>
      <c r="G26" s="130"/>
      <c r="H26" s="130"/>
      <c r="I26" s="145"/>
      <c r="K26" s="135"/>
      <c r="L26" s="186"/>
      <c r="M26" s="187"/>
      <c r="N26" s="135"/>
      <c r="O26" s="294" t="s">
        <v>672</v>
      </c>
      <c r="P26" s="249" t="str">
        <f>"P-" &amp; $Q$11</f>
        <v>P-</v>
      </c>
      <c r="Q26" s="233"/>
      <c r="R26" s="208"/>
      <c r="S26" s="135"/>
      <c r="T26" s="135"/>
    </row>
    <row r="27" spans="2:20" ht="15.75" thickBot="1">
      <c r="B27" s="137"/>
      <c r="C27" s="196"/>
      <c r="D27" s="194"/>
      <c r="E27" s="195"/>
      <c r="F27" s="200"/>
      <c r="G27" s="130"/>
      <c r="H27" s="130"/>
      <c r="I27" s="145"/>
      <c r="K27" s="135"/>
      <c r="L27" s="186"/>
      <c r="M27" s="187"/>
      <c r="N27" s="135"/>
      <c r="O27" s="295"/>
      <c r="P27" s="249" t="str">
        <f>"P-" &amp; $Q$12</f>
        <v>P-</v>
      </c>
      <c r="Q27" s="233"/>
      <c r="R27" s="208"/>
      <c r="S27" s="135"/>
      <c r="T27" s="135"/>
    </row>
    <row r="28" spans="2:20" ht="15.75" thickBot="1">
      <c r="B28" s="137"/>
      <c r="C28" s="196"/>
      <c r="D28" s="194"/>
      <c r="E28" s="195"/>
      <c r="F28" s="200"/>
      <c r="G28" s="130"/>
      <c r="H28" s="130"/>
      <c r="I28" s="145"/>
      <c r="K28" s="135"/>
      <c r="L28" s="186"/>
      <c r="M28" s="187"/>
      <c r="N28" s="135"/>
      <c r="O28" s="135"/>
      <c r="P28" s="135"/>
      <c r="Q28" s="135"/>
      <c r="R28" s="135"/>
      <c r="S28" s="135"/>
      <c r="T28" s="135"/>
    </row>
    <row r="29" spans="2:20" ht="15.75" thickBot="1">
      <c r="B29" s="137"/>
      <c r="C29" s="196"/>
      <c r="D29" s="194"/>
      <c r="E29" s="195"/>
      <c r="F29" s="200"/>
      <c r="G29" s="130"/>
      <c r="H29" s="130"/>
      <c r="I29" s="145"/>
      <c r="K29" s="135"/>
      <c r="L29" s="186"/>
      <c r="M29" s="187"/>
      <c r="N29" s="135"/>
      <c r="O29" s="287" t="s">
        <v>665</v>
      </c>
      <c r="P29" s="288"/>
      <c r="Q29" s="288"/>
      <c r="R29" s="289"/>
      <c r="S29" s="135"/>
      <c r="T29" s="135"/>
    </row>
    <row r="30" spans="2:20" ht="15.75" thickBot="1">
      <c r="B30" s="137"/>
      <c r="C30" s="196"/>
      <c r="D30" s="194"/>
      <c r="E30" s="195"/>
      <c r="F30" s="200"/>
      <c r="G30" s="130"/>
      <c r="H30" s="130"/>
      <c r="I30" s="145"/>
      <c r="K30" s="135"/>
      <c r="L30" s="186"/>
      <c r="M30" s="187"/>
      <c r="N30" s="135"/>
      <c r="O30" s="246" t="s">
        <v>85</v>
      </c>
      <c r="P30" s="247" t="s">
        <v>685</v>
      </c>
      <c r="Q30" s="247" t="s">
        <v>686</v>
      </c>
      <c r="R30" s="255" t="s">
        <v>687</v>
      </c>
      <c r="S30" s="135"/>
      <c r="T30" s="135"/>
    </row>
    <row r="31" spans="2:20" ht="15.75" thickBot="1">
      <c r="B31" s="137"/>
      <c r="C31" s="196"/>
      <c r="D31" s="194"/>
      <c r="E31" s="195"/>
      <c r="F31" s="200"/>
      <c r="G31" s="130"/>
      <c r="H31" s="204"/>
      <c r="I31" s="145"/>
      <c r="K31" s="135"/>
      <c r="L31" s="135"/>
      <c r="M31" s="135"/>
      <c r="N31" s="135"/>
      <c r="O31" s="249" t="str">
        <f>"R-" &amp; $Q$11</f>
        <v>R-</v>
      </c>
      <c r="P31" s="235"/>
      <c r="Q31" s="234"/>
      <c r="R31" s="234"/>
      <c r="S31" s="135"/>
      <c r="T31" s="135"/>
    </row>
    <row r="32" spans="2:20" ht="15.75" thickBot="1">
      <c r="B32" s="137"/>
      <c r="C32" s="196"/>
      <c r="D32" s="194"/>
      <c r="E32" s="195"/>
      <c r="F32" s="200"/>
      <c r="G32" s="130"/>
      <c r="H32" s="130"/>
      <c r="I32" s="145"/>
      <c r="K32" s="273"/>
      <c r="L32" s="135"/>
      <c r="M32" s="135"/>
      <c r="N32" s="135"/>
      <c r="O32" s="249" t="str">
        <f>"R-" &amp; $Q$12</f>
        <v>R-</v>
      </c>
      <c r="P32" s="236"/>
      <c r="Q32" s="214"/>
      <c r="R32" s="214"/>
      <c r="S32" s="135"/>
      <c r="T32" s="135"/>
    </row>
    <row r="33" spans="2:20" ht="15.75" thickBot="1">
      <c r="B33" s="137"/>
      <c r="C33" s="196"/>
      <c r="D33" s="194"/>
      <c r="E33" s="195"/>
      <c r="F33" s="200"/>
      <c r="G33" s="130"/>
      <c r="H33" s="130"/>
      <c r="I33" s="145"/>
      <c r="K33" s="135"/>
      <c r="L33" s="258"/>
      <c r="M33" s="205"/>
      <c r="N33" s="205"/>
      <c r="O33" s="290" t="s">
        <v>670</v>
      </c>
      <c r="P33" s="290"/>
      <c r="Q33" s="135"/>
      <c r="R33" s="135"/>
      <c r="S33" s="135"/>
      <c r="T33" s="135"/>
    </row>
    <row r="34" spans="2:20" ht="15.75" thickBot="1">
      <c r="B34" s="137"/>
      <c r="C34" s="196"/>
      <c r="D34" s="194"/>
      <c r="E34" s="195"/>
      <c r="F34" s="200"/>
      <c r="G34" s="130"/>
      <c r="H34" s="130"/>
      <c r="I34" s="145"/>
      <c r="K34" s="135"/>
      <c r="L34" s="209"/>
      <c r="M34" s="209"/>
      <c r="N34" s="205"/>
      <c r="O34" s="252" t="s">
        <v>53</v>
      </c>
      <c r="P34" s="237"/>
      <c r="Q34" s="135"/>
      <c r="R34" s="135"/>
      <c r="S34" s="135"/>
      <c r="T34" s="135"/>
    </row>
    <row r="35" spans="2:20" ht="15.75" thickBot="1">
      <c r="B35" s="137"/>
      <c r="C35" s="196"/>
      <c r="D35" s="194"/>
      <c r="E35" s="195"/>
      <c r="F35" s="200"/>
      <c r="G35" s="130"/>
      <c r="H35" s="130"/>
      <c r="I35" s="145"/>
      <c r="K35" s="135"/>
      <c r="L35" s="135"/>
      <c r="M35" s="135"/>
      <c r="N35" s="135"/>
      <c r="O35" s="249" t="s">
        <v>670</v>
      </c>
      <c r="P35" s="236"/>
      <c r="Q35" s="135"/>
      <c r="R35" s="135"/>
      <c r="S35" s="135"/>
      <c r="T35" s="135"/>
    </row>
    <row r="36" spans="2:20">
      <c r="B36" s="137"/>
      <c r="C36" s="130"/>
      <c r="D36" s="144"/>
      <c r="E36" s="142"/>
      <c r="F36" s="130"/>
      <c r="G36" s="130"/>
      <c r="H36" s="130"/>
      <c r="I36" s="145"/>
      <c r="K36" s="135"/>
      <c r="L36" s="135"/>
      <c r="M36" s="135"/>
      <c r="N36" s="135"/>
      <c r="O36" s="135"/>
      <c r="P36" s="135"/>
      <c r="Q36" s="135"/>
      <c r="R36" s="135"/>
      <c r="S36" s="135"/>
      <c r="T36" s="135"/>
    </row>
    <row r="37" spans="2:20" ht="15.75" thickBot="1">
      <c r="B37" s="137"/>
      <c r="C37" s="130"/>
      <c r="D37" s="130"/>
      <c r="E37" s="142"/>
      <c r="F37" s="130"/>
      <c r="G37" s="130"/>
      <c r="H37" s="130"/>
      <c r="I37" s="145"/>
      <c r="K37" s="135"/>
      <c r="L37" s="135"/>
      <c r="M37" s="135"/>
      <c r="N37" s="135"/>
      <c r="O37" s="135"/>
      <c r="P37" s="135"/>
      <c r="Q37" s="135"/>
      <c r="R37" s="135"/>
      <c r="S37" s="135"/>
      <c r="T37" s="135"/>
    </row>
    <row r="38" spans="2:20" ht="15.75" thickBot="1">
      <c r="B38" s="137"/>
      <c r="C38" s="283" t="str">
        <f>"MARKET DATA (" &amp; $L$40 &amp; ")"</f>
        <v>MARKET DATA ()</v>
      </c>
      <c r="D38" s="284"/>
      <c r="E38" s="284"/>
      <c r="F38" s="285"/>
      <c r="G38" s="130"/>
      <c r="H38" s="130"/>
      <c r="I38" s="145"/>
      <c r="K38" s="188"/>
      <c r="L38" s="188"/>
      <c r="M38" s="188"/>
      <c r="N38" s="188"/>
      <c r="O38" s="188"/>
      <c r="P38" s="188"/>
      <c r="Q38" s="188">
        <v>32</v>
      </c>
      <c r="R38" s="188"/>
      <c r="S38" s="188"/>
      <c r="T38" s="188"/>
    </row>
    <row r="39" spans="2:20" ht="15.75" thickBot="1">
      <c r="B39" s="137"/>
      <c r="C39" s="197" t="s">
        <v>13</v>
      </c>
      <c r="D39" s="197" t="s">
        <v>14</v>
      </c>
      <c r="E39" s="198" t="s">
        <v>77</v>
      </c>
      <c r="F39" s="199" t="str">
        <f>$L$40 &amp; " Mid Rates"</f>
        <v xml:space="preserve"> Mid Rates</v>
      </c>
      <c r="G39" s="130"/>
      <c r="H39" s="130"/>
      <c r="I39" s="145"/>
      <c r="K39" s="135"/>
      <c r="L39" s="135"/>
      <c r="M39" s="135"/>
      <c r="N39" s="135"/>
      <c r="O39" s="135"/>
      <c r="P39" s="135"/>
      <c r="Q39" s="135"/>
      <c r="R39" s="135"/>
      <c r="S39" s="135"/>
      <c r="T39" s="135"/>
    </row>
    <row r="40" spans="2:20" ht="15.75" thickBot="1">
      <c r="B40" s="137"/>
      <c r="C40" s="196"/>
      <c r="D40" s="194"/>
      <c r="E40" s="195"/>
      <c r="F40" s="200"/>
      <c r="G40" s="130"/>
      <c r="H40" s="130"/>
      <c r="I40" s="145"/>
      <c r="K40" s="135"/>
      <c r="L40" s="296"/>
      <c r="M40" s="297"/>
      <c r="N40" s="135"/>
      <c r="O40" s="135"/>
      <c r="P40" s="242" t="s">
        <v>664</v>
      </c>
      <c r="Q40" s="238"/>
      <c r="R40" s="135"/>
      <c r="S40" s="135"/>
      <c r="T40" s="135"/>
    </row>
    <row r="41" spans="2:20" ht="15.75" customHeight="1" thickBot="1">
      <c r="B41" s="137"/>
      <c r="C41" s="196"/>
      <c r="D41" s="194"/>
      <c r="E41" s="195"/>
      <c r="F41" s="200"/>
      <c r="G41" s="130"/>
      <c r="H41" s="130"/>
      <c r="I41" s="145"/>
      <c r="K41" s="135"/>
      <c r="L41" s="297"/>
      <c r="M41" s="297"/>
      <c r="N41" s="135"/>
      <c r="O41" s="135"/>
      <c r="P41" s="243" t="s">
        <v>666</v>
      </c>
      <c r="Q41" s="239"/>
      <c r="R41" s="135"/>
      <c r="S41" s="135"/>
      <c r="T41" s="135"/>
    </row>
    <row r="42" spans="2:20" ht="15.75" customHeight="1" thickBot="1">
      <c r="B42" s="137"/>
      <c r="C42" s="196"/>
      <c r="D42" s="194"/>
      <c r="E42" s="195"/>
      <c r="F42" s="200"/>
      <c r="G42" s="130"/>
      <c r="H42" s="130"/>
      <c r="I42" s="145"/>
      <c r="K42" s="135"/>
      <c r="L42" s="297"/>
      <c r="M42" s="297"/>
      <c r="N42" s="135"/>
      <c r="O42" s="135"/>
      <c r="P42" s="243" t="s">
        <v>669</v>
      </c>
      <c r="Q42" s="239"/>
      <c r="R42" s="135"/>
      <c r="S42" s="135"/>
      <c r="T42" s="135"/>
    </row>
    <row r="43" spans="2:20" ht="15.75" customHeight="1" thickBot="1">
      <c r="B43" s="137"/>
      <c r="C43" s="196"/>
      <c r="D43" s="194"/>
      <c r="E43" s="195"/>
      <c r="F43" s="200"/>
      <c r="G43" s="130"/>
      <c r="H43" s="130"/>
      <c r="I43" s="145"/>
      <c r="K43" s="135"/>
      <c r="L43" s="135"/>
      <c r="M43" s="135"/>
      <c r="N43" s="135"/>
      <c r="O43" s="135"/>
      <c r="P43" s="242" t="s">
        <v>12</v>
      </c>
      <c r="Q43" s="262"/>
      <c r="R43" s="135"/>
      <c r="S43" s="135"/>
      <c r="T43" s="135"/>
    </row>
    <row r="44" spans="2:20" ht="15.75" thickBot="1">
      <c r="B44" s="137"/>
      <c r="C44" s="196"/>
      <c r="D44" s="194"/>
      <c r="E44" s="195"/>
      <c r="F44" s="200"/>
      <c r="G44" s="130"/>
      <c r="H44" s="130"/>
      <c r="I44" s="145"/>
      <c r="K44" s="135"/>
      <c r="L44" s="135"/>
      <c r="M44" s="135"/>
      <c r="N44" s="135"/>
      <c r="O44" s="135"/>
      <c r="P44" s="135"/>
      <c r="Q44" s="135"/>
      <c r="R44" s="135"/>
      <c r="S44" s="135"/>
      <c r="T44" s="135"/>
    </row>
    <row r="45" spans="2:20" ht="15.75" thickBot="1">
      <c r="B45" s="137"/>
      <c r="C45" s="196"/>
      <c r="D45" s="194"/>
      <c r="E45" s="195"/>
      <c r="F45" s="200"/>
      <c r="G45" s="130"/>
      <c r="H45" s="130"/>
      <c r="I45" s="145"/>
      <c r="K45" s="135"/>
      <c r="L45" s="281" t="s">
        <v>680</v>
      </c>
      <c r="M45" s="282"/>
      <c r="N45" s="135"/>
      <c r="O45" s="291" t="s">
        <v>80</v>
      </c>
      <c r="P45" s="292"/>
      <c r="Q45" s="292"/>
      <c r="R45" s="293"/>
      <c r="S45" s="135"/>
      <c r="T45" s="135"/>
    </row>
    <row r="46" spans="2:20" ht="15.75" thickBot="1">
      <c r="B46" s="137"/>
      <c r="C46" s="196"/>
      <c r="D46" s="194"/>
      <c r="E46" s="195"/>
      <c r="F46" s="200"/>
      <c r="G46" s="130"/>
      <c r="H46" s="130"/>
      <c r="I46" s="145"/>
      <c r="K46" s="135"/>
      <c r="L46" s="203" t="s">
        <v>13</v>
      </c>
      <c r="M46" s="203" t="s">
        <v>77</v>
      </c>
      <c r="N46" s="135"/>
      <c r="O46" s="245"/>
      <c r="P46" s="248" t="s">
        <v>667</v>
      </c>
      <c r="Q46" s="248" t="s">
        <v>83</v>
      </c>
      <c r="R46" s="248" t="s">
        <v>668</v>
      </c>
      <c r="S46" s="135"/>
      <c r="T46" s="135"/>
    </row>
    <row r="47" spans="2:20" ht="15.75" thickBot="1">
      <c r="B47" s="137"/>
      <c r="C47" s="196"/>
      <c r="D47" s="194"/>
      <c r="E47" s="195"/>
      <c r="F47" s="200"/>
      <c r="G47" s="130"/>
      <c r="H47" s="130"/>
      <c r="I47" s="145"/>
      <c r="K47" s="135"/>
      <c r="L47" s="150"/>
      <c r="M47" s="151"/>
      <c r="N47" s="135"/>
      <c r="O47" s="249" t="str">
        <f>"R-" &amp; Q41</f>
        <v>R-</v>
      </c>
      <c r="P47" s="230"/>
      <c r="Q47" s="229"/>
      <c r="R47" s="229"/>
      <c r="S47" s="135"/>
      <c r="T47" s="135"/>
    </row>
    <row r="48" spans="2:20" ht="15.75" thickBot="1">
      <c r="B48" s="137"/>
      <c r="C48" s="196"/>
      <c r="D48" s="194"/>
      <c r="E48" s="195"/>
      <c r="F48" s="200"/>
      <c r="G48" s="130"/>
      <c r="H48" s="130"/>
      <c r="I48" s="145"/>
      <c r="K48" s="135"/>
      <c r="L48" s="150"/>
      <c r="M48" s="151"/>
      <c r="N48" s="135"/>
      <c r="O48" s="249" t="str">
        <f>"R-" &amp; Q42</f>
        <v>R-</v>
      </c>
      <c r="P48" s="231"/>
      <c r="Q48" s="207"/>
      <c r="R48" s="207"/>
      <c r="S48" s="135"/>
      <c r="T48" s="135"/>
    </row>
    <row r="49" spans="2:20" ht="15.75" thickBot="1">
      <c r="B49" s="137"/>
      <c r="C49" s="196"/>
      <c r="D49" s="194"/>
      <c r="E49" s="195"/>
      <c r="F49" s="200"/>
      <c r="G49" s="130"/>
      <c r="H49" s="130"/>
      <c r="I49" s="145"/>
      <c r="K49" s="135"/>
      <c r="L49" s="150"/>
      <c r="M49" s="151"/>
      <c r="N49" s="135"/>
      <c r="O49" s="135"/>
      <c r="P49" s="135"/>
      <c r="Q49" s="135"/>
      <c r="R49" s="135"/>
      <c r="S49" s="135"/>
      <c r="T49" s="135"/>
    </row>
    <row r="50" spans="2:20" ht="15.75" thickBot="1">
      <c r="B50" s="137"/>
      <c r="C50" s="196"/>
      <c r="D50" s="194"/>
      <c r="E50" s="195"/>
      <c r="F50" s="200"/>
      <c r="G50" s="130"/>
      <c r="H50" s="130"/>
      <c r="I50" s="145"/>
      <c r="K50" s="135"/>
      <c r="L50" s="150"/>
      <c r="M50" s="151"/>
      <c r="N50" s="135"/>
      <c r="O50" s="291" t="s">
        <v>81</v>
      </c>
      <c r="P50" s="292"/>
      <c r="Q50" s="292"/>
      <c r="R50" s="293"/>
      <c r="S50" s="135"/>
      <c r="T50" s="135"/>
    </row>
    <row r="51" spans="2:20" ht="15.75" thickBot="1">
      <c r="B51" s="137"/>
      <c r="C51" s="196"/>
      <c r="D51" s="194"/>
      <c r="E51" s="195"/>
      <c r="F51" s="200"/>
      <c r="G51" s="130"/>
      <c r="H51" s="130"/>
      <c r="I51" s="145"/>
      <c r="K51" s="135"/>
      <c r="L51" s="150"/>
      <c r="M51" s="151"/>
      <c r="N51" s="135"/>
      <c r="O51" s="245"/>
      <c r="P51" s="245"/>
      <c r="Q51" s="248" t="s">
        <v>83</v>
      </c>
      <c r="R51" s="248" t="s">
        <v>668</v>
      </c>
      <c r="S51" s="135"/>
      <c r="T51" s="135"/>
    </row>
    <row r="52" spans="2:20" ht="15.75" thickBot="1">
      <c r="B52" s="137"/>
      <c r="C52" s="196"/>
      <c r="D52" s="194"/>
      <c r="E52" s="195"/>
      <c r="F52" s="200"/>
      <c r="G52" s="130"/>
      <c r="H52" s="130"/>
      <c r="I52" s="145"/>
      <c r="K52" s="135"/>
      <c r="L52" s="150"/>
      <c r="M52" s="151"/>
      <c r="N52" s="135"/>
      <c r="O52" s="294" t="s">
        <v>53</v>
      </c>
      <c r="P52" s="249" t="str">
        <f>"P-" &amp; $Q$41</f>
        <v>P-</v>
      </c>
      <c r="Q52" s="230"/>
      <c r="R52" s="229"/>
      <c r="S52" s="135"/>
      <c r="T52" s="135"/>
    </row>
    <row r="53" spans="2:20" ht="15.75" thickBot="1">
      <c r="B53" s="137"/>
      <c r="C53" s="196"/>
      <c r="D53" s="194"/>
      <c r="E53" s="195"/>
      <c r="F53" s="200"/>
      <c r="G53" s="130"/>
      <c r="H53" s="130"/>
      <c r="I53" s="145"/>
      <c r="K53" s="135"/>
      <c r="L53" s="150"/>
      <c r="M53" s="151"/>
      <c r="N53" s="135"/>
      <c r="O53" s="295"/>
      <c r="P53" s="249" t="str">
        <f>"P-" &amp; $Q$42</f>
        <v>P-</v>
      </c>
      <c r="Q53" s="231"/>
      <c r="R53" s="207"/>
      <c r="S53" s="135"/>
      <c r="T53" s="135"/>
    </row>
    <row r="54" spans="2:20" ht="15.75" thickBot="1">
      <c r="B54" s="137"/>
      <c r="C54" s="196"/>
      <c r="D54" s="194"/>
      <c r="E54" s="195"/>
      <c r="F54" s="200"/>
      <c r="G54" s="130"/>
      <c r="H54" s="130"/>
      <c r="I54" s="145"/>
      <c r="K54" s="135"/>
      <c r="L54" s="152"/>
      <c r="M54" s="152"/>
      <c r="N54" s="135"/>
      <c r="O54" s="294" t="s">
        <v>671</v>
      </c>
      <c r="P54" s="249" t="str">
        <f t="shared" ref="P54" si="0">"P-" &amp; $Q$41</f>
        <v>P-</v>
      </c>
      <c r="Q54" s="232"/>
      <c r="R54" s="211"/>
      <c r="S54" s="135"/>
      <c r="T54" s="135"/>
    </row>
    <row r="55" spans="2:20" ht="15.75" thickBot="1">
      <c r="B55" s="137"/>
      <c r="C55" s="196"/>
      <c r="D55" s="194"/>
      <c r="E55" s="195"/>
      <c r="F55" s="200"/>
      <c r="G55" s="130"/>
      <c r="H55" s="130"/>
      <c r="I55" s="145"/>
      <c r="K55" s="135"/>
      <c r="L55" s="152"/>
      <c r="M55" s="152"/>
      <c r="N55" s="135"/>
      <c r="O55" s="295"/>
      <c r="P55" s="249" t="str">
        <f t="shared" ref="P55" si="1">"P-" &amp; $Q$42</f>
        <v>P-</v>
      </c>
      <c r="Q55" s="232"/>
      <c r="R55" s="211"/>
      <c r="S55" s="135"/>
      <c r="T55" s="135"/>
    </row>
    <row r="56" spans="2:20" ht="15.75" thickBot="1">
      <c r="B56" s="137"/>
      <c r="C56" s="196"/>
      <c r="D56" s="194"/>
      <c r="E56" s="195"/>
      <c r="F56" s="200"/>
      <c r="G56" s="130"/>
      <c r="H56" s="130"/>
      <c r="I56" s="145"/>
      <c r="K56" s="135"/>
      <c r="L56" s="152"/>
      <c r="M56" s="152"/>
      <c r="N56" s="135"/>
      <c r="O56" s="294" t="s">
        <v>672</v>
      </c>
      <c r="P56" s="249" t="str">
        <f t="shared" ref="P56" si="2">"P-" &amp; $Q$41</f>
        <v>P-</v>
      </c>
      <c r="Q56" s="233"/>
      <c r="R56" s="208"/>
      <c r="S56" s="135"/>
      <c r="T56" s="135"/>
    </row>
    <row r="57" spans="2:20" ht="15.75" thickBot="1">
      <c r="B57" s="137"/>
      <c r="C57" s="196"/>
      <c r="D57" s="194"/>
      <c r="E57" s="195"/>
      <c r="F57" s="200"/>
      <c r="G57" s="130"/>
      <c r="H57" s="130"/>
      <c r="I57" s="145"/>
      <c r="K57" s="135"/>
      <c r="L57" s="152"/>
      <c r="M57" s="152"/>
      <c r="N57" s="135"/>
      <c r="O57" s="295"/>
      <c r="P57" s="249" t="str">
        <f t="shared" ref="P57" si="3">"P-" &amp; $Q$42</f>
        <v>P-</v>
      </c>
      <c r="Q57" s="233"/>
      <c r="R57" s="208"/>
      <c r="S57" s="135"/>
      <c r="T57" s="135"/>
    </row>
    <row r="58" spans="2:20" ht="15.75" thickBot="1">
      <c r="B58" s="137"/>
      <c r="C58" s="196"/>
      <c r="D58" s="194"/>
      <c r="E58" s="195"/>
      <c r="F58" s="200"/>
      <c r="G58" s="130"/>
      <c r="H58" s="130"/>
      <c r="I58" s="145"/>
      <c r="K58" s="135"/>
      <c r="L58" s="152"/>
      <c r="M58" s="152"/>
      <c r="N58" s="135"/>
      <c r="O58" s="135"/>
      <c r="P58" s="135"/>
      <c r="Q58" s="135"/>
      <c r="R58" s="135"/>
      <c r="S58" s="135"/>
      <c r="T58" s="135"/>
    </row>
    <row r="59" spans="2:20">
      <c r="B59" s="137"/>
      <c r="G59" s="130"/>
      <c r="H59" s="130"/>
      <c r="I59" s="145"/>
      <c r="K59" s="135"/>
      <c r="L59" s="152"/>
      <c r="M59" s="152"/>
      <c r="N59" s="135"/>
      <c r="O59" s="287" t="s">
        <v>665</v>
      </c>
      <c r="P59" s="288"/>
      <c r="Q59" s="288"/>
      <c r="R59" s="289"/>
      <c r="S59" s="135"/>
      <c r="T59" s="135"/>
    </row>
    <row r="60" spans="2:20">
      <c r="B60" s="137"/>
      <c r="G60" s="130"/>
      <c r="H60" s="130"/>
      <c r="I60" s="145"/>
      <c r="K60" s="135"/>
      <c r="L60" s="152"/>
      <c r="M60" s="152"/>
      <c r="N60" s="135"/>
      <c r="O60" s="246" t="s">
        <v>85</v>
      </c>
      <c r="P60" s="247" t="s">
        <v>685</v>
      </c>
      <c r="Q60" s="247" t="s">
        <v>686</v>
      </c>
      <c r="R60" s="255" t="s">
        <v>687</v>
      </c>
      <c r="S60" s="135"/>
      <c r="T60" s="135"/>
    </row>
    <row r="61" spans="2:20">
      <c r="B61" s="137"/>
      <c r="C61" s="223"/>
      <c r="D61" s="224"/>
      <c r="E61" s="225"/>
      <c r="F61" s="226"/>
      <c r="G61" s="130"/>
      <c r="H61" s="130"/>
      <c r="I61" s="145"/>
      <c r="K61" s="135"/>
      <c r="L61" s="135"/>
      <c r="M61" s="135"/>
      <c r="N61" s="135"/>
      <c r="O61" s="249" t="str">
        <f>"R-" &amp; $Q$41</f>
        <v>R-</v>
      </c>
      <c r="P61" s="235"/>
      <c r="Q61" s="234"/>
      <c r="R61" s="234"/>
      <c r="S61" s="135"/>
      <c r="T61" s="135"/>
    </row>
    <row r="62" spans="2:20">
      <c r="B62" s="137"/>
      <c r="C62" s="129"/>
      <c r="D62" s="130"/>
      <c r="E62" s="142"/>
      <c r="F62" s="130"/>
      <c r="G62" s="130"/>
      <c r="H62" s="130"/>
      <c r="I62" s="145"/>
      <c r="K62" s="273"/>
      <c r="L62" s="135"/>
      <c r="M62" s="205"/>
      <c r="N62" s="205"/>
      <c r="O62" s="249" t="str">
        <f>"R-" &amp; $Q$42</f>
        <v>R-</v>
      </c>
      <c r="P62" s="236"/>
      <c r="Q62" s="214"/>
      <c r="R62" s="214"/>
      <c r="S62" s="135"/>
      <c r="T62" s="135"/>
    </row>
    <row r="63" spans="2:20">
      <c r="B63" s="137"/>
      <c r="C63" s="130"/>
      <c r="D63" s="130"/>
      <c r="E63" s="142"/>
      <c r="F63" s="130"/>
      <c r="G63" s="130"/>
      <c r="H63" s="130"/>
      <c r="I63" s="145"/>
      <c r="K63" s="135"/>
      <c r="L63" s="258"/>
      <c r="M63" s="258"/>
      <c r="N63" s="210"/>
      <c r="O63" s="290" t="s">
        <v>670</v>
      </c>
      <c r="P63" s="290"/>
      <c r="Q63" s="135"/>
      <c r="R63" s="135"/>
      <c r="S63" s="135"/>
      <c r="T63" s="135"/>
    </row>
    <row r="64" spans="2:20">
      <c r="B64" s="137"/>
      <c r="C64" s="130"/>
      <c r="D64" s="130"/>
      <c r="E64" s="142"/>
      <c r="F64" s="130"/>
      <c r="G64" s="130"/>
      <c r="H64" s="130"/>
      <c r="I64" s="145"/>
      <c r="K64" s="135"/>
      <c r="L64" s="258"/>
      <c r="M64" s="258"/>
      <c r="N64" s="210"/>
      <c r="O64" s="245" t="s">
        <v>53</v>
      </c>
      <c r="P64" s="237"/>
      <c r="Q64" s="135"/>
      <c r="R64" s="135"/>
      <c r="S64" s="135"/>
      <c r="T64" s="135"/>
    </row>
    <row r="65" spans="2:22">
      <c r="B65" s="137"/>
      <c r="C65" s="130"/>
      <c r="D65" s="130"/>
      <c r="E65" s="142"/>
      <c r="F65" s="130"/>
      <c r="G65" s="130"/>
      <c r="H65" s="130"/>
      <c r="I65" s="145"/>
      <c r="K65" s="135"/>
      <c r="L65" s="135"/>
      <c r="M65" s="135"/>
      <c r="N65" s="212"/>
      <c r="O65" s="249" t="s">
        <v>670</v>
      </c>
      <c r="P65" s="236"/>
      <c r="Q65" s="135"/>
      <c r="R65" s="135"/>
      <c r="S65" s="135"/>
      <c r="T65" s="135"/>
      <c r="V65" s="130"/>
    </row>
    <row r="66" spans="2:22">
      <c r="B66" s="137"/>
      <c r="C66" s="130"/>
      <c r="D66" s="130"/>
      <c r="E66" s="142"/>
      <c r="F66" s="130"/>
      <c r="G66" s="130"/>
      <c r="H66" s="130"/>
      <c r="I66" s="145"/>
      <c r="K66" s="135"/>
      <c r="L66" s="135"/>
      <c r="M66" s="135"/>
      <c r="N66" s="212"/>
      <c r="O66" s="135"/>
      <c r="P66" s="135"/>
      <c r="Q66" s="135"/>
      <c r="R66" s="135"/>
      <c r="S66" s="135"/>
      <c r="T66" s="135"/>
    </row>
    <row r="67" spans="2:22" ht="15.75" thickBot="1">
      <c r="B67" s="138"/>
      <c r="C67" s="146"/>
      <c r="D67" s="146"/>
      <c r="E67" s="147"/>
      <c r="F67" s="146"/>
      <c r="G67" s="146"/>
      <c r="H67" s="146"/>
      <c r="I67" s="148"/>
      <c r="K67" s="135"/>
      <c r="L67" s="135"/>
      <c r="M67" s="135"/>
      <c r="N67" s="135"/>
      <c r="O67" s="135"/>
      <c r="P67" s="135"/>
      <c r="Q67" s="135"/>
      <c r="R67" s="135"/>
      <c r="S67" s="135"/>
      <c r="T67" s="135"/>
    </row>
    <row r="68" spans="2:22" ht="15.75" thickBot="1">
      <c r="K68" s="188"/>
      <c r="L68" s="188"/>
      <c r="M68" s="188"/>
      <c r="N68" s="188"/>
      <c r="O68" s="188"/>
      <c r="P68" s="188"/>
      <c r="Q68" s="188"/>
      <c r="R68" s="188"/>
      <c r="S68" s="188"/>
      <c r="T68" s="188"/>
    </row>
    <row r="69" spans="2:22" ht="15.75" thickBot="1">
      <c r="B69" s="132"/>
      <c r="C69" s="133"/>
      <c r="D69" s="133"/>
      <c r="E69" s="140"/>
      <c r="F69" s="133"/>
      <c r="G69" s="133"/>
      <c r="H69" s="133"/>
      <c r="I69" s="134"/>
      <c r="K69" s="135"/>
      <c r="L69" s="135"/>
      <c r="M69" s="135"/>
      <c r="N69" s="135"/>
      <c r="O69" s="135"/>
      <c r="P69" s="135"/>
      <c r="Q69" s="135"/>
      <c r="R69" s="135"/>
      <c r="S69" s="135"/>
      <c r="T69" s="135"/>
    </row>
    <row r="70" spans="2:22">
      <c r="B70" s="137"/>
      <c r="C70" s="129" t="s">
        <v>688</v>
      </c>
      <c r="D70" s="105"/>
      <c r="E70" s="141"/>
      <c r="F70" s="105"/>
      <c r="G70" s="105"/>
      <c r="H70" s="105"/>
      <c r="I70" s="106"/>
      <c r="K70" s="135"/>
      <c r="L70" s="244" t="s">
        <v>15</v>
      </c>
      <c r="M70" s="244" t="s">
        <v>16</v>
      </c>
      <c r="N70" s="244" t="s">
        <v>17</v>
      </c>
      <c r="O70" s="244" t="s">
        <v>18</v>
      </c>
      <c r="P70" s="244" t="s">
        <v>19</v>
      </c>
      <c r="Q70" s="244" t="s">
        <v>20</v>
      </c>
      <c r="R70" s="244" t="s">
        <v>86</v>
      </c>
      <c r="S70" s="244" t="s">
        <v>87</v>
      </c>
      <c r="T70" s="135"/>
    </row>
    <row r="71" spans="2:22" ht="15.75" thickBot="1">
      <c r="B71" s="137"/>
      <c r="C71" s="129"/>
      <c r="D71" s="105"/>
      <c r="E71" s="141"/>
      <c r="F71" s="105"/>
      <c r="G71" s="105"/>
      <c r="H71" s="105"/>
      <c r="I71" s="106"/>
      <c r="K71" s="135"/>
      <c r="L71" s="227"/>
      <c r="M71" s="227"/>
      <c r="N71" s="227"/>
      <c r="O71" s="227"/>
      <c r="P71" s="227"/>
      <c r="Q71" s="227"/>
      <c r="R71" s="253"/>
      <c r="S71" s="253"/>
      <c r="T71" s="135"/>
    </row>
    <row r="72" spans="2:22" ht="15.75" thickBot="1">
      <c r="B72" s="137"/>
      <c r="C72" s="191"/>
      <c r="D72" s="105"/>
      <c r="E72" s="142"/>
      <c r="F72" s="130"/>
      <c r="G72" s="111"/>
      <c r="H72" s="111"/>
      <c r="I72" s="112"/>
      <c r="K72" s="135"/>
      <c r="L72" s="228"/>
      <c r="M72" s="228"/>
      <c r="N72" s="228"/>
      <c r="O72" s="228"/>
      <c r="P72" s="228"/>
      <c r="Q72" s="228"/>
      <c r="R72" s="254"/>
      <c r="S72" s="254"/>
      <c r="T72" s="135"/>
    </row>
    <row r="73" spans="2:22" ht="15.75" thickBot="1">
      <c r="B73" s="137"/>
      <c r="C73" s="130"/>
      <c r="D73" s="192"/>
      <c r="E73" s="142"/>
      <c r="F73" s="130"/>
      <c r="G73" s="111"/>
      <c r="H73" s="111"/>
      <c r="I73" s="112"/>
      <c r="K73" s="135"/>
      <c r="L73" s="227"/>
      <c r="M73" s="227"/>
      <c r="N73" s="227"/>
      <c r="O73" s="227"/>
      <c r="P73" s="227"/>
      <c r="Q73" s="227"/>
      <c r="R73" s="253"/>
      <c r="S73" s="253"/>
      <c r="T73" s="135"/>
    </row>
    <row r="74" spans="2:22" ht="15.75" thickBot="1">
      <c r="B74" s="137"/>
      <c r="C74" s="286" t="s">
        <v>704</v>
      </c>
      <c r="D74" s="286"/>
      <c r="E74" s="286"/>
      <c r="F74" s="286"/>
      <c r="G74" s="286"/>
      <c r="H74" s="286"/>
      <c r="I74" s="112"/>
      <c r="K74" s="135"/>
      <c r="L74" s="228"/>
      <c r="M74" s="228"/>
      <c r="N74" s="228"/>
      <c r="O74" s="228"/>
      <c r="P74" s="228"/>
      <c r="Q74" s="228"/>
      <c r="R74" s="254"/>
      <c r="S74" s="254"/>
      <c r="T74" s="135"/>
    </row>
    <row r="75" spans="2:22" ht="15.75" thickBot="1">
      <c r="B75" s="137"/>
      <c r="C75" s="286"/>
      <c r="D75" s="286"/>
      <c r="E75" s="286"/>
      <c r="F75" s="286"/>
      <c r="G75" s="286"/>
      <c r="H75" s="286"/>
      <c r="I75" s="112"/>
      <c r="K75" s="135"/>
      <c r="L75" s="267"/>
      <c r="M75" s="267"/>
      <c r="N75" s="267"/>
      <c r="O75" s="267"/>
      <c r="P75" s="267"/>
      <c r="Q75" s="267"/>
      <c r="R75" s="268"/>
      <c r="S75" s="268"/>
      <c r="T75" s="135"/>
    </row>
    <row r="76" spans="2:22" ht="15.75" thickBot="1">
      <c r="B76" s="138"/>
      <c r="C76" s="146"/>
      <c r="D76" s="146"/>
      <c r="E76" s="147"/>
      <c r="F76" s="146"/>
      <c r="G76" s="146"/>
      <c r="H76" s="146"/>
      <c r="I76" s="148"/>
      <c r="K76" s="135"/>
      <c r="L76" s="269"/>
      <c r="M76" s="269"/>
      <c r="N76" s="269"/>
      <c r="O76" s="269"/>
      <c r="P76" s="269"/>
      <c r="Q76" s="269"/>
      <c r="R76" s="270"/>
      <c r="S76" s="270"/>
      <c r="T76" s="135"/>
    </row>
    <row r="77" spans="2:22" ht="15.75" thickBot="1">
      <c r="K77" s="135"/>
      <c r="L77" s="267"/>
      <c r="M77" s="267"/>
      <c r="N77" s="267"/>
      <c r="O77" s="267"/>
      <c r="P77" s="267"/>
      <c r="Q77" s="267"/>
      <c r="R77" s="268"/>
      <c r="S77" s="268"/>
      <c r="T77" s="135"/>
    </row>
    <row r="78" spans="2:22" ht="15.75" thickBot="1">
      <c r="B78" s="132"/>
      <c r="C78" s="133"/>
      <c r="D78" s="133"/>
      <c r="E78" s="140"/>
      <c r="F78" s="133"/>
      <c r="G78" s="133"/>
      <c r="H78" s="133"/>
      <c r="I78" s="134"/>
      <c r="K78" s="135"/>
      <c r="L78" s="269"/>
      <c r="M78" s="269"/>
      <c r="N78" s="269"/>
      <c r="O78" s="269"/>
      <c r="P78" s="269"/>
      <c r="Q78" s="269"/>
      <c r="R78" s="270"/>
      <c r="S78" s="270"/>
      <c r="T78" s="135"/>
    </row>
    <row r="79" spans="2:22" ht="15.75" thickBot="1">
      <c r="B79" s="137"/>
      <c r="C79" s="129" t="s">
        <v>705</v>
      </c>
      <c r="D79" s="105"/>
      <c r="E79" s="141"/>
      <c r="F79" s="105"/>
      <c r="G79" s="105"/>
      <c r="H79" s="105"/>
      <c r="I79" s="106"/>
      <c r="K79" s="135"/>
      <c r="L79" s="267"/>
      <c r="M79" s="267"/>
      <c r="N79" s="267"/>
      <c r="O79" s="267"/>
      <c r="P79" s="267"/>
      <c r="Q79" s="267"/>
      <c r="R79" s="268"/>
      <c r="S79" s="268"/>
      <c r="T79" s="135"/>
    </row>
    <row r="80" spans="2:22" ht="15.75" thickBot="1">
      <c r="B80" s="137"/>
      <c r="C80" s="129"/>
      <c r="D80" s="105"/>
      <c r="E80" s="141"/>
      <c r="F80" s="105"/>
      <c r="G80" s="105"/>
      <c r="H80" s="105"/>
      <c r="I80" s="106"/>
      <c r="K80" s="135"/>
      <c r="L80" s="269"/>
      <c r="M80" s="269"/>
      <c r="N80" s="269"/>
      <c r="O80" s="269"/>
      <c r="P80" s="269"/>
      <c r="Q80" s="269"/>
      <c r="R80" s="270"/>
      <c r="S80" s="270"/>
      <c r="T80" s="135"/>
    </row>
    <row r="81" spans="2:20" ht="15.75" thickBot="1">
      <c r="B81" s="137"/>
      <c r="C81" s="191"/>
      <c r="D81" s="105"/>
      <c r="E81" s="142"/>
      <c r="F81" s="130"/>
      <c r="G81" s="111"/>
      <c r="H81" s="111"/>
      <c r="I81" s="112"/>
      <c r="K81" s="135"/>
      <c r="L81" s="227"/>
      <c r="M81" s="227"/>
      <c r="N81" s="227"/>
      <c r="O81" s="227"/>
      <c r="P81" s="227"/>
      <c r="Q81" s="227"/>
      <c r="R81" s="253"/>
      <c r="S81" s="253"/>
      <c r="T81" s="135"/>
    </row>
    <row r="82" spans="2:20" ht="15.75" thickBot="1">
      <c r="B82" s="137"/>
      <c r="C82" s="130"/>
      <c r="D82" s="192"/>
      <c r="E82" s="142"/>
      <c r="F82" s="130"/>
      <c r="G82" s="111"/>
      <c r="H82" s="111"/>
      <c r="I82" s="112"/>
      <c r="K82" s="135"/>
      <c r="L82" s="228"/>
      <c r="M82" s="228"/>
      <c r="N82" s="228"/>
      <c r="O82" s="228"/>
      <c r="P82" s="228"/>
      <c r="Q82" s="228"/>
      <c r="R82" s="254"/>
      <c r="S82" s="254"/>
      <c r="T82" s="135"/>
    </row>
    <row r="83" spans="2:20" ht="15.75" thickBot="1">
      <c r="B83" s="138"/>
      <c r="C83" s="146"/>
      <c r="D83" s="146"/>
      <c r="E83" s="147"/>
      <c r="F83" s="146"/>
      <c r="G83" s="146"/>
      <c r="H83" s="146"/>
      <c r="I83" s="148"/>
      <c r="K83" s="135"/>
      <c r="L83" s="228"/>
      <c r="M83" s="228"/>
      <c r="N83" s="228"/>
      <c r="O83" s="228"/>
      <c r="P83" s="228"/>
      <c r="Q83" s="228"/>
      <c r="R83" s="254"/>
      <c r="S83" s="254"/>
      <c r="T83" s="135"/>
    </row>
    <row r="84" spans="2:20" ht="15.75" thickBot="1">
      <c r="K84" s="135"/>
      <c r="L84" s="227"/>
      <c r="M84" s="227"/>
      <c r="N84" s="227"/>
      <c r="O84" s="227"/>
      <c r="P84" s="227"/>
      <c r="Q84" s="227"/>
      <c r="R84" s="253"/>
      <c r="S84" s="253"/>
      <c r="T84" s="135"/>
    </row>
    <row r="85" spans="2:20" ht="15.75" thickBot="1">
      <c r="B85" s="132"/>
      <c r="C85" s="133"/>
      <c r="D85" s="133"/>
      <c r="E85" s="140"/>
      <c r="F85" s="133"/>
      <c r="G85" s="133"/>
      <c r="H85" s="133"/>
      <c r="I85" s="134"/>
      <c r="K85" s="135"/>
      <c r="L85" s="227"/>
      <c r="M85" s="227"/>
      <c r="N85" s="227"/>
      <c r="O85" s="227"/>
      <c r="P85" s="227"/>
      <c r="Q85" s="227"/>
      <c r="R85" s="253"/>
      <c r="S85" s="253"/>
      <c r="T85" s="135"/>
    </row>
    <row r="86" spans="2:20" ht="15.75" thickBot="1">
      <c r="B86" s="137"/>
      <c r="C86" s="129" t="s">
        <v>706</v>
      </c>
      <c r="D86" s="105"/>
      <c r="E86" s="141"/>
      <c r="F86" s="105"/>
      <c r="G86" s="105"/>
      <c r="H86" s="105"/>
      <c r="I86" s="106"/>
      <c r="K86" s="135"/>
      <c r="L86" s="228"/>
      <c r="M86" s="228"/>
      <c r="N86" s="228"/>
      <c r="O86" s="228"/>
      <c r="P86" s="228"/>
      <c r="Q86" s="228"/>
      <c r="R86" s="254"/>
      <c r="S86" s="254"/>
      <c r="T86" s="135"/>
    </row>
    <row r="87" spans="2:20" ht="15.75" thickBot="1">
      <c r="B87" s="137"/>
      <c r="C87" s="129"/>
      <c r="D87" s="105"/>
      <c r="E87" s="141"/>
      <c r="F87" s="105"/>
      <c r="G87" s="105"/>
      <c r="H87" s="105"/>
      <c r="I87" s="106"/>
      <c r="K87" s="135"/>
      <c r="L87" s="227"/>
      <c r="M87" s="227"/>
      <c r="N87" s="227"/>
      <c r="O87" s="227"/>
      <c r="P87" s="227"/>
      <c r="Q87" s="227"/>
      <c r="R87" s="253"/>
      <c r="S87" s="253"/>
      <c r="T87" s="135"/>
    </row>
    <row r="88" spans="2:20" ht="15.75" thickBot="1">
      <c r="B88" s="137"/>
      <c r="C88" s="191"/>
      <c r="D88" s="105"/>
      <c r="E88" s="142"/>
      <c r="F88" s="130"/>
      <c r="G88" s="111"/>
      <c r="H88" s="111"/>
      <c r="I88" s="112"/>
      <c r="K88" s="135"/>
      <c r="L88" s="228"/>
      <c r="M88" s="228"/>
      <c r="N88" s="228"/>
      <c r="O88" s="228"/>
      <c r="P88" s="228"/>
      <c r="Q88" s="228"/>
      <c r="R88" s="254"/>
      <c r="S88" s="254"/>
      <c r="T88" s="135"/>
    </row>
    <row r="89" spans="2:20" ht="15.75" thickBot="1">
      <c r="B89" s="137"/>
      <c r="C89" s="130"/>
      <c r="D89" s="192"/>
      <c r="E89" s="142"/>
      <c r="F89" s="130"/>
      <c r="G89" s="111"/>
      <c r="H89" s="111"/>
      <c r="I89" s="112"/>
      <c r="K89" s="135"/>
      <c r="L89" s="227"/>
      <c r="M89" s="227"/>
      <c r="N89" s="227"/>
      <c r="O89" s="227"/>
      <c r="P89" s="227"/>
      <c r="Q89" s="227"/>
      <c r="R89" s="253"/>
      <c r="S89" s="253"/>
      <c r="T89" s="135"/>
    </row>
    <row r="90" spans="2:20" ht="15.75" thickBot="1">
      <c r="B90" s="137"/>
      <c r="C90" s="286" t="s">
        <v>707</v>
      </c>
      <c r="D90" s="286"/>
      <c r="E90" s="286"/>
      <c r="F90" s="286"/>
      <c r="G90" s="286"/>
      <c r="H90" s="286"/>
      <c r="I90" s="112"/>
      <c r="K90" s="135"/>
      <c r="L90" s="228"/>
      <c r="M90" s="228"/>
      <c r="N90" s="228"/>
      <c r="O90" s="228"/>
      <c r="P90" s="228"/>
      <c r="Q90" s="228"/>
      <c r="R90" s="254"/>
      <c r="S90" s="254"/>
      <c r="T90" s="135"/>
    </row>
    <row r="91" spans="2:20" ht="15.75" thickBot="1">
      <c r="B91" s="137"/>
      <c r="C91" s="286"/>
      <c r="D91" s="286"/>
      <c r="E91" s="286"/>
      <c r="F91" s="286"/>
      <c r="G91" s="286"/>
      <c r="H91" s="286"/>
      <c r="I91" s="145"/>
      <c r="K91" s="135"/>
      <c r="L91" s="227"/>
      <c r="M91" s="227"/>
      <c r="N91" s="227"/>
      <c r="O91" s="227"/>
      <c r="P91" s="227"/>
      <c r="Q91" s="227"/>
      <c r="R91" s="253"/>
      <c r="S91" s="253"/>
      <c r="T91" s="135"/>
    </row>
    <row r="92" spans="2:20" ht="15.75" thickBot="1">
      <c r="B92" s="138"/>
      <c r="C92" s="146"/>
      <c r="D92" s="146"/>
      <c r="E92" s="147"/>
      <c r="F92" s="146"/>
      <c r="G92" s="146"/>
      <c r="H92" s="146"/>
      <c r="I92" s="148"/>
      <c r="K92" s="135"/>
      <c r="L92" s="228"/>
      <c r="M92" s="228"/>
      <c r="N92" s="228"/>
      <c r="O92" s="228"/>
      <c r="P92" s="228"/>
      <c r="Q92" s="228"/>
      <c r="R92" s="254"/>
      <c r="S92" s="254"/>
      <c r="T92" s="135"/>
    </row>
    <row r="93" spans="2:20" ht="15.75" thickBot="1">
      <c r="K93" s="135"/>
      <c r="L93" s="227"/>
      <c r="M93" s="227"/>
      <c r="N93" s="227"/>
      <c r="O93" s="227"/>
      <c r="P93" s="227"/>
      <c r="Q93" s="227"/>
      <c r="R93" s="253"/>
      <c r="S93" s="253"/>
      <c r="T93" s="135"/>
    </row>
    <row r="94" spans="2:20" ht="15.75" thickBot="1">
      <c r="K94" s="135"/>
      <c r="L94" s="228"/>
      <c r="M94" s="228"/>
      <c r="N94" s="228"/>
      <c r="O94" s="228"/>
      <c r="P94" s="228"/>
      <c r="Q94" s="228"/>
      <c r="R94" s="254"/>
      <c r="S94" s="254"/>
      <c r="T94" s="135"/>
    </row>
    <row r="95" spans="2:20" ht="15.75" thickBot="1">
      <c r="K95" s="135"/>
      <c r="L95" s="227"/>
      <c r="M95" s="227"/>
      <c r="N95" s="227"/>
      <c r="O95" s="227"/>
      <c r="P95" s="227"/>
      <c r="Q95" s="227"/>
      <c r="R95" s="253"/>
      <c r="S95" s="253"/>
      <c r="T95" s="135"/>
    </row>
    <row r="96" spans="2:20" ht="15.75" thickBot="1">
      <c r="K96" s="135"/>
      <c r="L96" s="228"/>
      <c r="M96" s="228"/>
      <c r="N96" s="228"/>
      <c r="O96" s="228"/>
      <c r="P96" s="228"/>
      <c r="Q96" s="228"/>
      <c r="R96" s="254"/>
      <c r="S96" s="254"/>
      <c r="T96" s="135"/>
    </row>
    <row r="97" spans="11:20" ht="15.75" thickBot="1">
      <c r="K97" s="135"/>
      <c r="L97" s="227"/>
      <c r="M97" s="227"/>
      <c r="N97" s="227"/>
      <c r="O97" s="227"/>
      <c r="P97" s="227"/>
      <c r="Q97" s="227"/>
      <c r="R97" s="253"/>
      <c r="S97" s="253"/>
      <c r="T97" s="135"/>
    </row>
    <row r="98" spans="11:20" ht="15.75" thickBot="1">
      <c r="K98" s="135"/>
      <c r="L98" s="228"/>
      <c r="M98" s="228"/>
      <c r="N98" s="228"/>
      <c r="O98" s="228"/>
      <c r="P98" s="228"/>
      <c r="Q98" s="228"/>
      <c r="R98" s="254"/>
      <c r="S98" s="254"/>
      <c r="T98" s="135"/>
    </row>
    <row r="99" spans="11:20" ht="15.75" thickBot="1">
      <c r="K99" s="135"/>
      <c r="L99" s="227"/>
      <c r="M99" s="227"/>
      <c r="N99" s="227"/>
      <c r="O99" s="227"/>
      <c r="P99" s="227"/>
      <c r="Q99" s="227"/>
      <c r="R99" s="253"/>
      <c r="S99" s="253"/>
      <c r="T99" s="135"/>
    </row>
    <row r="100" spans="11:20" ht="15.75" thickBot="1">
      <c r="K100" s="135"/>
      <c r="L100" s="228"/>
      <c r="M100" s="228"/>
      <c r="N100" s="228"/>
      <c r="O100" s="228"/>
      <c r="P100" s="228"/>
      <c r="Q100" s="228"/>
      <c r="R100" s="254"/>
      <c r="S100" s="254"/>
      <c r="T100" s="135"/>
    </row>
    <row r="101" spans="11:20" ht="15.75" thickBot="1">
      <c r="K101" s="135"/>
      <c r="L101" s="227"/>
      <c r="M101" s="227"/>
      <c r="N101" s="227"/>
      <c r="O101" s="227"/>
      <c r="P101" s="227"/>
      <c r="Q101" s="227"/>
      <c r="R101" s="253"/>
      <c r="S101" s="253"/>
      <c r="T101" s="135"/>
    </row>
    <row r="102" spans="11:20" ht="15.75" thickBot="1">
      <c r="K102" s="135"/>
      <c r="L102" s="228"/>
      <c r="M102" s="228"/>
      <c r="N102" s="228"/>
      <c r="O102" s="228"/>
      <c r="P102" s="228"/>
      <c r="Q102" s="228"/>
      <c r="R102" s="254"/>
      <c r="S102" s="254"/>
      <c r="T102" s="135"/>
    </row>
    <row r="103" spans="11:20" ht="15.75" thickBot="1">
      <c r="K103" s="135"/>
      <c r="L103" s="227"/>
      <c r="M103" s="227"/>
      <c r="N103" s="227"/>
      <c r="O103" s="227"/>
      <c r="P103" s="227"/>
      <c r="Q103" s="227"/>
      <c r="R103" s="253"/>
      <c r="S103" s="253"/>
      <c r="T103" s="135"/>
    </row>
    <row r="104" spans="11:20" ht="15.75" thickBot="1">
      <c r="K104" s="135"/>
      <c r="L104" s="228"/>
      <c r="M104" s="228"/>
      <c r="N104" s="228"/>
      <c r="O104" s="228"/>
      <c r="P104" s="228"/>
      <c r="Q104" s="228"/>
      <c r="R104" s="254"/>
      <c r="S104" s="254"/>
      <c r="T104" s="135"/>
    </row>
    <row r="105" spans="11:20" ht="15.75" thickBot="1">
      <c r="K105" s="135"/>
      <c r="L105" s="227"/>
      <c r="M105" s="227"/>
      <c r="N105" s="227"/>
      <c r="O105" s="227"/>
      <c r="P105" s="227"/>
      <c r="Q105" s="227"/>
      <c r="R105" s="253"/>
      <c r="S105" s="253"/>
      <c r="T105" s="135"/>
    </row>
    <row r="106" spans="11:20" ht="15.75" thickBot="1">
      <c r="K106" s="135"/>
      <c r="L106" s="228"/>
      <c r="M106" s="228"/>
      <c r="N106" s="228"/>
      <c r="O106" s="228"/>
      <c r="P106" s="228"/>
      <c r="Q106" s="228"/>
      <c r="R106" s="254"/>
      <c r="S106" s="254"/>
      <c r="T106" s="135"/>
    </row>
    <row r="107" spans="11:20" ht="15.75" thickBot="1">
      <c r="K107" s="135"/>
      <c r="L107" s="227"/>
      <c r="M107" s="227"/>
      <c r="N107" s="227"/>
      <c r="O107" s="227"/>
      <c r="P107" s="227"/>
      <c r="Q107" s="227"/>
      <c r="R107" s="253"/>
      <c r="S107" s="253"/>
      <c r="T107" s="135"/>
    </row>
    <row r="108" spans="11:20" ht="15.75" thickBot="1">
      <c r="K108" s="135"/>
      <c r="L108" s="228"/>
      <c r="M108" s="228"/>
      <c r="N108" s="228"/>
      <c r="O108" s="228"/>
      <c r="P108" s="228"/>
      <c r="Q108" s="228"/>
      <c r="R108" s="254"/>
      <c r="S108" s="254"/>
      <c r="T108" s="135"/>
    </row>
    <row r="109" spans="11:20" ht="15.75" thickBot="1">
      <c r="K109" s="135"/>
      <c r="L109" s="227"/>
      <c r="M109" s="227"/>
      <c r="N109" s="227"/>
      <c r="O109" s="227"/>
      <c r="P109" s="227"/>
      <c r="Q109" s="227"/>
      <c r="R109" s="253"/>
      <c r="S109" s="253"/>
      <c r="T109" s="135"/>
    </row>
    <row r="110" spans="11:20" ht="15.75" thickBot="1">
      <c r="K110" s="135"/>
      <c r="L110" s="228"/>
      <c r="M110" s="228"/>
      <c r="N110" s="228"/>
      <c r="O110" s="228"/>
      <c r="P110" s="228"/>
      <c r="Q110" s="228"/>
      <c r="R110" s="254"/>
      <c r="S110" s="254"/>
      <c r="T110" s="135"/>
    </row>
    <row r="111" spans="11:20" ht="15.75" thickBot="1">
      <c r="K111" s="135"/>
      <c r="L111" s="227"/>
      <c r="M111" s="227"/>
      <c r="N111" s="227"/>
      <c r="O111" s="227"/>
      <c r="P111" s="227"/>
      <c r="Q111" s="227"/>
      <c r="R111" s="253"/>
      <c r="S111" s="253"/>
      <c r="T111" s="135"/>
    </row>
    <row r="112" spans="11:20" ht="15.75" thickBot="1">
      <c r="K112" s="135"/>
      <c r="L112" s="228"/>
      <c r="M112" s="228"/>
      <c r="N112" s="228"/>
      <c r="O112" s="228"/>
      <c r="P112" s="228"/>
      <c r="Q112" s="228"/>
      <c r="R112" s="254"/>
      <c r="S112" s="254"/>
      <c r="T112" s="135"/>
    </row>
    <row r="113" spans="11:20" ht="15.75" thickBot="1">
      <c r="K113" s="135"/>
      <c r="L113" s="227"/>
      <c r="M113" s="227"/>
      <c r="N113" s="227"/>
      <c r="O113" s="227"/>
      <c r="P113" s="227"/>
      <c r="Q113" s="227"/>
      <c r="R113" s="253"/>
      <c r="S113" s="253"/>
      <c r="T113" s="135"/>
    </row>
    <row r="114" spans="11:20" ht="15.75" thickBot="1">
      <c r="K114" s="135"/>
      <c r="L114" s="228"/>
      <c r="M114" s="228"/>
      <c r="N114" s="228"/>
      <c r="O114" s="228"/>
      <c r="P114" s="228"/>
      <c r="Q114" s="228"/>
      <c r="R114" s="254"/>
      <c r="S114" s="254"/>
      <c r="T114" s="135"/>
    </row>
    <row r="115" spans="11:20"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</row>
  </sheetData>
  <mergeCells count="23">
    <mergeCell ref="O24:O25"/>
    <mergeCell ref="O26:O27"/>
    <mergeCell ref="C90:H91"/>
    <mergeCell ref="L10:M12"/>
    <mergeCell ref="L40:M42"/>
    <mergeCell ref="C15:F15"/>
    <mergeCell ref="L15:M15"/>
    <mergeCell ref="B1:H1"/>
    <mergeCell ref="L45:M45"/>
    <mergeCell ref="C38:F38"/>
    <mergeCell ref="C74:H75"/>
    <mergeCell ref="O59:R59"/>
    <mergeCell ref="O63:P63"/>
    <mergeCell ref="O15:R15"/>
    <mergeCell ref="O20:R20"/>
    <mergeCell ref="O52:O53"/>
    <mergeCell ref="O54:O55"/>
    <mergeCell ref="O45:R45"/>
    <mergeCell ref="O50:R50"/>
    <mergeCell ref="O56:O57"/>
    <mergeCell ref="O29:R29"/>
    <mergeCell ref="O33:P33"/>
    <mergeCell ref="O22:O2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8" r:id="rId4" name="Button 4">
              <controlPr defaultSize="0" print="0" autoFill="0" autoPict="0" macro="[0]!Retrieval">
                <anchor moveWithCells="1" sizeWithCells="1">
                  <from>
                    <xdr:col>4</xdr:col>
                    <xdr:colOff>323850</xdr:colOff>
                    <xdr:row>4</xdr:row>
                    <xdr:rowOff>180975</xdr:rowOff>
                  </from>
                  <to>
                    <xdr:col>5</xdr:col>
                    <xdr:colOff>666750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NextTransaction">
                <anchor moveWithCells="1" sizeWithCells="1">
                  <from>
                    <xdr:col>2</xdr:col>
                    <xdr:colOff>161925</xdr:colOff>
                    <xdr:row>70</xdr:row>
                    <xdr:rowOff>85725</xdr:rowOff>
                  </from>
                  <to>
                    <xdr:col>2</xdr:col>
                    <xdr:colOff>1143000</xdr:colOff>
                    <xdr:row>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Button 6">
              <controlPr defaultSize="0" print="0" autoFill="0" autoPict="0" macro="[0]!Export">
                <anchor moveWithCells="1" sizeWithCells="1">
                  <from>
                    <xdr:col>2</xdr:col>
                    <xdr:colOff>161925</xdr:colOff>
                    <xdr:row>86</xdr:row>
                    <xdr:rowOff>85725</xdr:rowOff>
                  </from>
                  <to>
                    <xdr:col>2</xdr:col>
                    <xdr:colOff>1143000</xdr:colOff>
                    <xdr:row>88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7" name="Button 7">
              <controlPr defaultSize="0" print="0" autoFill="0" autoPict="0" macro="[0]!Update">
                <anchor moveWithCells="1" sizeWithCells="1">
                  <from>
                    <xdr:col>2</xdr:col>
                    <xdr:colOff>171450</xdr:colOff>
                    <xdr:row>79</xdr:row>
                    <xdr:rowOff>66675</xdr:rowOff>
                  </from>
                  <to>
                    <xdr:col>2</xdr:col>
                    <xdr:colOff>1152525</xdr:colOff>
                    <xdr:row>81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C000"/>
  </sheetPr>
  <dimension ref="A1:W53"/>
  <sheetViews>
    <sheetView zoomScaleNormal="100" workbookViewId="0"/>
  </sheetViews>
  <sheetFormatPr defaultRowHeight="15"/>
  <cols>
    <col min="1" max="1" width="10.85546875" customWidth="1"/>
    <col min="2" max="2" width="11.85546875" customWidth="1"/>
    <col min="3" max="13" width="10.85546875" bestFit="1" customWidth="1"/>
    <col min="14" max="17" width="11.85546875" bestFit="1" customWidth="1"/>
    <col min="18" max="26" width="11.85546875" customWidth="1"/>
  </cols>
  <sheetData>
    <row r="1" spans="1:23" ht="17.25">
      <c r="A1" s="164" t="s">
        <v>30</v>
      </c>
      <c r="E1" s="164" t="s">
        <v>11</v>
      </c>
      <c r="I1" s="164" t="s">
        <v>33</v>
      </c>
      <c r="M1" s="164" t="s">
        <v>34</v>
      </c>
      <c r="Q1" s="164" t="s">
        <v>35</v>
      </c>
      <c r="U1" s="164" t="s">
        <v>36</v>
      </c>
    </row>
    <row r="2" spans="1:23">
      <c r="A2" s="178" t="s">
        <v>674</v>
      </c>
      <c r="B2" s="179" t="s">
        <v>675</v>
      </c>
      <c r="C2" s="178" t="s">
        <v>676</v>
      </c>
      <c r="D2" s="180"/>
      <c r="E2" s="178" t="s">
        <v>674</v>
      </c>
      <c r="F2" s="179" t="s">
        <v>675</v>
      </c>
      <c r="G2" s="178" t="s">
        <v>676</v>
      </c>
      <c r="I2" s="178" t="s">
        <v>674</v>
      </c>
      <c r="J2" s="179" t="s">
        <v>675</v>
      </c>
      <c r="K2" s="178" t="s">
        <v>676</v>
      </c>
      <c r="M2" s="178" t="s">
        <v>674</v>
      </c>
      <c r="N2" s="179" t="s">
        <v>675</v>
      </c>
      <c r="O2" s="178" t="s">
        <v>676</v>
      </c>
      <c r="Q2" s="178" t="s">
        <v>674</v>
      </c>
      <c r="R2" s="179" t="s">
        <v>675</v>
      </c>
      <c r="S2" s="178" t="s">
        <v>676</v>
      </c>
      <c r="U2" s="178" t="s">
        <v>674</v>
      </c>
      <c r="V2" s="179" t="s">
        <v>675</v>
      </c>
      <c r="W2" s="178" t="s">
        <v>676</v>
      </c>
    </row>
    <row r="3" spans="1:23">
      <c r="A3" s="165">
        <v>1</v>
      </c>
      <c r="B3" s="166" t="s">
        <v>59</v>
      </c>
      <c r="C3" s="167">
        <v>32</v>
      </c>
      <c r="E3" s="165">
        <v>1</v>
      </c>
      <c r="F3" s="172" t="s">
        <v>78</v>
      </c>
      <c r="G3" s="165">
        <v>9</v>
      </c>
      <c r="I3" s="165">
        <v>1</v>
      </c>
      <c r="J3" s="172" t="s">
        <v>78</v>
      </c>
      <c r="K3" s="165">
        <v>9</v>
      </c>
      <c r="M3" s="165">
        <v>1</v>
      </c>
      <c r="N3" s="172" t="s">
        <v>59</v>
      </c>
      <c r="O3" s="165">
        <v>32</v>
      </c>
      <c r="Q3" s="165">
        <v>1</v>
      </c>
      <c r="R3" s="172" t="s">
        <v>78</v>
      </c>
      <c r="S3" s="165">
        <v>9</v>
      </c>
      <c r="U3" s="165">
        <v>1</v>
      </c>
      <c r="V3" s="172" t="s">
        <v>59</v>
      </c>
      <c r="W3" s="165">
        <v>32</v>
      </c>
    </row>
    <row r="4" spans="1:23">
      <c r="A4" s="167">
        <v>2</v>
      </c>
      <c r="B4" s="166" t="s">
        <v>60</v>
      </c>
      <c r="C4" s="167">
        <v>92</v>
      </c>
      <c r="E4" s="167">
        <v>2</v>
      </c>
      <c r="F4" s="166" t="s">
        <v>59</v>
      </c>
      <c r="G4" s="167">
        <v>32</v>
      </c>
      <c r="I4" s="167">
        <v>2</v>
      </c>
      <c r="J4" s="166" t="s">
        <v>59</v>
      </c>
      <c r="K4" s="167">
        <v>32</v>
      </c>
      <c r="M4" s="167">
        <v>2</v>
      </c>
      <c r="N4" s="166" t="s">
        <v>60</v>
      </c>
      <c r="O4" s="167">
        <v>92</v>
      </c>
      <c r="Q4" s="167">
        <v>2</v>
      </c>
      <c r="R4" s="166" t="s">
        <v>59</v>
      </c>
      <c r="S4" s="167">
        <v>32</v>
      </c>
      <c r="U4" s="167">
        <v>2</v>
      </c>
      <c r="V4" s="166" t="s">
        <v>60</v>
      </c>
      <c r="W4" s="167">
        <v>92</v>
      </c>
    </row>
    <row r="5" spans="1:23">
      <c r="A5" s="167">
        <v>3</v>
      </c>
      <c r="B5" s="166" t="s">
        <v>61</v>
      </c>
      <c r="C5" s="167">
        <v>182</v>
      </c>
      <c r="E5" s="167">
        <v>3</v>
      </c>
      <c r="F5" s="166" t="s">
        <v>677</v>
      </c>
      <c r="G5" s="167">
        <v>62</v>
      </c>
      <c r="I5" s="167">
        <v>3</v>
      </c>
      <c r="J5" s="166" t="s">
        <v>677</v>
      </c>
      <c r="K5" s="167">
        <v>62</v>
      </c>
      <c r="M5" s="167">
        <v>3</v>
      </c>
      <c r="N5" s="166" t="s">
        <v>61</v>
      </c>
      <c r="O5" s="167">
        <v>182</v>
      </c>
      <c r="Q5" s="167">
        <v>3</v>
      </c>
      <c r="R5" s="166" t="s">
        <v>677</v>
      </c>
      <c r="S5" s="167">
        <v>62</v>
      </c>
      <c r="U5" s="167">
        <v>3</v>
      </c>
      <c r="V5" s="166" t="s">
        <v>61</v>
      </c>
      <c r="W5" s="167">
        <v>182</v>
      </c>
    </row>
    <row r="6" spans="1:23">
      <c r="A6" s="167">
        <v>4</v>
      </c>
      <c r="B6" s="166" t="s">
        <v>62</v>
      </c>
      <c r="C6" s="167">
        <v>367</v>
      </c>
      <c r="E6" s="167">
        <v>4</v>
      </c>
      <c r="F6" s="166" t="s">
        <v>60</v>
      </c>
      <c r="G6" s="167">
        <v>92</v>
      </c>
      <c r="I6" s="167">
        <v>4</v>
      </c>
      <c r="J6" s="166" t="s">
        <v>60</v>
      </c>
      <c r="K6" s="167">
        <v>92</v>
      </c>
      <c r="M6" s="167">
        <v>4</v>
      </c>
      <c r="N6" s="166" t="s">
        <v>62</v>
      </c>
      <c r="O6" s="167">
        <v>367</v>
      </c>
      <c r="Q6" s="167">
        <v>4</v>
      </c>
      <c r="R6" s="166" t="s">
        <v>60</v>
      </c>
      <c r="S6" s="167">
        <v>92</v>
      </c>
      <c r="U6" s="167">
        <v>4</v>
      </c>
      <c r="V6" s="166" t="s">
        <v>62</v>
      </c>
      <c r="W6" s="167">
        <v>367</v>
      </c>
    </row>
    <row r="7" spans="1:23">
      <c r="A7" s="167">
        <v>5</v>
      </c>
      <c r="B7" s="168" t="s">
        <v>64</v>
      </c>
      <c r="C7" s="169">
        <v>732</v>
      </c>
      <c r="E7" s="167">
        <v>5</v>
      </c>
      <c r="F7" s="166" t="s">
        <v>61</v>
      </c>
      <c r="G7" s="167">
        <v>182</v>
      </c>
      <c r="I7" s="167">
        <v>5</v>
      </c>
      <c r="J7" s="166" t="s">
        <v>61</v>
      </c>
      <c r="K7" s="167">
        <v>182</v>
      </c>
      <c r="M7" s="167">
        <v>5</v>
      </c>
      <c r="N7" s="168" t="s">
        <v>64</v>
      </c>
      <c r="O7" s="169">
        <v>732</v>
      </c>
      <c r="Q7" s="167">
        <v>5</v>
      </c>
      <c r="R7" s="166" t="s">
        <v>61</v>
      </c>
      <c r="S7" s="167">
        <v>182</v>
      </c>
      <c r="U7" s="167">
        <v>5</v>
      </c>
      <c r="V7" s="168" t="s">
        <v>64</v>
      </c>
      <c r="W7" s="169">
        <v>732</v>
      </c>
    </row>
    <row r="8" spans="1:23">
      <c r="A8" s="167">
        <v>6</v>
      </c>
      <c r="B8" s="168" t="s">
        <v>65</v>
      </c>
      <c r="C8" s="169">
        <v>1097</v>
      </c>
      <c r="E8" s="167">
        <v>6</v>
      </c>
      <c r="F8" s="166" t="s">
        <v>79</v>
      </c>
      <c r="G8" s="167">
        <v>272</v>
      </c>
      <c r="I8" s="167">
        <v>6</v>
      </c>
      <c r="J8" s="166" t="s">
        <v>79</v>
      </c>
      <c r="K8" s="167">
        <v>272</v>
      </c>
      <c r="M8" s="167">
        <v>6</v>
      </c>
      <c r="N8" s="168" t="s">
        <v>65</v>
      </c>
      <c r="O8" s="169">
        <v>1097</v>
      </c>
      <c r="Q8" s="167">
        <v>6</v>
      </c>
      <c r="R8" s="166" t="s">
        <v>79</v>
      </c>
      <c r="S8" s="167">
        <v>272</v>
      </c>
      <c r="U8" s="167">
        <v>6</v>
      </c>
      <c r="V8" s="168" t="s">
        <v>65</v>
      </c>
      <c r="W8" s="169">
        <v>1097</v>
      </c>
    </row>
    <row r="9" spans="1:23">
      <c r="A9" s="167">
        <v>7</v>
      </c>
      <c r="B9" s="170" t="s">
        <v>67</v>
      </c>
      <c r="C9" s="171">
        <v>1827</v>
      </c>
      <c r="E9" s="167">
        <v>7</v>
      </c>
      <c r="F9" s="166" t="s">
        <v>62</v>
      </c>
      <c r="G9" s="167">
        <v>367</v>
      </c>
      <c r="I9" s="167">
        <v>7</v>
      </c>
      <c r="J9" s="166" t="s">
        <v>62</v>
      </c>
      <c r="K9" s="167">
        <v>367</v>
      </c>
      <c r="M9" s="167">
        <v>7</v>
      </c>
      <c r="N9" s="170" t="s">
        <v>67</v>
      </c>
      <c r="O9" s="171">
        <v>1827</v>
      </c>
      <c r="Q9" s="167">
        <v>7</v>
      </c>
      <c r="R9" s="166" t="s">
        <v>62</v>
      </c>
      <c r="S9" s="167">
        <v>367</v>
      </c>
      <c r="U9" s="167">
        <v>7</v>
      </c>
      <c r="V9" s="170" t="s">
        <v>67</v>
      </c>
      <c r="W9" s="171">
        <v>1827</v>
      </c>
    </row>
    <row r="10" spans="1:23">
      <c r="A10" s="153"/>
      <c r="B10" s="163"/>
      <c r="C10" s="153"/>
      <c r="E10" s="167">
        <v>8</v>
      </c>
      <c r="F10" s="166" t="s">
        <v>678</v>
      </c>
      <c r="G10" s="167">
        <v>458</v>
      </c>
      <c r="I10" s="167">
        <v>8</v>
      </c>
      <c r="J10" s="168" t="s">
        <v>63</v>
      </c>
      <c r="K10" s="169">
        <v>550</v>
      </c>
      <c r="M10" s="167"/>
      <c r="N10" s="166"/>
      <c r="O10" s="167"/>
      <c r="Q10" s="167">
        <v>8</v>
      </c>
      <c r="R10" s="168" t="s">
        <v>63</v>
      </c>
      <c r="S10" s="169">
        <v>550</v>
      </c>
      <c r="U10" s="167"/>
      <c r="V10" s="166"/>
      <c r="W10" s="167"/>
    </row>
    <row r="11" spans="1:23">
      <c r="A11" s="154"/>
      <c r="B11" s="159"/>
      <c r="C11" s="160"/>
      <c r="E11" s="173">
        <v>9</v>
      </c>
      <c r="F11" s="168" t="s">
        <v>63</v>
      </c>
      <c r="G11" s="169">
        <v>550</v>
      </c>
      <c r="I11" s="173">
        <v>9</v>
      </c>
      <c r="J11" s="168" t="s">
        <v>64</v>
      </c>
      <c r="K11" s="169">
        <v>732</v>
      </c>
      <c r="M11" s="173"/>
      <c r="N11" s="168"/>
      <c r="O11" s="169"/>
      <c r="Q11" s="173">
        <v>9</v>
      </c>
      <c r="R11" s="168" t="s">
        <v>64</v>
      </c>
      <c r="S11" s="169">
        <v>732</v>
      </c>
      <c r="U11" s="173"/>
      <c r="V11" s="168"/>
      <c r="W11" s="169"/>
    </row>
    <row r="12" spans="1:23">
      <c r="A12" s="154"/>
      <c r="B12" s="159"/>
      <c r="C12" s="160"/>
      <c r="E12" s="173">
        <v>10</v>
      </c>
      <c r="F12" s="168" t="s">
        <v>679</v>
      </c>
      <c r="G12" s="169">
        <v>641</v>
      </c>
      <c r="I12" s="173">
        <v>10</v>
      </c>
      <c r="J12" s="168" t="s">
        <v>65</v>
      </c>
      <c r="K12" s="169">
        <v>1097</v>
      </c>
      <c r="M12" s="173"/>
      <c r="N12" s="168"/>
      <c r="O12" s="169"/>
      <c r="Q12" s="173">
        <v>10</v>
      </c>
      <c r="R12" s="168" t="s">
        <v>65</v>
      </c>
      <c r="S12" s="169">
        <v>1097</v>
      </c>
      <c r="U12" s="173"/>
      <c r="V12" s="168"/>
      <c r="W12" s="169"/>
    </row>
    <row r="13" spans="1:23">
      <c r="A13" s="154"/>
      <c r="B13" s="159"/>
      <c r="C13" s="160"/>
      <c r="E13" s="173">
        <v>11</v>
      </c>
      <c r="F13" s="168" t="s">
        <v>64</v>
      </c>
      <c r="G13" s="169">
        <v>732</v>
      </c>
      <c r="I13" s="173">
        <v>11</v>
      </c>
      <c r="J13" s="168" t="s">
        <v>66</v>
      </c>
      <c r="K13" s="169">
        <v>1462</v>
      </c>
      <c r="M13" s="173"/>
      <c r="N13" s="168"/>
      <c r="O13" s="169"/>
      <c r="Q13" s="173">
        <v>11</v>
      </c>
      <c r="R13" s="168" t="s">
        <v>66</v>
      </c>
      <c r="S13" s="169">
        <v>1462</v>
      </c>
      <c r="U13" s="173"/>
      <c r="V13" s="168"/>
      <c r="W13" s="169"/>
    </row>
    <row r="14" spans="1:23">
      <c r="A14" s="154"/>
      <c r="B14" s="159"/>
      <c r="C14" s="160"/>
      <c r="E14" s="173">
        <v>12</v>
      </c>
      <c r="F14" s="168" t="s">
        <v>65</v>
      </c>
      <c r="G14" s="169">
        <v>1097</v>
      </c>
      <c r="I14" s="173">
        <v>12</v>
      </c>
      <c r="J14" s="170" t="s">
        <v>67</v>
      </c>
      <c r="K14" s="171">
        <v>1827</v>
      </c>
      <c r="M14" s="173"/>
      <c r="N14" s="168"/>
      <c r="O14" s="169"/>
      <c r="Q14" s="173">
        <v>12</v>
      </c>
      <c r="R14" s="170" t="s">
        <v>67</v>
      </c>
      <c r="S14" s="171">
        <v>1827</v>
      </c>
      <c r="U14" s="173"/>
      <c r="V14" s="168"/>
      <c r="W14" s="169"/>
    </row>
    <row r="15" spans="1:23">
      <c r="A15" s="154"/>
      <c r="B15" s="159"/>
      <c r="C15" s="160"/>
      <c r="E15" s="173">
        <v>13</v>
      </c>
      <c r="F15" s="168" t="s">
        <v>66</v>
      </c>
      <c r="G15" s="169">
        <v>1462</v>
      </c>
      <c r="I15" s="173"/>
      <c r="J15" s="168"/>
      <c r="K15" s="169"/>
      <c r="M15" s="173"/>
      <c r="N15" s="168"/>
      <c r="O15" s="169"/>
      <c r="Q15" s="173"/>
      <c r="R15" s="168"/>
      <c r="S15" s="169"/>
      <c r="U15" s="173"/>
      <c r="V15" s="168"/>
      <c r="W15" s="169"/>
    </row>
    <row r="16" spans="1:23">
      <c r="A16" s="155"/>
      <c r="B16" s="161"/>
      <c r="C16" s="162"/>
      <c r="E16" s="174">
        <v>14</v>
      </c>
      <c r="F16" s="170" t="s">
        <v>67</v>
      </c>
      <c r="G16" s="171">
        <v>1827</v>
      </c>
      <c r="I16" s="174"/>
      <c r="J16" s="170"/>
      <c r="K16" s="171"/>
      <c r="M16" s="174"/>
      <c r="N16" s="170"/>
      <c r="O16" s="171"/>
      <c r="Q16" s="174"/>
      <c r="R16" s="170"/>
      <c r="S16" s="171"/>
      <c r="U16" s="174"/>
      <c r="V16" s="170"/>
      <c r="W16" s="171"/>
    </row>
    <row r="17" spans="1:23">
      <c r="A17" s="156"/>
      <c r="B17" s="157"/>
      <c r="C17" s="158"/>
      <c r="E17" s="175"/>
      <c r="F17" s="176"/>
      <c r="G17" s="177"/>
      <c r="I17" s="175"/>
      <c r="J17" s="176"/>
      <c r="K17" s="177"/>
      <c r="M17" s="175"/>
      <c r="N17" s="176"/>
      <c r="O17" s="177"/>
      <c r="Q17" s="175"/>
      <c r="R17" s="176"/>
      <c r="S17" s="177"/>
      <c r="U17" s="175"/>
      <c r="V17" s="176"/>
      <c r="W17" s="177"/>
    </row>
    <row r="18" spans="1:23" s="1" customFormat="1">
      <c r="A18" s="181"/>
      <c r="B18" s="181"/>
      <c r="C18" s="181"/>
      <c r="D18" s="181"/>
      <c r="E18" s="181"/>
      <c r="F18" s="181"/>
      <c r="G18" s="181"/>
      <c r="H18" s="181"/>
      <c r="I18" s="182"/>
      <c r="J18" s="182"/>
      <c r="K18" s="182"/>
      <c r="L18" s="182"/>
      <c r="M18" s="182"/>
      <c r="N18" s="182"/>
      <c r="O18" s="182"/>
      <c r="Q18" s="183"/>
      <c r="R18" s="184"/>
      <c r="S18" s="184"/>
      <c r="U18" s="183"/>
      <c r="V18" s="184"/>
      <c r="W18" s="184"/>
    </row>
    <row r="19" spans="1:23" ht="17.25">
      <c r="A19" s="164" t="s">
        <v>37</v>
      </c>
      <c r="B19" s="80"/>
      <c r="C19" s="80"/>
      <c r="E19" s="164" t="s">
        <v>31</v>
      </c>
      <c r="I19" s="164" t="s">
        <v>38</v>
      </c>
      <c r="M19" s="164" t="s">
        <v>39</v>
      </c>
      <c r="Q19" s="164" t="s">
        <v>40</v>
      </c>
      <c r="U19" s="164" t="s">
        <v>10</v>
      </c>
    </row>
    <row r="20" spans="1:23">
      <c r="A20" s="178" t="s">
        <v>674</v>
      </c>
      <c r="B20" s="179" t="s">
        <v>675</v>
      </c>
      <c r="C20" s="178" t="s">
        <v>676</v>
      </c>
      <c r="E20" s="178" t="s">
        <v>674</v>
      </c>
      <c r="F20" s="179" t="s">
        <v>675</v>
      </c>
      <c r="G20" s="178" t="s">
        <v>676</v>
      </c>
      <c r="I20" s="178" t="s">
        <v>674</v>
      </c>
      <c r="J20" s="179" t="s">
        <v>675</v>
      </c>
      <c r="K20" s="178" t="s">
        <v>676</v>
      </c>
      <c r="M20" s="178" t="s">
        <v>674</v>
      </c>
      <c r="N20" s="179" t="s">
        <v>675</v>
      </c>
      <c r="O20" s="178" t="s">
        <v>676</v>
      </c>
      <c r="Q20" s="178" t="s">
        <v>674</v>
      </c>
      <c r="R20" s="179" t="s">
        <v>675</v>
      </c>
      <c r="S20" s="178" t="s">
        <v>676</v>
      </c>
      <c r="U20" s="178" t="s">
        <v>674</v>
      </c>
      <c r="V20" s="179" t="s">
        <v>675</v>
      </c>
      <c r="W20" s="178" t="s">
        <v>676</v>
      </c>
    </row>
    <row r="21" spans="1:23">
      <c r="A21" s="165">
        <v>1</v>
      </c>
      <c r="B21" s="172" t="s">
        <v>59</v>
      </c>
      <c r="C21" s="165">
        <v>32</v>
      </c>
      <c r="E21" s="165">
        <v>1</v>
      </c>
      <c r="F21" s="172" t="s">
        <v>78</v>
      </c>
      <c r="G21" s="165">
        <v>9</v>
      </c>
      <c r="I21" s="165">
        <v>1</v>
      </c>
      <c r="J21" s="172" t="s">
        <v>78</v>
      </c>
      <c r="K21" s="165">
        <v>9</v>
      </c>
      <c r="M21" s="165">
        <v>1</v>
      </c>
      <c r="N21" s="172" t="s">
        <v>78</v>
      </c>
      <c r="O21" s="165">
        <v>9</v>
      </c>
      <c r="Q21" s="165">
        <v>1</v>
      </c>
      <c r="R21" s="172" t="s">
        <v>59</v>
      </c>
      <c r="S21" s="165">
        <v>32</v>
      </c>
      <c r="U21" s="165">
        <v>1</v>
      </c>
      <c r="V21" s="172" t="s">
        <v>78</v>
      </c>
      <c r="W21" s="165">
        <v>9</v>
      </c>
    </row>
    <row r="22" spans="1:23">
      <c r="A22" s="167">
        <v>2</v>
      </c>
      <c r="B22" s="166" t="s">
        <v>60</v>
      </c>
      <c r="C22" s="167">
        <v>92</v>
      </c>
      <c r="E22" s="167">
        <v>2</v>
      </c>
      <c r="F22" s="166" t="s">
        <v>59</v>
      </c>
      <c r="G22" s="167">
        <v>32</v>
      </c>
      <c r="I22" s="167">
        <v>2</v>
      </c>
      <c r="J22" s="166" t="s">
        <v>59</v>
      </c>
      <c r="K22" s="167">
        <v>32</v>
      </c>
      <c r="M22" s="167">
        <v>2</v>
      </c>
      <c r="N22" s="166" t="s">
        <v>59</v>
      </c>
      <c r="O22" s="167">
        <v>32</v>
      </c>
      <c r="Q22" s="167">
        <v>2</v>
      </c>
      <c r="R22" s="166" t="s">
        <v>60</v>
      </c>
      <c r="S22" s="167">
        <v>92</v>
      </c>
      <c r="U22" s="167">
        <v>2</v>
      </c>
      <c r="V22" s="166" t="s">
        <v>59</v>
      </c>
      <c r="W22" s="167">
        <v>32</v>
      </c>
    </row>
    <row r="23" spans="1:23">
      <c r="A23" s="167">
        <v>3</v>
      </c>
      <c r="B23" s="166" t="s">
        <v>61</v>
      </c>
      <c r="C23" s="167">
        <v>182</v>
      </c>
      <c r="E23" s="167">
        <v>3</v>
      </c>
      <c r="F23" s="166" t="s">
        <v>677</v>
      </c>
      <c r="G23" s="167">
        <v>62</v>
      </c>
      <c r="I23" s="167">
        <v>3</v>
      </c>
      <c r="J23" s="166" t="s">
        <v>677</v>
      </c>
      <c r="K23" s="167">
        <v>62</v>
      </c>
      <c r="M23" s="167">
        <v>3</v>
      </c>
      <c r="N23" s="166" t="s">
        <v>677</v>
      </c>
      <c r="O23" s="167">
        <v>62</v>
      </c>
      <c r="Q23" s="167">
        <v>3</v>
      </c>
      <c r="R23" s="166" t="s">
        <v>61</v>
      </c>
      <c r="S23" s="167">
        <v>182</v>
      </c>
      <c r="U23" s="167">
        <v>3</v>
      </c>
      <c r="V23" s="166" t="s">
        <v>677</v>
      </c>
      <c r="W23" s="167">
        <v>62</v>
      </c>
    </row>
    <row r="24" spans="1:23">
      <c r="A24" s="167">
        <v>4</v>
      </c>
      <c r="B24" s="166" t="s">
        <v>62</v>
      </c>
      <c r="C24" s="167">
        <v>367</v>
      </c>
      <c r="E24" s="167">
        <v>4</v>
      </c>
      <c r="F24" s="166" t="s">
        <v>60</v>
      </c>
      <c r="G24" s="167">
        <v>92</v>
      </c>
      <c r="I24" s="167">
        <v>4</v>
      </c>
      <c r="J24" s="166" t="s">
        <v>60</v>
      </c>
      <c r="K24" s="167">
        <v>92</v>
      </c>
      <c r="M24" s="167">
        <v>4</v>
      </c>
      <c r="N24" s="166" t="s">
        <v>60</v>
      </c>
      <c r="O24" s="167">
        <v>92</v>
      </c>
      <c r="Q24" s="167">
        <v>4</v>
      </c>
      <c r="R24" s="166" t="s">
        <v>62</v>
      </c>
      <c r="S24" s="167">
        <v>367</v>
      </c>
      <c r="U24" s="167">
        <v>4</v>
      </c>
      <c r="V24" s="166" t="s">
        <v>60</v>
      </c>
      <c r="W24" s="167">
        <v>92</v>
      </c>
    </row>
    <row r="25" spans="1:23">
      <c r="A25" s="167">
        <v>5</v>
      </c>
      <c r="B25" s="168" t="s">
        <v>64</v>
      </c>
      <c r="C25" s="169">
        <v>732</v>
      </c>
      <c r="E25" s="167">
        <v>5</v>
      </c>
      <c r="F25" s="166" t="s">
        <v>61</v>
      </c>
      <c r="G25" s="167">
        <v>182</v>
      </c>
      <c r="I25" s="167">
        <v>5</v>
      </c>
      <c r="J25" s="166" t="s">
        <v>61</v>
      </c>
      <c r="K25" s="167">
        <v>182</v>
      </c>
      <c r="M25" s="167">
        <v>5</v>
      </c>
      <c r="N25" s="166" t="s">
        <v>61</v>
      </c>
      <c r="O25" s="167">
        <v>182</v>
      </c>
      <c r="Q25" s="167">
        <v>5</v>
      </c>
      <c r="R25" s="168" t="s">
        <v>64</v>
      </c>
      <c r="S25" s="169">
        <v>732</v>
      </c>
      <c r="U25" s="167">
        <v>5</v>
      </c>
      <c r="V25" s="166" t="s">
        <v>61</v>
      </c>
      <c r="W25" s="167">
        <v>182</v>
      </c>
    </row>
    <row r="26" spans="1:23">
      <c r="A26" s="167">
        <v>6</v>
      </c>
      <c r="B26" s="168" t="s">
        <v>65</v>
      </c>
      <c r="C26" s="169">
        <v>1097</v>
      </c>
      <c r="E26" s="167">
        <v>6</v>
      </c>
      <c r="F26" s="166" t="s">
        <v>79</v>
      </c>
      <c r="G26" s="167">
        <v>272</v>
      </c>
      <c r="I26" s="167">
        <v>6</v>
      </c>
      <c r="J26" s="166" t="s">
        <v>79</v>
      </c>
      <c r="K26" s="167">
        <v>272</v>
      </c>
      <c r="M26" s="167">
        <v>6</v>
      </c>
      <c r="N26" s="166" t="s">
        <v>79</v>
      </c>
      <c r="O26" s="167">
        <v>272</v>
      </c>
      <c r="Q26" s="167">
        <v>6</v>
      </c>
      <c r="R26" s="168" t="s">
        <v>65</v>
      </c>
      <c r="S26" s="169">
        <v>1097</v>
      </c>
      <c r="U26" s="167">
        <v>6</v>
      </c>
      <c r="V26" s="166" t="s">
        <v>79</v>
      </c>
      <c r="W26" s="167">
        <v>272</v>
      </c>
    </row>
    <row r="27" spans="1:23">
      <c r="A27" s="167">
        <v>7</v>
      </c>
      <c r="B27" s="170" t="s">
        <v>67</v>
      </c>
      <c r="C27" s="171">
        <v>1827</v>
      </c>
      <c r="E27" s="167">
        <v>7</v>
      </c>
      <c r="F27" s="166" t="s">
        <v>62</v>
      </c>
      <c r="G27" s="167">
        <v>367</v>
      </c>
      <c r="I27" s="167">
        <v>7</v>
      </c>
      <c r="J27" s="166" t="s">
        <v>62</v>
      </c>
      <c r="K27" s="167">
        <v>367</v>
      </c>
      <c r="M27" s="167">
        <v>7</v>
      </c>
      <c r="N27" s="166" t="s">
        <v>62</v>
      </c>
      <c r="O27" s="167">
        <v>367</v>
      </c>
      <c r="Q27" s="167">
        <v>7</v>
      </c>
      <c r="R27" s="170" t="s">
        <v>67</v>
      </c>
      <c r="S27" s="171">
        <v>1827</v>
      </c>
      <c r="U27" s="167">
        <v>7</v>
      </c>
      <c r="V27" s="166" t="s">
        <v>62</v>
      </c>
      <c r="W27" s="167">
        <v>367</v>
      </c>
    </row>
    <row r="28" spans="1:23">
      <c r="A28" s="167"/>
      <c r="B28" s="166"/>
      <c r="C28" s="167"/>
      <c r="E28" s="167">
        <v>8</v>
      </c>
      <c r="F28" s="168" t="s">
        <v>63</v>
      </c>
      <c r="G28" s="169">
        <v>550</v>
      </c>
      <c r="I28" s="167">
        <v>8</v>
      </c>
      <c r="J28" s="168" t="s">
        <v>63</v>
      </c>
      <c r="K28" s="169">
        <v>550</v>
      </c>
      <c r="M28" s="167">
        <v>8</v>
      </c>
      <c r="N28" s="168" t="s">
        <v>63</v>
      </c>
      <c r="O28" s="169">
        <v>550</v>
      </c>
      <c r="Q28" s="167"/>
      <c r="R28" s="166"/>
      <c r="S28" s="167"/>
      <c r="U28" s="167">
        <v>8</v>
      </c>
      <c r="V28" s="168" t="s">
        <v>63</v>
      </c>
      <c r="W28" s="169">
        <v>550</v>
      </c>
    </row>
    <row r="29" spans="1:23">
      <c r="A29" s="173"/>
      <c r="B29" s="168"/>
      <c r="C29" s="169"/>
      <c r="E29" s="173">
        <v>9</v>
      </c>
      <c r="F29" s="168" t="s">
        <v>64</v>
      </c>
      <c r="G29" s="169">
        <v>732</v>
      </c>
      <c r="I29" s="173">
        <v>9</v>
      </c>
      <c r="J29" s="168" t="s">
        <v>64</v>
      </c>
      <c r="K29" s="169">
        <v>732</v>
      </c>
      <c r="M29" s="173">
        <v>9</v>
      </c>
      <c r="N29" s="168" t="s">
        <v>64</v>
      </c>
      <c r="O29" s="169">
        <v>732</v>
      </c>
      <c r="Q29" s="173"/>
      <c r="R29" s="168"/>
      <c r="S29" s="169"/>
      <c r="U29" s="173">
        <v>9</v>
      </c>
      <c r="V29" s="168" t="s">
        <v>64</v>
      </c>
      <c r="W29" s="169">
        <v>732</v>
      </c>
    </row>
    <row r="30" spans="1:23">
      <c r="A30" s="173"/>
      <c r="B30" s="168"/>
      <c r="C30" s="169"/>
      <c r="E30" s="173">
        <v>10</v>
      </c>
      <c r="F30" s="168" t="s">
        <v>65</v>
      </c>
      <c r="G30" s="169">
        <v>1097</v>
      </c>
      <c r="I30" s="173">
        <v>10</v>
      </c>
      <c r="J30" s="168" t="s">
        <v>65</v>
      </c>
      <c r="K30" s="169">
        <v>1097</v>
      </c>
      <c r="M30" s="173">
        <v>10</v>
      </c>
      <c r="N30" s="168" t="s">
        <v>65</v>
      </c>
      <c r="O30" s="169">
        <v>1097</v>
      </c>
      <c r="Q30" s="173"/>
      <c r="R30" s="168"/>
      <c r="S30" s="169"/>
      <c r="U30" s="173">
        <v>10</v>
      </c>
      <c r="V30" s="168" t="s">
        <v>65</v>
      </c>
      <c r="W30" s="169">
        <v>1097</v>
      </c>
    </row>
    <row r="31" spans="1:23">
      <c r="A31" s="173"/>
      <c r="B31" s="168"/>
      <c r="C31" s="169"/>
      <c r="E31" s="173">
        <v>11</v>
      </c>
      <c r="F31" s="168" t="s">
        <v>66</v>
      </c>
      <c r="G31" s="169">
        <v>1462</v>
      </c>
      <c r="I31" s="173">
        <v>11</v>
      </c>
      <c r="J31" s="168" t="s">
        <v>66</v>
      </c>
      <c r="K31" s="169">
        <v>1462</v>
      </c>
      <c r="M31" s="173">
        <v>11</v>
      </c>
      <c r="N31" s="168" t="s">
        <v>66</v>
      </c>
      <c r="O31" s="169">
        <v>1462</v>
      </c>
      <c r="Q31" s="173"/>
      <c r="R31" s="168"/>
      <c r="S31" s="169"/>
      <c r="U31" s="173">
        <v>11</v>
      </c>
      <c r="V31" s="168" t="s">
        <v>66</v>
      </c>
      <c r="W31" s="169">
        <v>1462</v>
      </c>
    </row>
    <row r="32" spans="1:23">
      <c r="A32" s="173"/>
      <c r="B32" s="168"/>
      <c r="C32" s="169"/>
      <c r="E32" s="173">
        <v>12</v>
      </c>
      <c r="F32" s="170" t="s">
        <v>67</v>
      </c>
      <c r="G32" s="171">
        <v>1827</v>
      </c>
      <c r="I32" s="173">
        <v>12</v>
      </c>
      <c r="J32" s="170" t="s">
        <v>67</v>
      </c>
      <c r="K32" s="171">
        <v>1827</v>
      </c>
      <c r="M32" s="173">
        <v>12</v>
      </c>
      <c r="N32" s="170" t="s">
        <v>67</v>
      </c>
      <c r="O32" s="171">
        <v>1827</v>
      </c>
      <c r="Q32" s="173"/>
      <c r="R32" s="168"/>
      <c r="S32" s="169"/>
      <c r="U32" s="173">
        <v>12</v>
      </c>
      <c r="V32" s="170" t="s">
        <v>67</v>
      </c>
      <c r="W32" s="171">
        <v>1827</v>
      </c>
    </row>
    <row r="33" spans="1:23">
      <c r="A33" s="173"/>
      <c r="B33" s="168"/>
      <c r="C33" s="169"/>
      <c r="E33" s="173"/>
      <c r="F33" s="168"/>
      <c r="G33" s="169"/>
      <c r="I33" s="173"/>
      <c r="J33" s="168"/>
      <c r="K33" s="169"/>
      <c r="M33" s="173"/>
      <c r="N33" s="168"/>
      <c r="O33" s="169"/>
      <c r="Q33" s="173"/>
      <c r="R33" s="168"/>
      <c r="S33" s="169"/>
      <c r="U33" s="173"/>
      <c r="V33" s="168"/>
      <c r="W33" s="169"/>
    </row>
    <row r="34" spans="1:23">
      <c r="A34" s="174"/>
      <c r="B34" s="170"/>
      <c r="C34" s="171"/>
      <c r="E34" s="174"/>
      <c r="F34" s="170"/>
      <c r="G34" s="171"/>
      <c r="I34" s="174"/>
      <c r="J34" s="170"/>
      <c r="K34" s="171"/>
      <c r="M34" s="174"/>
      <c r="N34" s="170"/>
      <c r="O34" s="171"/>
      <c r="Q34" s="174"/>
      <c r="R34" s="170"/>
      <c r="S34" s="171"/>
      <c r="U34" s="174"/>
      <c r="V34" s="170"/>
      <c r="W34" s="171"/>
    </row>
    <row r="35" spans="1:23">
      <c r="A35" s="175"/>
      <c r="B35" s="176"/>
      <c r="C35" s="177"/>
      <c r="E35" s="175"/>
      <c r="F35" s="176"/>
      <c r="G35" s="177"/>
      <c r="I35" s="175"/>
      <c r="J35" s="176"/>
      <c r="K35" s="177"/>
      <c r="M35" s="175"/>
      <c r="N35" s="176"/>
      <c r="O35" s="177"/>
      <c r="Q35" s="175"/>
      <c r="R35" s="176"/>
      <c r="S35" s="177"/>
      <c r="U35" s="175"/>
      <c r="V35" s="176"/>
      <c r="W35" s="177"/>
    </row>
    <row r="37" spans="1:23" ht="17.25">
      <c r="A37" s="164" t="s">
        <v>41</v>
      </c>
      <c r="E37" s="164" t="s">
        <v>42</v>
      </c>
      <c r="I37" s="164" t="s">
        <v>43</v>
      </c>
      <c r="M37" s="164" t="s">
        <v>44</v>
      </c>
      <c r="Q37" s="164" t="s">
        <v>28</v>
      </c>
      <c r="U37" s="80"/>
      <c r="V37" s="80"/>
      <c r="W37" s="80"/>
    </row>
    <row r="38" spans="1:23">
      <c r="A38" s="178" t="s">
        <v>674</v>
      </c>
      <c r="B38" s="179" t="s">
        <v>675</v>
      </c>
      <c r="C38" s="178" t="s">
        <v>676</v>
      </c>
      <c r="E38" s="178" t="s">
        <v>674</v>
      </c>
      <c r="F38" s="179" t="s">
        <v>675</v>
      </c>
      <c r="G38" s="178" t="s">
        <v>676</v>
      </c>
      <c r="I38" s="178" t="s">
        <v>674</v>
      </c>
      <c r="J38" s="179" t="s">
        <v>675</v>
      </c>
      <c r="K38" s="178" t="s">
        <v>676</v>
      </c>
      <c r="M38" s="178" t="s">
        <v>674</v>
      </c>
      <c r="N38" s="179" t="s">
        <v>675</v>
      </c>
      <c r="O38" s="178" t="s">
        <v>676</v>
      </c>
      <c r="Q38" s="178" t="s">
        <v>674</v>
      </c>
      <c r="R38" s="179" t="s">
        <v>675</v>
      </c>
      <c r="S38" s="178" t="s">
        <v>676</v>
      </c>
      <c r="U38" s="80"/>
      <c r="V38" s="80"/>
      <c r="W38" s="80"/>
    </row>
    <row r="39" spans="1:23">
      <c r="A39" s="165">
        <v>1</v>
      </c>
      <c r="B39" s="172" t="s">
        <v>59</v>
      </c>
      <c r="C39" s="165">
        <v>32</v>
      </c>
      <c r="E39" s="165">
        <v>1</v>
      </c>
      <c r="F39" s="172" t="s">
        <v>59</v>
      </c>
      <c r="G39" s="165">
        <v>32</v>
      </c>
      <c r="I39" s="165">
        <v>1</v>
      </c>
      <c r="J39" s="172" t="s">
        <v>59</v>
      </c>
      <c r="K39" s="165">
        <v>32</v>
      </c>
      <c r="M39" s="165">
        <v>1</v>
      </c>
      <c r="N39" s="172" t="s">
        <v>59</v>
      </c>
      <c r="O39" s="165">
        <v>32</v>
      </c>
      <c r="Q39" s="165">
        <v>1</v>
      </c>
      <c r="R39" s="172" t="s">
        <v>59</v>
      </c>
      <c r="S39" s="165">
        <v>32</v>
      </c>
      <c r="U39" s="80"/>
      <c r="V39" s="80"/>
      <c r="W39" s="80"/>
    </row>
    <row r="40" spans="1:23">
      <c r="A40" s="167">
        <v>2</v>
      </c>
      <c r="B40" s="166" t="s">
        <v>60</v>
      </c>
      <c r="C40" s="167">
        <v>92</v>
      </c>
      <c r="E40" s="167">
        <v>2</v>
      </c>
      <c r="F40" s="166" t="s">
        <v>60</v>
      </c>
      <c r="G40" s="167">
        <v>92</v>
      </c>
      <c r="I40" s="167">
        <v>2</v>
      </c>
      <c r="J40" s="166" t="s">
        <v>60</v>
      </c>
      <c r="K40" s="167">
        <v>92</v>
      </c>
      <c r="M40" s="167">
        <v>2</v>
      </c>
      <c r="N40" s="166" t="s">
        <v>60</v>
      </c>
      <c r="O40" s="167">
        <v>92</v>
      </c>
      <c r="Q40" s="167">
        <v>2</v>
      </c>
      <c r="R40" s="166" t="s">
        <v>60</v>
      </c>
      <c r="S40" s="167">
        <v>92</v>
      </c>
      <c r="U40" s="80"/>
      <c r="V40" s="80"/>
      <c r="W40" s="80"/>
    </row>
    <row r="41" spans="1:23">
      <c r="A41" s="167">
        <v>3</v>
      </c>
      <c r="B41" s="166" t="s">
        <v>61</v>
      </c>
      <c r="C41" s="167">
        <v>182</v>
      </c>
      <c r="E41" s="167">
        <v>3</v>
      </c>
      <c r="F41" s="166" t="s">
        <v>61</v>
      </c>
      <c r="G41" s="167">
        <v>182</v>
      </c>
      <c r="I41" s="167">
        <v>3</v>
      </c>
      <c r="J41" s="166" t="s">
        <v>61</v>
      </c>
      <c r="K41" s="167">
        <v>182</v>
      </c>
      <c r="M41" s="167">
        <v>3</v>
      </c>
      <c r="N41" s="166" t="s">
        <v>61</v>
      </c>
      <c r="O41" s="167">
        <v>182</v>
      </c>
      <c r="Q41" s="167">
        <v>3</v>
      </c>
      <c r="R41" s="166" t="s">
        <v>61</v>
      </c>
      <c r="S41" s="167">
        <v>182</v>
      </c>
      <c r="U41" s="80"/>
      <c r="V41" s="80"/>
      <c r="W41" s="80"/>
    </row>
    <row r="42" spans="1:23">
      <c r="A42" s="167">
        <v>4</v>
      </c>
      <c r="B42" s="166" t="s">
        <v>62</v>
      </c>
      <c r="C42" s="167">
        <v>367</v>
      </c>
      <c r="E42" s="167">
        <v>4</v>
      </c>
      <c r="F42" s="166" t="s">
        <v>62</v>
      </c>
      <c r="G42" s="167">
        <v>367</v>
      </c>
      <c r="I42" s="167">
        <v>4</v>
      </c>
      <c r="J42" s="166" t="s">
        <v>62</v>
      </c>
      <c r="K42" s="167">
        <v>367</v>
      </c>
      <c r="M42" s="167">
        <v>4</v>
      </c>
      <c r="N42" s="166" t="s">
        <v>62</v>
      </c>
      <c r="O42" s="167">
        <v>367</v>
      </c>
      <c r="Q42" s="167">
        <v>4</v>
      </c>
      <c r="R42" s="166" t="s">
        <v>62</v>
      </c>
      <c r="S42" s="167">
        <v>367</v>
      </c>
      <c r="U42" s="80"/>
      <c r="V42" s="80"/>
      <c r="W42" s="80"/>
    </row>
    <row r="43" spans="1:23">
      <c r="A43" s="167">
        <v>5</v>
      </c>
      <c r="B43" s="168" t="s">
        <v>64</v>
      </c>
      <c r="C43" s="169">
        <v>732</v>
      </c>
      <c r="E43" s="167">
        <v>5</v>
      </c>
      <c r="F43" s="168" t="s">
        <v>64</v>
      </c>
      <c r="G43" s="169">
        <v>732</v>
      </c>
      <c r="I43" s="167">
        <v>5</v>
      </c>
      <c r="J43" s="168" t="s">
        <v>64</v>
      </c>
      <c r="K43" s="169">
        <v>732</v>
      </c>
      <c r="M43" s="167">
        <v>5</v>
      </c>
      <c r="N43" s="168" t="s">
        <v>64</v>
      </c>
      <c r="O43" s="169">
        <v>732</v>
      </c>
      <c r="Q43" s="167">
        <v>5</v>
      </c>
      <c r="R43" s="168" t="s">
        <v>64</v>
      </c>
      <c r="S43" s="169">
        <v>732</v>
      </c>
      <c r="U43" s="80"/>
      <c r="V43" s="80"/>
      <c r="W43" s="80"/>
    </row>
    <row r="44" spans="1:23">
      <c r="A44" s="167">
        <v>6</v>
      </c>
      <c r="B44" s="168" t="s">
        <v>65</v>
      </c>
      <c r="C44" s="169">
        <v>1097</v>
      </c>
      <c r="E44" s="167">
        <v>6</v>
      </c>
      <c r="F44" s="168" t="s">
        <v>65</v>
      </c>
      <c r="G44" s="169">
        <v>1097</v>
      </c>
      <c r="I44" s="167">
        <v>6</v>
      </c>
      <c r="J44" s="168" t="s">
        <v>65</v>
      </c>
      <c r="K44" s="169">
        <v>1097</v>
      </c>
      <c r="M44" s="167">
        <v>6</v>
      </c>
      <c r="N44" s="168" t="s">
        <v>65</v>
      </c>
      <c r="O44" s="169">
        <v>1097</v>
      </c>
      <c r="Q44" s="167">
        <v>6</v>
      </c>
      <c r="R44" s="168" t="s">
        <v>65</v>
      </c>
      <c r="S44" s="169">
        <v>1097</v>
      </c>
      <c r="U44" s="80"/>
      <c r="V44" s="80"/>
      <c r="W44" s="80"/>
    </row>
    <row r="45" spans="1:23">
      <c r="A45" s="167">
        <v>7</v>
      </c>
      <c r="B45" s="170" t="s">
        <v>67</v>
      </c>
      <c r="C45" s="171">
        <v>1827</v>
      </c>
      <c r="E45" s="167">
        <v>7</v>
      </c>
      <c r="F45" s="170" t="s">
        <v>67</v>
      </c>
      <c r="G45" s="171">
        <v>1827</v>
      </c>
      <c r="I45" s="167">
        <v>7</v>
      </c>
      <c r="J45" s="170" t="s">
        <v>67</v>
      </c>
      <c r="K45" s="171">
        <v>1827</v>
      </c>
      <c r="M45" s="167">
        <v>7</v>
      </c>
      <c r="N45" s="170" t="s">
        <v>67</v>
      </c>
      <c r="O45" s="171">
        <v>1827</v>
      </c>
      <c r="Q45" s="167">
        <v>7</v>
      </c>
      <c r="R45" s="170" t="s">
        <v>67</v>
      </c>
      <c r="S45" s="171">
        <v>1827</v>
      </c>
      <c r="U45" s="80"/>
      <c r="V45" s="80"/>
      <c r="W45" s="80"/>
    </row>
    <row r="46" spans="1:23">
      <c r="A46" s="167"/>
      <c r="B46" s="166"/>
      <c r="C46" s="167"/>
      <c r="E46" s="167"/>
      <c r="F46" s="166"/>
      <c r="G46" s="167"/>
      <c r="I46" s="167"/>
      <c r="J46" s="166"/>
      <c r="K46" s="167"/>
      <c r="M46" s="167"/>
      <c r="N46" s="166"/>
      <c r="O46" s="167"/>
      <c r="Q46" s="167"/>
      <c r="R46" s="166"/>
      <c r="S46" s="167"/>
      <c r="U46" s="185"/>
      <c r="V46" s="185"/>
      <c r="W46" s="80"/>
    </row>
    <row r="47" spans="1:23">
      <c r="A47" s="173"/>
      <c r="B47" s="168"/>
      <c r="C47" s="169"/>
      <c r="E47" s="173"/>
      <c r="F47" s="168"/>
      <c r="G47" s="169"/>
      <c r="I47" s="173"/>
      <c r="J47" s="168"/>
      <c r="K47" s="169"/>
      <c r="M47" s="173"/>
      <c r="N47" s="168"/>
      <c r="O47" s="169"/>
      <c r="Q47" s="173"/>
      <c r="R47" s="168"/>
      <c r="S47" s="169"/>
      <c r="U47" s="185"/>
      <c r="V47" s="185"/>
      <c r="W47" s="80"/>
    </row>
    <row r="48" spans="1:23">
      <c r="A48" s="173"/>
      <c r="B48" s="168"/>
      <c r="C48" s="169"/>
      <c r="E48" s="173"/>
      <c r="F48" s="168"/>
      <c r="G48" s="169"/>
      <c r="I48" s="173"/>
      <c r="J48" s="168"/>
      <c r="K48" s="169"/>
      <c r="M48" s="173"/>
      <c r="N48" s="168"/>
      <c r="O48" s="169"/>
      <c r="Q48" s="173"/>
      <c r="R48" s="168"/>
      <c r="S48" s="169"/>
      <c r="U48" s="185"/>
      <c r="V48" s="185"/>
      <c r="W48" s="80"/>
    </row>
    <row r="49" spans="1:23">
      <c r="A49" s="173"/>
      <c r="B49" s="168"/>
      <c r="C49" s="169"/>
      <c r="E49" s="173"/>
      <c r="F49" s="168"/>
      <c r="G49" s="169"/>
      <c r="I49" s="173"/>
      <c r="J49" s="168"/>
      <c r="K49" s="169"/>
      <c r="M49" s="173"/>
      <c r="N49" s="168"/>
      <c r="O49" s="169"/>
      <c r="Q49" s="173"/>
      <c r="R49" s="168"/>
      <c r="S49" s="169"/>
      <c r="U49" s="185"/>
      <c r="V49" s="185"/>
      <c r="W49" s="80"/>
    </row>
    <row r="50" spans="1:23">
      <c r="A50" s="173"/>
      <c r="B50" s="168"/>
      <c r="C50" s="169"/>
      <c r="E50" s="173"/>
      <c r="F50" s="168"/>
      <c r="G50" s="169"/>
      <c r="I50" s="173"/>
      <c r="J50" s="168"/>
      <c r="K50" s="169"/>
      <c r="M50" s="173"/>
      <c r="N50" s="168"/>
      <c r="O50" s="169"/>
      <c r="Q50" s="173"/>
      <c r="R50" s="168"/>
      <c r="S50" s="169"/>
      <c r="U50" s="185"/>
      <c r="V50" s="185"/>
      <c r="W50" s="80"/>
    </row>
    <row r="51" spans="1:23">
      <c r="A51" s="173"/>
      <c r="B51" s="168"/>
      <c r="C51" s="169"/>
      <c r="E51" s="173"/>
      <c r="F51" s="168"/>
      <c r="G51" s="169"/>
      <c r="I51" s="173"/>
      <c r="J51" s="168"/>
      <c r="K51" s="169"/>
      <c r="M51" s="173"/>
      <c r="N51" s="168"/>
      <c r="O51" s="169"/>
      <c r="Q51" s="173"/>
      <c r="R51" s="168"/>
      <c r="S51" s="169"/>
      <c r="U51" s="185"/>
      <c r="V51" s="185"/>
      <c r="W51" s="80"/>
    </row>
    <row r="52" spans="1:23">
      <c r="A52" s="174"/>
      <c r="B52" s="170"/>
      <c r="C52" s="171"/>
      <c r="E52" s="174"/>
      <c r="F52" s="170"/>
      <c r="G52" s="171"/>
      <c r="I52" s="174"/>
      <c r="J52" s="170"/>
      <c r="K52" s="171"/>
      <c r="M52" s="174"/>
      <c r="N52" s="170"/>
      <c r="O52" s="171"/>
      <c r="Q52" s="174"/>
      <c r="R52" s="170"/>
      <c r="S52" s="171"/>
      <c r="U52" s="80"/>
      <c r="V52" s="80"/>
      <c r="W52" s="80"/>
    </row>
    <row r="53" spans="1:23">
      <c r="A53" s="175"/>
      <c r="B53" s="176"/>
      <c r="C53" s="177"/>
      <c r="E53" s="175"/>
      <c r="F53" s="176"/>
      <c r="G53" s="177"/>
      <c r="I53" s="175"/>
      <c r="J53" s="176"/>
      <c r="K53" s="177"/>
      <c r="M53" s="175"/>
      <c r="N53" s="176"/>
      <c r="O53" s="177"/>
      <c r="Q53" s="175"/>
      <c r="R53" s="176"/>
      <c r="S53" s="17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4"/>
  <sheetViews>
    <sheetView workbookViewId="0">
      <selection activeCell="B16" sqref="B16"/>
    </sheetView>
  </sheetViews>
  <sheetFormatPr defaultRowHeight="15"/>
  <cols>
    <col min="1" max="1" width="5.7109375" style="34" customWidth="1"/>
    <col min="2" max="2" width="9.140625" style="34"/>
    <col min="3" max="4" width="19.140625" style="34" customWidth="1"/>
    <col min="5" max="13" width="9.140625" style="34"/>
    <col min="14" max="14" width="21.7109375" style="34" bestFit="1" customWidth="1"/>
    <col min="15" max="16384" width="9.140625" style="34"/>
  </cols>
  <sheetData>
    <row r="1" spans="2:18" ht="15.75" thickBot="1"/>
    <row r="2" spans="2:18">
      <c r="B2" s="100"/>
      <c r="C2" s="101"/>
      <c r="D2" s="101"/>
      <c r="E2" s="101"/>
      <c r="F2" s="101"/>
      <c r="G2" s="101"/>
      <c r="H2" s="101"/>
      <c r="I2" s="101"/>
      <c r="J2" s="101"/>
      <c r="K2" s="102"/>
      <c r="M2" s="100"/>
      <c r="N2" s="101"/>
      <c r="O2" s="101"/>
      <c r="P2" s="101"/>
      <c r="Q2" s="101"/>
      <c r="R2" s="102"/>
    </row>
    <row r="3" spans="2:18" ht="15.75">
      <c r="B3" s="103"/>
      <c r="C3" s="298" t="s">
        <v>647</v>
      </c>
      <c r="D3" s="298"/>
      <c r="E3" s="298"/>
      <c r="F3" s="298"/>
      <c r="G3" s="298"/>
      <c r="H3" s="298"/>
      <c r="I3" s="298"/>
      <c r="J3" s="298"/>
      <c r="K3" s="104"/>
      <c r="M3" s="103"/>
      <c r="N3" s="121" t="s">
        <v>648</v>
      </c>
      <c r="O3" s="122"/>
      <c r="P3" s="122"/>
      <c r="Q3" s="122"/>
      <c r="R3" s="123"/>
    </row>
    <row r="4" spans="2:18" ht="15.75" thickBot="1">
      <c r="B4" s="103"/>
      <c r="C4" s="105"/>
      <c r="D4" s="105"/>
      <c r="E4" s="105"/>
      <c r="F4" s="105"/>
      <c r="G4" s="105"/>
      <c r="H4" s="105"/>
      <c r="I4" s="105"/>
      <c r="J4" s="105"/>
      <c r="K4" s="106"/>
      <c r="M4" s="103"/>
      <c r="N4" s="105"/>
      <c r="O4" s="105"/>
      <c r="P4" s="105"/>
      <c r="Q4" s="105"/>
      <c r="R4" s="106"/>
    </row>
    <row r="5" spans="2:18" ht="24.95" customHeight="1" thickBot="1">
      <c r="B5" s="107"/>
      <c r="C5" s="108" t="s">
        <v>641</v>
      </c>
      <c r="D5" s="109"/>
      <c r="E5" s="110" t="s">
        <v>642</v>
      </c>
      <c r="F5" s="111"/>
      <c r="G5" s="111"/>
      <c r="H5" s="111"/>
      <c r="I5" s="111"/>
      <c r="J5" s="111"/>
      <c r="K5" s="112"/>
      <c r="M5" s="103"/>
      <c r="N5" s="302" t="s">
        <v>649</v>
      </c>
      <c r="O5" s="303"/>
      <c r="P5" s="124">
        <f>COUNTA(#REF!)-1</f>
        <v>0</v>
      </c>
      <c r="Q5" s="111"/>
      <c r="R5" s="106"/>
    </row>
    <row r="6" spans="2:18" ht="24.95" customHeight="1" thickBot="1">
      <c r="B6" s="107"/>
      <c r="C6" s="113" t="s">
        <v>643</v>
      </c>
      <c r="D6" s="109"/>
      <c r="E6" s="110" t="s">
        <v>644</v>
      </c>
      <c r="F6" s="111"/>
      <c r="G6" s="111"/>
      <c r="H6" s="111"/>
      <c r="I6" s="111"/>
      <c r="J6" s="111"/>
      <c r="K6" s="112"/>
      <c r="M6" s="103"/>
      <c r="N6" s="304" t="s">
        <v>651</v>
      </c>
      <c r="O6" s="125" t="s">
        <v>650</v>
      </c>
      <c r="P6" s="124">
        <f>COUNTA(#REF!)-1</f>
        <v>0</v>
      </c>
      <c r="Q6" s="124" t="str">
        <f>IF(AND($P$5=0,$P$6=0),"No Data",IF($P$5*2=P6,"OK","NOT OK"))</f>
        <v>No Data</v>
      </c>
      <c r="R6" s="106"/>
    </row>
    <row r="7" spans="2:18" ht="24.95" customHeight="1" thickBot="1">
      <c r="B7" s="107"/>
      <c r="C7" s="299" t="s">
        <v>645</v>
      </c>
      <c r="D7" s="120"/>
      <c r="E7" s="110" t="s">
        <v>646</v>
      </c>
      <c r="F7" s="111"/>
      <c r="G7" s="111"/>
      <c r="H7" s="111"/>
      <c r="I7" s="111"/>
      <c r="J7" s="111"/>
      <c r="K7" s="112"/>
      <c r="M7" s="103"/>
      <c r="N7" s="305"/>
      <c r="O7" s="126" t="s">
        <v>653</v>
      </c>
      <c r="P7" s="124">
        <f>COUNTA(#REF!)-1</f>
        <v>0</v>
      </c>
      <c r="Q7" s="124" t="str">
        <f>IF(AND($P$5=0,$P$7=0),"No Data",IF($P$5*2=P7,"OK","NOT OK"))</f>
        <v>No Data</v>
      </c>
      <c r="R7" s="106"/>
    </row>
    <row r="8" spans="2:18" ht="24.95" customHeight="1" thickBot="1">
      <c r="B8" s="107"/>
      <c r="C8" s="300"/>
      <c r="D8" s="114" t="str">
        <f>IF(D7="","",IF(D7="Final","Final","Flash"))</f>
        <v/>
      </c>
      <c r="E8" s="307" t="s">
        <v>655</v>
      </c>
      <c r="F8" s="307"/>
      <c r="G8" s="307"/>
      <c r="H8" s="307"/>
      <c r="I8" s="307"/>
      <c r="J8" s="307"/>
      <c r="K8" s="112"/>
      <c r="M8" s="103"/>
      <c r="N8" s="305"/>
      <c r="O8" s="126" t="s">
        <v>654</v>
      </c>
      <c r="P8" s="124">
        <f>COUNTA(#REF!)-1</f>
        <v>0</v>
      </c>
      <c r="Q8" s="124" t="str">
        <f>IF(AND($P$5=0,$P$8=0),"No Data",IF($P$5*2=P8,"OK","NOT OK"))</f>
        <v>No Data</v>
      </c>
      <c r="R8" s="106"/>
    </row>
    <row r="9" spans="2:18" ht="24.95" customHeight="1" thickBot="1">
      <c r="B9" s="107"/>
      <c r="C9" s="301"/>
      <c r="D9" s="114" t="str">
        <f>IF($D$7="","",IF($D$7="Final","FINAL",IF($D$7="Intraday (10am)","FLASH1",IF($D$7="Intraday (1pm)","FLASH2",IF($D$7="Intraday (4.30pm)","FLASH3",IF($D$7="Flash (After 4pm)","FLASH4",""))))))</f>
        <v/>
      </c>
      <c r="E9" s="307"/>
      <c r="F9" s="307"/>
      <c r="G9" s="307"/>
      <c r="H9" s="307"/>
      <c r="I9" s="307"/>
      <c r="J9" s="307"/>
      <c r="K9" s="112"/>
      <c r="M9" s="103"/>
      <c r="N9" s="306"/>
      <c r="O9" s="127" t="s">
        <v>652</v>
      </c>
      <c r="P9" s="124">
        <f>COUNTA(#REF!)-1</f>
        <v>0</v>
      </c>
      <c r="Q9" s="124" t="str">
        <f>IF(AND($P$5=0,$P$9=0),"No Data",IF($P$5*4=P9,"OK","NOT OK"))</f>
        <v>No Data</v>
      </c>
      <c r="R9" s="106"/>
    </row>
    <row r="10" spans="2:18" ht="17.25" customHeight="1">
      <c r="B10" s="107"/>
      <c r="C10" s="115"/>
      <c r="D10" s="116"/>
      <c r="E10" s="307"/>
      <c r="F10" s="307"/>
      <c r="G10" s="307"/>
      <c r="H10" s="307"/>
      <c r="I10" s="307"/>
      <c r="J10" s="307"/>
      <c r="K10" s="112"/>
      <c r="M10" s="103"/>
      <c r="N10" s="105"/>
      <c r="O10" s="105"/>
      <c r="P10" s="105"/>
      <c r="Q10" s="105"/>
      <c r="R10" s="106"/>
    </row>
    <row r="11" spans="2:18" ht="9.75" customHeight="1" thickBot="1">
      <c r="B11" s="107"/>
      <c r="C11" s="115"/>
      <c r="D11" s="116"/>
      <c r="E11" s="307"/>
      <c r="F11" s="307"/>
      <c r="G11" s="307"/>
      <c r="H11" s="307"/>
      <c r="I11" s="307"/>
      <c r="J11" s="307"/>
      <c r="K11" s="112"/>
      <c r="M11" s="117"/>
      <c r="N11" s="118"/>
      <c r="O11" s="118"/>
      <c r="P11" s="118"/>
      <c r="Q11" s="118"/>
      <c r="R11" s="119"/>
    </row>
    <row r="12" spans="2:18">
      <c r="B12" s="107"/>
      <c r="C12" s="115"/>
      <c r="D12" s="116"/>
      <c r="E12" s="307"/>
      <c r="F12" s="307"/>
      <c r="G12" s="307"/>
      <c r="H12" s="307"/>
      <c r="I12" s="307"/>
      <c r="J12" s="307"/>
      <c r="K12" s="112"/>
    </row>
    <row r="13" spans="2:18" ht="22.5" customHeight="1">
      <c r="B13" s="107"/>
      <c r="C13" s="115"/>
      <c r="D13" s="116"/>
      <c r="E13" s="307"/>
      <c r="F13" s="307"/>
      <c r="G13" s="307"/>
      <c r="H13" s="307"/>
      <c r="I13" s="307"/>
      <c r="J13" s="307"/>
      <c r="K13" s="112"/>
    </row>
    <row r="14" spans="2:18" ht="15" customHeight="1" thickBot="1">
      <c r="B14" s="117"/>
      <c r="C14" s="118"/>
      <c r="D14" s="118"/>
      <c r="E14" s="118"/>
      <c r="F14" s="118"/>
      <c r="G14" s="118"/>
      <c r="H14" s="118"/>
      <c r="I14" s="118"/>
      <c r="J14" s="118"/>
      <c r="K14" s="119"/>
    </row>
  </sheetData>
  <mergeCells count="5">
    <mergeCell ref="C3:J3"/>
    <mergeCell ref="C7:C9"/>
    <mergeCell ref="N5:O5"/>
    <mergeCell ref="N6:N9"/>
    <mergeCell ref="E8:J13"/>
  </mergeCells>
  <conditionalFormatting sqref="D9">
    <cfRule type="expression" dxfId="9" priority="7">
      <formula>$D$8="Final"</formula>
    </cfRule>
  </conditionalFormatting>
  <conditionalFormatting sqref="D7">
    <cfRule type="expression" dxfId="8" priority="8">
      <formula>#REF!="Final"</formula>
    </cfRule>
  </conditionalFormatting>
  <conditionalFormatting sqref="Q6">
    <cfRule type="containsText" dxfId="7" priority="5" operator="containsText" text="NOT OK">
      <formula>NOT(ISERROR(SEARCH("NOT OK",Q6)))</formula>
    </cfRule>
    <cfRule type="containsText" dxfId="6" priority="6" operator="containsText" text="OK">
      <formula>NOT(ISERROR(SEARCH("OK",Q6)))</formula>
    </cfRule>
  </conditionalFormatting>
  <conditionalFormatting sqref="Q7:Q9">
    <cfRule type="containsText" dxfId="5" priority="3" operator="containsText" text="NOT OK">
      <formula>NOT(ISERROR(SEARCH("NOT OK",Q7)))</formula>
    </cfRule>
    <cfRule type="containsText" dxfId="4" priority="4" operator="containsText" text="OK">
      <formula>NOT(ISERROR(SEARCH("OK",Q7)))</formula>
    </cfRule>
  </conditionalFormatting>
  <dataValidations count="1">
    <dataValidation type="list" allowBlank="1" showInputMessage="1" showErrorMessage="1" errorTitle="Error Data Input" error="Please select from the drop-down list" sqref="D7">
      <formula1>"Intraday (10am),Intraday (1pm),Intraday (4.30pm), Flash (After 4pm),Final"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_Button">
                <anchor moveWithCells="1" sizeWithCells="1">
                  <from>
                    <xdr:col>2</xdr:col>
                    <xdr:colOff>314325</xdr:colOff>
                    <xdr:row>9</xdr:row>
                    <xdr:rowOff>114300</xdr:rowOff>
                  </from>
                  <to>
                    <xdr:col>3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alculate">
                <anchor moveWithCells="1" sizeWithCells="1">
                  <from>
                    <xdr:col>3</xdr:col>
                    <xdr:colOff>0</xdr:colOff>
                    <xdr:row>9</xdr:row>
                    <xdr:rowOff>114300</xdr:rowOff>
                  </from>
                  <to>
                    <xdr:col>3</xdr:col>
                    <xdr:colOff>1028700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Generate_Reports">
                <anchor moveWithCells="1" sizeWithCells="1">
                  <from>
                    <xdr:col>2</xdr:col>
                    <xdr:colOff>304800</xdr:colOff>
                    <xdr:row>11</xdr:row>
                    <xdr:rowOff>85725</xdr:rowOff>
                  </from>
                  <to>
                    <xdr:col>3</xdr:col>
                    <xdr:colOff>1028700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J19"/>
  <sheetViews>
    <sheetView workbookViewId="0">
      <selection sqref="A1:XFD1048576"/>
    </sheetView>
  </sheetViews>
  <sheetFormatPr defaultColWidth="15.7109375" defaultRowHeight="15"/>
  <cols>
    <col min="1" max="9" width="15.7109375" style="80"/>
    <col min="10" max="16384" width="15.7109375" style="1"/>
  </cols>
  <sheetData>
    <row r="1" spans="1:10" s="99" customFormat="1" ht="14.25" customHeight="1">
      <c r="A1" s="80" t="s">
        <v>0</v>
      </c>
      <c r="B1" s="80" t="s">
        <v>1</v>
      </c>
      <c r="C1" s="80" t="s">
        <v>2</v>
      </c>
      <c r="D1" s="80" t="s">
        <v>3</v>
      </c>
      <c r="E1" s="80" t="s">
        <v>4</v>
      </c>
      <c r="F1" s="80" t="s">
        <v>5</v>
      </c>
      <c r="G1" s="80" t="s">
        <v>6</v>
      </c>
      <c r="H1" s="80" t="s">
        <v>7</v>
      </c>
      <c r="I1" s="80" t="s">
        <v>8</v>
      </c>
      <c r="J1" s="1" t="s">
        <v>605</v>
      </c>
    </row>
    <row r="2" spans="1:10">
      <c r="A2" s="80" t="s">
        <v>600</v>
      </c>
      <c r="B2" s="80" t="s">
        <v>598</v>
      </c>
      <c r="C2" s="80" t="s">
        <v>599</v>
      </c>
      <c r="D2" s="80" t="s">
        <v>11</v>
      </c>
      <c r="E2" s="80">
        <v>150000</v>
      </c>
      <c r="F2" s="80">
        <v>4.0549999999999997</v>
      </c>
      <c r="G2" s="80" t="s">
        <v>28</v>
      </c>
      <c r="H2" s="80">
        <v>608250</v>
      </c>
      <c r="I2" s="80">
        <v>42502</v>
      </c>
      <c r="J2" s="1" t="s">
        <v>606</v>
      </c>
    </row>
    <row r="3" spans="1:10">
      <c r="A3" s="80" t="s">
        <v>601</v>
      </c>
      <c r="B3" s="80" t="s">
        <v>598</v>
      </c>
      <c r="C3" s="80" t="s">
        <v>607</v>
      </c>
      <c r="D3" s="80" t="s">
        <v>11</v>
      </c>
      <c r="E3" s="80">
        <v>100000</v>
      </c>
      <c r="F3" s="80">
        <v>4.0529999999999999</v>
      </c>
      <c r="G3" s="80" t="s">
        <v>28</v>
      </c>
      <c r="H3" s="80">
        <v>405300</v>
      </c>
      <c r="I3" s="80">
        <v>42502</v>
      </c>
      <c r="J3" s="1" t="s">
        <v>608</v>
      </c>
    </row>
    <row r="4" spans="1:10">
      <c r="A4" s="80" t="s">
        <v>602</v>
      </c>
      <c r="B4" s="80" t="s">
        <v>598</v>
      </c>
      <c r="C4" s="80" t="s">
        <v>599</v>
      </c>
      <c r="D4" s="80" t="s">
        <v>28</v>
      </c>
      <c r="E4" s="80">
        <v>11595225</v>
      </c>
      <c r="F4" s="80">
        <v>4.0685000000000002</v>
      </c>
      <c r="G4" s="80" t="s">
        <v>11</v>
      </c>
      <c r="H4" s="80">
        <v>2850000</v>
      </c>
      <c r="I4" s="80">
        <v>42531</v>
      </c>
      <c r="J4" s="1" t="s">
        <v>609</v>
      </c>
    </row>
    <row r="5" spans="1:10">
      <c r="A5" s="80" t="s">
        <v>603</v>
      </c>
      <c r="B5" s="80" t="s">
        <v>598</v>
      </c>
      <c r="C5" s="80" t="s">
        <v>610</v>
      </c>
      <c r="D5" s="80" t="s">
        <v>11</v>
      </c>
      <c r="E5" s="80">
        <v>2852333.3</v>
      </c>
      <c r="F5" s="80">
        <v>106.93</v>
      </c>
      <c r="G5" s="80" t="s">
        <v>10</v>
      </c>
      <c r="H5" s="80">
        <v>305000000</v>
      </c>
      <c r="I5" s="80">
        <v>42531</v>
      </c>
      <c r="J5" s="1" t="s">
        <v>611</v>
      </c>
    </row>
    <row r="6" spans="1:10">
      <c r="A6" s="80" t="s">
        <v>604</v>
      </c>
      <c r="B6" s="80" t="s">
        <v>598</v>
      </c>
      <c r="C6" s="80" t="s">
        <v>599</v>
      </c>
      <c r="D6" s="80" t="s">
        <v>28</v>
      </c>
      <c r="E6" s="80">
        <v>1209600</v>
      </c>
      <c r="F6" s="80">
        <v>4.032</v>
      </c>
      <c r="G6" s="80" t="s">
        <v>11</v>
      </c>
      <c r="H6" s="80">
        <v>300000</v>
      </c>
      <c r="I6" s="80">
        <v>42593</v>
      </c>
      <c r="J6" s="1" t="s">
        <v>612</v>
      </c>
    </row>
    <row r="7" spans="1:10">
      <c r="A7" s="80" t="s">
        <v>613</v>
      </c>
      <c r="B7" s="80" t="s">
        <v>598</v>
      </c>
      <c r="C7" s="80" t="s">
        <v>614</v>
      </c>
      <c r="D7" s="80" t="s">
        <v>11</v>
      </c>
      <c r="E7" s="80">
        <v>300000</v>
      </c>
      <c r="F7" s="80">
        <v>102.34</v>
      </c>
      <c r="G7" s="80" t="s">
        <v>10</v>
      </c>
      <c r="H7" s="80">
        <v>30702000</v>
      </c>
      <c r="I7" s="80">
        <v>42594</v>
      </c>
      <c r="J7" s="1" t="s">
        <v>615</v>
      </c>
    </row>
    <row r="8" spans="1:10">
      <c r="A8" s="80" t="s">
        <v>616</v>
      </c>
      <c r="B8" s="80" t="s">
        <v>598</v>
      </c>
      <c r="C8" s="80" t="s">
        <v>599</v>
      </c>
      <c r="D8" s="80" t="s">
        <v>11</v>
      </c>
      <c r="E8" s="80">
        <v>300000</v>
      </c>
      <c r="F8" s="80">
        <v>4.21</v>
      </c>
      <c r="G8" s="80" t="s">
        <v>28</v>
      </c>
      <c r="H8" s="80">
        <v>1263000</v>
      </c>
      <c r="I8" s="80">
        <v>42684</v>
      </c>
      <c r="J8" s="1" t="s">
        <v>617</v>
      </c>
    </row>
    <row r="9" spans="1:10">
      <c r="A9" s="80" t="s">
        <v>618</v>
      </c>
      <c r="B9" s="80" t="s">
        <v>598</v>
      </c>
      <c r="C9" s="80" t="s">
        <v>610</v>
      </c>
      <c r="D9" s="80" t="s">
        <v>31</v>
      </c>
      <c r="E9" s="80">
        <v>85000</v>
      </c>
      <c r="F9" s="80">
        <v>1.1037999999999999</v>
      </c>
      <c r="G9" s="80" t="s">
        <v>11</v>
      </c>
      <c r="H9" s="80">
        <v>93823</v>
      </c>
      <c r="I9" s="80">
        <v>42684</v>
      </c>
      <c r="J9" s="1" t="s">
        <v>619</v>
      </c>
    </row>
    <row r="10" spans="1:10">
      <c r="A10" s="80" t="s">
        <v>620</v>
      </c>
      <c r="B10" s="80" t="s">
        <v>598</v>
      </c>
      <c r="C10" s="80" t="s">
        <v>599</v>
      </c>
      <c r="D10" s="80" t="s">
        <v>28</v>
      </c>
      <c r="E10" s="80">
        <v>5147710.5</v>
      </c>
      <c r="F10" s="80">
        <v>4.3884999999999996</v>
      </c>
      <c r="G10" s="80" t="s">
        <v>11</v>
      </c>
      <c r="H10" s="80">
        <v>1173000</v>
      </c>
      <c r="I10" s="80">
        <v>42692</v>
      </c>
      <c r="J10" s="1" t="s">
        <v>621</v>
      </c>
    </row>
    <row r="11" spans="1:10">
      <c r="A11" s="80" t="s">
        <v>622</v>
      </c>
      <c r="B11" s="80" t="s">
        <v>598</v>
      </c>
      <c r="C11" s="80" t="s">
        <v>599</v>
      </c>
      <c r="D11" s="80" t="s">
        <v>28</v>
      </c>
      <c r="E11" s="80">
        <v>1477852.5</v>
      </c>
      <c r="F11" s="80">
        <v>4.4115000000000002</v>
      </c>
      <c r="G11" s="80" t="s">
        <v>11</v>
      </c>
      <c r="H11" s="80">
        <v>335000</v>
      </c>
      <c r="I11" s="80">
        <v>42696</v>
      </c>
      <c r="J11" s="1" t="s">
        <v>623</v>
      </c>
    </row>
    <row r="12" spans="1:10">
      <c r="A12" s="80" t="s">
        <v>624</v>
      </c>
      <c r="B12" s="80" t="s">
        <v>598</v>
      </c>
      <c r="C12" s="80" t="s">
        <v>599</v>
      </c>
      <c r="D12" s="80" t="s">
        <v>28</v>
      </c>
      <c r="E12" s="80">
        <v>926415</v>
      </c>
      <c r="F12" s="80">
        <v>4.4115000000000002</v>
      </c>
      <c r="G12" s="80" t="s">
        <v>11</v>
      </c>
      <c r="H12" s="80">
        <v>210000</v>
      </c>
      <c r="I12" s="80">
        <v>42696</v>
      </c>
      <c r="J12" s="1" t="s">
        <v>625</v>
      </c>
    </row>
    <row r="13" spans="1:10">
      <c r="A13" s="80" t="s">
        <v>626</v>
      </c>
      <c r="B13" s="80" t="s">
        <v>598</v>
      </c>
      <c r="C13" s="80" t="s">
        <v>627</v>
      </c>
      <c r="D13" s="80" t="s">
        <v>28</v>
      </c>
      <c r="E13" s="80">
        <v>7509068</v>
      </c>
      <c r="F13" s="80">
        <v>4.4485000000000001</v>
      </c>
      <c r="G13" s="80" t="s">
        <v>11</v>
      </c>
      <c r="H13" s="80">
        <v>1688000</v>
      </c>
      <c r="I13" s="80">
        <v>42711</v>
      </c>
      <c r="J13" s="1" t="s">
        <v>628</v>
      </c>
    </row>
    <row r="14" spans="1:10">
      <c r="A14" s="80" t="s">
        <v>629</v>
      </c>
      <c r="B14" s="80" t="s">
        <v>598</v>
      </c>
      <c r="C14" s="80" t="s">
        <v>627</v>
      </c>
      <c r="D14" s="80" t="s">
        <v>28</v>
      </c>
      <c r="E14" s="80">
        <v>15022584.5</v>
      </c>
      <c r="F14" s="80">
        <v>4.4485000000000001</v>
      </c>
      <c r="G14" s="80" t="s">
        <v>11</v>
      </c>
      <c r="H14" s="80">
        <v>3377000</v>
      </c>
      <c r="I14" s="80">
        <v>42711</v>
      </c>
      <c r="J14" s="1" t="s">
        <v>630</v>
      </c>
    </row>
    <row r="15" spans="1:10">
      <c r="A15" s="80" t="s">
        <v>631</v>
      </c>
      <c r="B15" s="80" t="s">
        <v>598</v>
      </c>
      <c r="C15" s="80" t="s">
        <v>610</v>
      </c>
      <c r="D15" s="80" t="s">
        <v>11</v>
      </c>
      <c r="E15" s="80">
        <v>1688031.11</v>
      </c>
      <c r="F15" s="80">
        <v>1.0562</v>
      </c>
      <c r="G15" s="80" t="s">
        <v>31</v>
      </c>
      <c r="H15" s="80">
        <v>1598211.62</v>
      </c>
      <c r="I15" s="80">
        <v>42711</v>
      </c>
      <c r="J15" s="1" t="s">
        <v>632</v>
      </c>
    </row>
    <row r="16" spans="1:10">
      <c r="A16" s="80" t="s">
        <v>633</v>
      </c>
      <c r="B16" s="80" t="s">
        <v>598</v>
      </c>
      <c r="C16" s="80" t="s">
        <v>610</v>
      </c>
      <c r="D16" s="80" t="s">
        <v>11</v>
      </c>
      <c r="E16" s="80">
        <v>3377021.15</v>
      </c>
      <c r="F16" s="80">
        <v>1.0565</v>
      </c>
      <c r="G16" s="80" t="s">
        <v>31</v>
      </c>
      <c r="H16" s="80">
        <v>3196423.24</v>
      </c>
      <c r="I16" s="80">
        <v>42711</v>
      </c>
      <c r="J16" s="1" t="s">
        <v>634</v>
      </c>
    </row>
    <row r="17" spans="1:10">
      <c r="A17" s="80" t="s">
        <v>635</v>
      </c>
      <c r="B17" s="80" t="s">
        <v>598</v>
      </c>
      <c r="C17" s="80" t="s">
        <v>627</v>
      </c>
      <c r="D17" s="80" t="s">
        <v>28</v>
      </c>
      <c r="E17" s="80">
        <v>336000</v>
      </c>
      <c r="F17" s="80">
        <v>4.4800000000000004</v>
      </c>
      <c r="G17" s="80" t="s">
        <v>11</v>
      </c>
      <c r="H17" s="80">
        <v>75000</v>
      </c>
      <c r="I17" s="80">
        <v>42725</v>
      </c>
      <c r="J17" s="1" t="s">
        <v>636</v>
      </c>
    </row>
    <row r="18" spans="1:10">
      <c r="A18" s="80" t="s">
        <v>637</v>
      </c>
      <c r="B18" s="80" t="s">
        <v>598</v>
      </c>
      <c r="C18" s="80" t="s">
        <v>599</v>
      </c>
      <c r="D18" s="80" t="s">
        <v>11</v>
      </c>
      <c r="E18" s="80">
        <v>100000</v>
      </c>
      <c r="F18" s="80">
        <v>4.4800000000000004</v>
      </c>
      <c r="G18" s="80" t="s">
        <v>28</v>
      </c>
      <c r="H18" s="80">
        <v>448000</v>
      </c>
      <c r="I18" s="80">
        <v>42725</v>
      </c>
      <c r="J18" s="1" t="s">
        <v>638</v>
      </c>
    </row>
    <row r="19" spans="1:10">
      <c r="A19" s="80" t="s">
        <v>639</v>
      </c>
      <c r="B19" s="80" t="s">
        <v>598</v>
      </c>
      <c r="C19" s="80" t="s">
        <v>599</v>
      </c>
      <c r="D19" s="80" t="s">
        <v>11</v>
      </c>
      <c r="E19" s="80">
        <v>100000</v>
      </c>
      <c r="F19" s="80">
        <v>4.4800000000000004</v>
      </c>
      <c r="G19" s="80" t="s">
        <v>28</v>
      </c>
      <c r="H19" s="80">
        <v>448000</v>
      </c>
      <c r="I19" s="80">
        <v>42725</v>
      </c>
      <c r="J19" s="1" t="s">
        <v>640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62"/>
  <sheetViews>
    <sheetView topLeftCell="G16" workbookViewId="0">
      <selection activeCell="A33" sqref="A33:P38"/>
    </sheetView>
  </sheetViews>
  <sheetFormatPr defaultColWidth="2.5703125" defaultRowHeight="15"/>
  <cols>
    <col min="1" max="1" width="12.7109375" style="1" customWidth="1"/>
    <col min="2" max="3" width="14.7109375" style="1" customWidth="1"/>
    <col min="4" max="7" width="16.28515625" style="1" bestFit="1" customWidth="1"/>
    <col min="8" max="8" width="18.28515625" style="1" customWidth="1"/>
    <col min="9" max="9" width="18" style="1" bestFit="1" customWidth="1"/>
    <col min="10" max="10" width="17.28515625" style="2" customWidth="1"/>
    <col min="11" max="11" width="17.28515625" style="1" customWidth="1"/>
    <col min="12" max="12" width="15.140625" style="1" bestFit="1" customWidth="1"/>
    <col min="13" max="13" width="16" style="1" bestFit="1" customWidth="1"/>
    <col min="14" max="14" width="16.42578125" style="1" customWidth="1"/>
    <col min="15" max="16" width="11.5703125" style="1" customWidth="1"/>
    <col min="17" max="98" width="6.140625" style="1" customWidth="1"/>
    <col min="99" max="16384" width="2.5703125" style="1"/>
  </cols>
  <sheetData>
    <row r="1" spans="1:12" ht="19.5" thickBot="1">
      <c r="A1" s="94"/>
      <c r="B1" s="95"/>
    </row>
    <row r="4" spans="1:12">
      <c r="A4" s="3"/>
      <c r="B4" s="4"/>
      <c r="C4" s="4"/>
      <c r="D4" s="4"/>
      <c r="E4" s="4"/>
      <c r="F4" s="4"/>
      <c r="G4" s="4"/>
      <c r="H4" s="4"/>
      <c r="I4" s="4"/>
      <c r="J4" s="5"/>
      <c r="K4" s="6"/>
    </row>
    <row r="5" spans="1:12" customFormat="1">
      <c r="A5" s="7"/>
      <c r="B5" s="8"/>
      <c r="C5" s="7"/>
      <c r="D5" s="8"/>
      <c r="E5" s="7"/>
      <c r="F5" s="7"/>
      <c r="G5" s="7"/>
      <c r="H5" s="7"/>
      <c r="I5" s="9"/>
      <c r="J5" s="10"/>
      <c r="K5" s="11"/>
    </row>
    <row r="6" spans="1:12" ht="15.75" thickBot="1"/>
    <row r="7" spans="1:12" ht="15.75" thickBot="1">
      <c r="E7" s="331"/>
      <c r="F7" s="332"/>
      <c r="G7" s="333"/>
    </row>
    <row r="8" spans="1:12" ht="15.75" thickBot="1">
      <c r="A8" s="313"/>
      <c r="B8" s="12"/>
      <c r="C8" s="96"/>
      <c r="D8" s="96"/>
      <c r="E8" s="97"/>
      <c r="F8" s="96"/>
      <c r="G8" s="96"/>
      <c r="H8" s="96"/>
      <c r="I8" s="96"/>
      <c r="J8" s="96"/>
      <c r="K8" s="96"/>
    </row>
    <row r="9" spans="1:12" ht="15.75" thickBot="1">
      <c r="A9" s="314"/>
      <c r="B9" s="308"/>
      <c r="C9" s="334"/>
      <c r="D9" s="329"/>
      <c r="E9" s="13"/>
      <c r="F9" s="14"/>
      <c r="G9" s="13"/>
      <c r="H9" s="330"/>
      <c r="I9" s="326"/>
      <c r="J9" s="327"/>
      <c r="K9" s="328"/>
      <c r="L9" s="15"/>
    </row>
    <row r="10" spans="1:12" ht="15.75" thickBot="1">
      <c r="A10" s="314"/>
      <c r="B10" s="308"/>
      <c r="C10" s="330"/>
      <c r="D10" s="330"/>
      <c r="E10" s="13"/>
      <c r="F10" s="14"/>
      <c r="G10" s="13"/>
      <c r="H10" s="330"/>
      <c r="I10" s="326"/>
      <c r="J10" s="327"/>
      <c r="K10" s="328"/>
    </row>
    <row r="11" spans="1:12" ht="15.75" thickBot="1">
      <c r="A11" s="314"/>
      <c r="B11" s="308"/>
      <c r="C11" s="329"/>
      <c r="D11" s="329"/>
      <c r="E11" s="13"/>
      <c r="F11" s="14"/>
      <c r="G11" s="13"/>
      <c r="H11" s="330"/>
      <c r="I11" s="330"/>
      <c r="J11" s="328"/>
      <c r="K11" s="328"/>
    </row>
    <row r="12" spans="1:12" ht="15.75" thickBot="1">
      <c r="A12" s="315"/>
      <c r="B12" s="308"/>
      <c r="C12" s="330"/>
      <c r="D12" s="330"/>
      <c r="E12" s="13"/>
      <c r="F12" s="14"/>
      <c r="G12" s="13"/>
      <c r="H12" s="330"/>
      <c r="I12" s="330"/>
      <c r="J12" s="328"/>
      <c r="K12" s="328"/>
    </row>
    <row r="14" spans="1:12">
      <c r="A14" s="16"/>
    </row>
    <row r="15" spans="1:12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>
      <c r="A16" s="18"/>
      <c r="B16" s="19"/>
      <c r="C16" s="20"/>
      <c r="D16" s="21"/>
      <c r="E16" s="18"/>
      <c r="F16" s="21"/>
      <c r="G16" s="22"/>
      <c r="H16" s="22"/>
      <c r="I16" s="22"/>
      <c r="J16" s="22"/>
      <c r="K16" s="22"/>
      <c r="L16" s="22"/>
    </row>
    <row r="17" spans="1:12">
      <c r="A17" s="18"/>
      <c r="B17" s="19"/>
      <c r="C17" s="20"/>
      <c r="D17" s="21"/>
      <c r="E17" s="18"/>
      <c r="F17" s="18"/>
      <c r="G17" s="22"/>
      <c r="H17" s="22"/>
      <c r="I17" s="22"/>
      <c r="J17" s="22"/>
      <c r="K17" s="22"/>
      <c r="L17" s="22"/>
    </row>
    <row r="20" spans="1:12">
      <c r="G20" s="84"/>
      <c r="H20" s="84"/>
      <c r="I20" s="84"/>
      <c r="J20" s="85"/>
      <c r="K20" s="84"/>
      <c r="L20" s="84"/>
    </row>
    <row r="21" spans="1:12">
      <c r="G21" s="84"/>
      <c r="H21" s="84"/>
      <c r="I21" s="84"/>
      <c r="J21" s="85"/>
      <c r="K21" s="84"/>
      <c r="L21" s="84"/>
    </row>
    <row r="24" spans="1:12">
      <c r="A24" s="16"/>
    </row>
    <row r="25" spans="1:12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</row>
    <row r="26" spans="1:12">
      <c r="A26" s="23"/>
      <c r="B26" s="24"/>
      <c r="C26" s="25"/>
      <c r="D26" s="20"/>
      <c r="E26" s="26"/>
      <c r="F26" s="24"/>
      <c r="G26" s="26"/>
      <c r="H26" s="25"/>
      <c r="I26" s="25"/>
      <c r="J26" s="27"/>
      <c r="K26" s="28"/>
    </row>
    <row r="27" spans="1:12">
      <c r="A27" s="23"/>
      <c r="B27" s="24"/>
      <c r="C27" s="25"/>
      <c r="D27" s="20"/>
      <c r="E27" s="26"/>
      <c r="F27" s="24"/>
      <c r="G27" s="24"/>
      <c r="H27" s="25"/>
      <c r="I27" s="25"/>
      <c r="J27" s="29"/>
      <c r="K27" s="28"/>
    </row>
    <row r="30" spans="1:12">
      <c r="K30" s="84"/>
    </row>
    <row r="31" spans="1:12">
      <c r="K31" s="84"/>
    </row>
    <row r="32" spans="1:12" ht="15.75" thickBot="1">
      <c r="A32" s="30"/>
      <c r="B32"/>
      <c r="C32"/>
      <c r="D32"/>
      <c r="E32"/>
      <c r="F32"/>
      <c r="G32"/>
      <c r="H32"/>
      <c r="I32"/>
      <c r="J32"/>
      <c r="K32" s="31"/>
    </row>
    <row r="33" spans="1:16" ht="15.75" thickBot="1">
      <c r="A33" s="313"/>
      <c r="B33" s="12"/>
      <c r="C33" s="316"/>
      <c r="D33" s="317"/>
      <c r="E33" s="318"/>
      <c r="F33" s="318"/>
      <c r="G33" s="319"/>
      <c r="H33" s="317"/>
      <c r="I33" s="319"/>
      <c r="J33" s="318"/>
      <c r="K33" s="319"/>
      <c r="L33" s="317"/>
      <c r="M33" s="319"/>
      <c r="N33" s="320"/>
      <c r="O33" s="321"/>
      <c r="P33" s="322"/>
    </row>
    <row r="34" spans="1:16" ht="15.75" thickBot="1">
      <c r="A34" s="314"/>
      <c r="B34" s="12"/>
      <c r="C34" s="316"/>
      <c r="D34" s="36"/>
      <c r="E34" s="37"/>
      <c r="F34" s="37"/>
      <c r="G34" s="38"/>
      <c r="H34" s="37"/>
      <c r="I34" s="37"/>
      <c r="J34" s="37"/>
      <c r="K34" s="37"/>
      <c r="L34" s="37"/>
      <c r="M34" s="37"/>
      <c r="N34" s="39"/>
      <c r="O34" s="39"/>
      <c r="P34" s="40"/>
    </row>
    <row r="35" spans="1:16" ht="15.75" thickBot="1">
      <c r="A35" s="314"/>
      <c r="B35" s="308"/>
      <c r="C35" s="323"/>
      <c r="D35" s="63"/>
      <c r="E35" s="67"/>
      <c r="F35" s="86"/>
      <c r="G35" s="87"/>
      <c r="H35" s="86"/>
      <c r="I35" s="86"/>
      <c r="J35" s="86"/>
      <c r="K35" s="86"/>
      <c r="L35" s="90"/>
      <c r="M35" s="90"/>
      <c r="N35" s="70"/>
      <c r="O35" s="325"/>
      <c r="P35" s="325"/>
    </row>
    <row r="36" spans="1:16" ht="15.75" thickBot="1">
      <c r="A36" s="314"/>
      <c r="B36" s="308"/>
      <c r="C36" s="324"/>
      <c r="D36" s="64"/>
      <c r="E36" s="72"/>
      <c r="F36" s="88"/>
      <c r="G36" s="89"/>
      <c r="H36" s="88"/>
      <c r="I36" s="88"/>
      <c r="J36" s="88"/>
      <c r="K36" s="88"/>
      <c r="L36" s="91"/>
      <c r="M36" s="91"/>
      <c r="N36" s="75"/>
      <c r="O36" s="312"/>
      <c r="P36" s="312"/>
    </row>
    <row r="37" spans="1:16" ht="15.75" thickBot="1">
      <c r="A37" s="314"/>
      <c r="B37" s="308"/>
      <c r="C37" s="309"/>
      <c r="D37" s="63"/>
      <c r="E37" s="68"/>
      <c r="F37" s="68"/>
      <c r="G37" s="77"/>
      <c r="H37" s="69"/>
      <c r="I37" s="70"/>
      <c r="J37" s="71"/>
      <c r="K37" s="71"/>
      <c r="L37" s="90"/>
      <c r="M37" s="90"/>
      <c r="N37" s="70"/>
      <c r="O37" s="311"/>
      <c r="P37" s="311"/>
    </row>
    <row r="38" spans="1:16" ht="15.75" thickBot="1">
      <c r="A38" s="315"/>
      <c r="B38" s="308"/>
      <c r="C38" s="310"/>
      <c r="D38" s="64"/>
      <c r="E38" s="73"/>
      <c r="F38" s="73"/>
      <c r="G38" s="78"/>
      <c r="H38" s="74"/>
      <c r="I38" s="75"/>
      <c r="J38" s="76"/>
      <c r="K38" s="76"/>
      <c r="L38" s="91"/>
      <c r="M38" s="91"/>
      <c r="N38" s="75"/>
      <c r="O38" s="312"/>
      <c r="P38" s="312"/>
    </row>
    <row r="41" spans="1:16">
      <c r="A41" s="16"/>
    </row>
    <row r="42" spans="1:16">
      <c r="A42" s="17"/>
      <c r="B42" s="17"/>
      <c r="C42" s="17"/>
      <c r="D42" s="17"/>
      <c r="E42" s="17"/>
      <c r="F42" s="17"/>
      <c r="G42" s="17"/>
      <c r="H42" s="17"/>
    </row>
    <row r="43" spans="1:16">
      <c r="A43" s="24"/>
      <c r="B43" s="25"/>
      <c r="C43" s="20"/>
      <c r="D43" s="26"/>
      <c r="E43" s="24"/>
      <c r="F43" s="26"/>
      <c r="G43" s="66"/>
      <c r="H43" s="66"/>
    </row>
    <row r="44" spans="1:16">
      <c r="A44" s="24"/>
      <c r="B44" s="25"/>
      <c r="C44" s="20"/>
      <c r="D44" s="26"/>
      <c r="E44" s="24"/>
      <c r="F44" s="24"/>
      <c r="G44" s="66"/>
      <c r="H44" s="66"/>
    </row>
    <row r="45" spans="1:16">
      <c r="A45" s="79"/>
      <c r="B45" s="80"/>
      <c r="C45" s="80"/>
      <c r="D45" s="81"/>
      <c r="E45" s="79"/>
      <c r="F45" s="79"/>
      <c r="G45" s="82"/>
      <c r="H45" s="82"/>
    </row>
    <row r="46" spans="1:16">
      <c r="A46"/>
      <c r="B46"/>
      <c r="C46"/>
      <c r="D46"/>
      <c r="E46"/>
      <c r="F46"/>
      <c r="G46"/>
      <c r="H46"/>
    </row>
    <row r="47" spans="1:16">
      <c r="A47"/>
      <c r="B47"/>
      <c r="C47"/>
      <c r="D47"/>
      <c r="E47"/>
      <c r="F47"/>
      <c r="G47"/>
      <c r="H47"/>
    </row>
    <row r="48" spans="1:16">
      <c r="A48"/>
      <c r="B48"/>
      <c r="C48"/>
      <c r="D48"/>
      <c r="E48"/>
      <c r="F48"/>
      <c r="G48"/>
      <c r="H48"/>
    </row>
    <row r="49" spans="1:11">
      <c r="A49" s="79"/>
      <c r="B49" s="80"/>
      <c r="C49" s="80"/>
      <c r="D49" s="81"/>
      <c r="E49" s="79"/>
      <c r="F49" s="79"/>
      <c r="G49" s="82"/>
      <c r="H49" s="82"/>
    </row>
    <row r="50" spans="1:11">
      <c r="A50" s="79"/>
      <c r="B50" s="80"/>
      <c r="C50" s="80"/>
      <c r="D50" s="81"/>
      <c r="E50" s="79"/>
      <c r="F50" s="79"/>
      <c r="G50" s="82"/>
      <c r="H50" s="82"/>
    </row>
    <row r="51" spans="1:11">
      <c r="A51" s="16"/>
    </row>
    <row r="52" spans="1:11" customFormat="1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</row>
    <row r="53" spans="1:11">
      <c r="A53" s="32"/>
      <c r="B53" s="18"/>
      <c r="C53" s="19"/>
      <c r="D53" s="20"/>
      <c r="E53" s="21"/>
      <c r="F53" s="18"/>
      <c r="G53" s="21"/>
      <c r="H53" s="19"/>
      <c r="I53" s="83"/>
      <c r="J53" s="21"/>
      <c r="K53" s="92"/>
    </row>
    <row r="54" spans="1:11">
      <c r="A54" s="32"/>
      <c r="B54" s="18"/>
      <c r="C54" s="19"/>
      <c r="D54" s="20"/>
      <c r="E54" s="21"/>
      <c r="F54" s="18"/>
      <c r="G54" s="21"/>
      <c r="H54" s="19"/>
      <c r="I54" s="83"/>
      <c r="J54" s="21"/>
      <c r="K54" s="92"/>
    </row>
    <row r="55" spans="1:11">
      <c r="A55" s="32"/>
      <c r="B55" s="18"/>
      <c r="C55" s="19"/>
      <c r="D55" s="20"/>
      <c r="E55" s="21"/>
      <c r="F55" s="18"/>
      <c r="G55" s="18"/>
      <c r="H55" s="19"/>
      <c r="I55" s="83"/>
      <c r="J55" s="18"/>
      <c r="K55" s="92"/>
    </row>
    <row r="56" spans="1:11">
      <c r="A56" s="32"/>
      <c r="B56" s="18"/>
      <c r="C56" s="19"/>
      <c r="D56" s="20"/>
      <c r="E56" s="21"/>
      <c r="F56" s="18"/>
      <c r="G56" s="18"/>
      <c r="H56" s="19"/>
      <c r="I56" s="83"/>
      <c r="J56" s="18"/>
      <c r="K56" s="92"/>
    </row>
    <row r="59" spans="1:11">
      <c r="A59" s="30"/>
      <c r="B59"/>
      <c r="C59"/>
      <c r="D59"/>
      <c r="E59"/>
      <c r="F59"/>
      <c r="G59"/>
      <c r="H59"/>
      <c r="I59"/>
      <c r="J59"/>
      <c r="K59" s="93"/>
    </row>
    <row r="60" spans="1:11">
      <c r="A60" s="30"/>
      <c r="B60"/>
      <c r="C60"/>
      <c r="D60"/>
      <c r="E60"/>
      <c r="F60"/>
      <c r="G60"/>
      <c r="H60"/>
      <c r="I60"/>
      <c r="J60"/>
      <c r="K60" s="93"/>
    </row>
    <row r="61" spans="1:11">
      <c r="A61" s="30"/>
      <c r="B61"/>
      <c r="C61"/>
      <c r="D61"/>
      <c r="E61"/>
      <c r="F61"/>
      <c r="G61"/>
      <c r="H61"/>
      <c r="I61"/>
      <c r="J61"/>
      <c r="K61" s="93"/>
    </row>
    <row r="62" spans="1:11">
      <c r="A62" s="30"/>
      <c r="B62"/>
      <c r="C62"/>
      <c r="D62"/>
      <c r="E62"/>
      <c r="F62"/>
      <c r="G62"/>
      <c r="H62"/>
      <c r="I62"/>
      <c r="J62"/>
      <c r="K62" s="93"/>
    </row>
  </sheetData>
  <mergeCells count="31">
    <mergeCell ref="E7:G7"/>
    <mergeCell ref="A8:A12"/>
    <mergeCell ref="B9:B10"/>
    <mergeCell ref="C9:C10"/>
    <mergeCell ref="D9:D10"/>
    <mergeCell ref="I9:I10"/>
    <mergeCell ref="J9:J10"/>
    <mergeCell ref="K9:K10"/>
    <mergeCell ref="B11:B12"/>
    <mergeCell ref="C11:C12"/>
    <mergeCell ref="D11:D12"/>
    <mergeCell ref="H11:H12"/>
    <mergeCell ref="I11:I12"/>
    <mergeCell ref="J11:J12"/>
    <mergeCell ref="K11:K12"/>
    <mergeCell ref="H9:H10"/>
    <mergeCell ref="B37:B38"/>
    <mergeCell ref="C37:C38"/>
    <mergeCell ref="O37:O38"/>
    <mergeCell ref="P37:P38"/>
    <mergeCell ref="A33:A38"/>
    <mergeCell ref="C33:C34"/>
    <mergeCell ref="D33:G33"/>
    <mergeCell ref="H33:I33"/>
    <mergeCell ref="J33:K33"/>
    <mergeCell ref="L33:M33"/>
    <mergeCell ref="N33:P33"/>
    <mergeCell ref="B35:B36"/>
    <mergeCell ref="C35:C36"/>
    <mergeCell ref="O35:O36"/>
    <mergeCell ref="P35:P36"/>
  </mergeCells>
  <conditionalFormatting sqref="D35:P38">
    <cfRule type="containsErrors" dxfId="3" priority="2">
      <formula>ISERROR(D35)</formula>
    </cfRule>
  </conditionalFormatting>
  <conditionalFormatting sqref="E35:N38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>
      <selection activeCell="G11" sqref="G11"/>
    </sheetView>
  </sheetViews>
  <sheetFormatPr defaultRowHeight="15"/>
  <cols>
    <col min="1" max="1" width="13.28515625" bestFit="1" customWidth="1"/>
    <col min="3" max="3" width="9.42578125" bestFit="1" customWidth="1"/>
    <col min="7" max="7" width="12" bestFit="1" customWidth="1"/>
    <col min="8" max="8" width="13.42578125" bestFit="1" customWidth="1"/>
    <col min="9" max="9" width="12.7109375" bestFit="1" customWidth="1"/>
    <col min="10" max="10" width="17" bestFit="1" customWidth="1"/>
  </cols>
  <sheetData>
    <row r="1" spans="1:12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</row>
    <row r="2" spans="1:12">
      <c r="A2" t="s">
        <v>9</v>
      </c>
      <c r="B2">
        <v>888</v>
      </c>
      <c r="C2" s="35" t="s">
        <v>590</v>
      </c>
      <c r="D2" t="s">
        <v>11</v>
      </c>
      <c r="E2" t="s">
        <v>10</v>
      </c>
      <c r="F2" t="s">
        <v>11</v>
      </c>
      <c r="G2">
        <v>935382.60174860724</v>
      </c>
      <c r="H2">
        <v>0</v>
      </c>
      <c r="I2">
        <v>-935382.60174860724</v>
      </c>
      <c r="J2">
        <v>935382.60174860724</v>
      </c>
      <c r="K2">
        <v>0</v>
      </c>
      <c r="L2">
        <v>-935382.60174860724</v>
      </c>
    </row>
    <row r="3" spans="1:12">
      <c r="A3" t="s">
        <v>9</v>
      </c>
      <c r="B3">
        <v>888</v>
      </c>
      <c r="C3" s="35" t="s">
        <v>590</v>
      </c>
      <c r="D3" t="s">
        <v>11</v>
      </c>
      <c r="E3" t="s">
        <v>10</v>
      </c>
      <c r="F3" t="s">
        <v>10</v>
      </c>
      <c r="G3">
        <v>0</v>
      </c>
      <c r="H3">
        <v>106108428.65537356</v>
      </c>
      <c r="I3">
        <v>106108428.65537356</v>
      </c>
      <c r="J3">
        <v>0</v>
      </c>
      <c r="K3">
        <v>960257.92325980472</v>
      </c>
      <c r="L3">
        <v>960257.92325980472</v>
      </c>
    </row>
    <row r="4" spans="1:12">
      <c r="A4" t="s">
        <v>27</v>
      </c>
      <c r="B4">
        <v>888</v>
      </c>
      <c r="C4" s="35" t="s">
        <v>590</v>
      </c>
      <c r="D4" t="s">
        <v>10</v>
      </c>
      <c r="E4" t="s">
        <v>28</v>
      </c>
      <c r="F4" t="s">
        <v>10</v>
      </c>
      <c r="G4">
        <v>19988173.234743167</v>
      </c>
      <c r="H4">
        <v>0</v>
      </c>
      <c r="I4">
        <v>19988173.234743167</v>
      </c>
      <c r="J4">
        <v>180888.56807493276</v>
      </c>
      <c r="K4">
        <v>0</v>
      </c>
      <c r="L4">
        <v>180888.56807493276</v>
      </c>
    </row>
    <row r="5" spans="1:12">
      <c r="A5" t="s">
        <v>27</v>
      </c>
      <c r="B5">
        <v>888</v>
      </c>
      <c r="C5" s="35" t="s">
        <v>590</v>
      </c>
      <c r="D5" t="s">
        <v>10</v>
      </c>
      <c r="E5" t="s">
        <v>28</v>
      </c>
      <c r="F5" t="s">
        <v>28</v>
      </c>
      <c r="G5">
        <v>0</v>
      </c>
      <c r="H5">
        <v>728957.8956649031</v>
      </c>
      <c r="I5">
        <v>-728957.8956649031</v>
      </c>
      <c r="J5">
        <v>0</v>
      </c>
      <c r="K5">
        <v>164568.88941526201</v>
      </c>
      <c r="L5">
        <v>-164568.88941526201</v>
      </c>
    </row>
    <row r="6" spans="1:12">
      <c r="A6" t="s">
        <v>29</v>
      </c>
      <c r="B6">
        <v>888</v>
      </c>
      <c r="C6" s="35" t="s">
        <v>590</v>
      </c>
      <c r="D6" t="s">
        <v>28</v>
      </c>
      <c r="E6" t="s">
        <v>30</v>
      </c>
      <c r="F6" t="s">
        <v>28</v>
      </c>
      <c r="G6">
        <v>98245.520235044503</v>
      </c>
      <c r="H6">
        <v>0</v>
      </c>
      <c r="I6">
        <v>98245.520235044503</v>
      </c>
      <c r="J6">
        <v>22179.82170336257</v>
      </c>
      <c r="K6">
        <v>0</v>
      </c>
      <c r="L6">
        <v>22179.82170336257</v>
      </c>
    </row>
    <row r="7" spans="1:12">
      <c r="A7" t="s">
        <v>29</v>
      </c>
      <c r="B7">
        <v>888</v>
      </c>
      <c r="C7" s="35" t="s">
        <v>590</v>
      </c>
      <c r="D7" t="s">
        <v>28</v>
      </c>
      <c r="E7" t="s">
        <v>30</v>
      </c>
      <c r="F7" t="s">
        <v>30</v>
      </c>
      <c r="G7">
        <v>0</v>
      </c>
      <c r="H7">
        <v>766703.63421441359</v>
      </c>
      <c r="I7">
        <v>-766703.63421441359</v>
      </c>
      <c r="J7">
        <v>0</v>
      </c>
      <c r="K7">
        <v>22268.417642838413</v>
      </c>
      <c r="L7">
        <v>-22268.417642838413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B0F0"/>
  </sheetPr>
  <dimension ref="A1:O1312"/>
  <sheetViews>
    <sheetView topLeftCell="B1" zoomScale="80" zoomScaleNormal="80" workbookViewId="0">
      <selection activeCell="K29" sqref="K29"/>
    </sheetView>
  </sheetViews>
  <sheetFormatPr defaultColWidth="11.5703125" defaultRowHeight="18" customHeight="1"/>
  <cols>
    <col min="1" max="1" width="11.5703125" style="41" hidden="1" customWidth="1"/>
    <col min="2" max="9" width="15.7109375" style="42" customWidth="1"/>
    <col min="10" max="10" width="12" style="43" customWidth="1"/>
    <col min="11" max="11" width="19.85546875" style="43" customWidth="1"/>
    <col min="12" max="12" width="39.28515625" style="43" bestFit="1" customWidth="1"/>
    <col min="13" max="14" width="19.85546875" style="43" customWidth="1"/>
    <col min="15" max="15" width="20.42578125" style="43" customWidth="1"/>
    <col min="16" max="256" width="11.5703125" style="43"/>
    <col min="257" max="257" width="0" style="43" hidden="1" customWidth="1"/>
    <col min="258" max="265" width="15.7109375" style="43" customWidth="1"/>
    <col min="266" max="266" width="12" style="43" customWidth="1"/>
    <col min="267" max="267" width="19.85546875" style="43" customWidth="1"/>
    <col min="268" max="268" width="39.28515625" style="43" bestFit="1" customWidth="1"/>
    <col min="269" max="270" width="19.85546875" style="43" customWidth="1"/>
    <col min="271" max="271" width="20.42578125" style="43" customWidth="1"/>
    <col min="272" max="512" width="11.5703125" style="43"/>
    <col min="513" max="513" width="0" style="43" hidden="1" customWidth="1"/>
    <col min="514" max="521" width="15.7109375" style="43" customWidth="1"/>
    <col min="522" max="522" width="12" style="43" customWidth="1"/>
    <col min="523" max="523" width="19.85546875" style="43" customWidth="1"/>
    <col min="524" max="524" width="39.28515625" style="43" bestFit="1" customWidth="1"/>
    <col min="525" max="526" width="19.85546875" style="43" customWidth="1"/>
    <col min="527" max="527" width="20.42578125" style="43" customWidth="1"/>
    <col min="528" max="768" width="11.5703125" style="43"/>
    <col min="769" max="769" width="0" style="43" hidden="1" customWidth="1"/>
    <col min="770" max="777" width="15.7109375" style="43" customWidth="1"/>
    <col min="778" max="778" width="12" style="43" customWidth="1"/>
    <col min="779" max="779" width="19.85546875" style="43" customWidth="1"/>
    <col min="780" max="780" width="39.28515625" style="43" bestFit="1" customWidth="1"/>
    <col min="781" max="782" width="19.85546875" style="43" customWidth="1"/>
    <col min="783" max="783" width="20.42578125" style="43" customWidth="1"/>
    <col min="784" max="1024" width="11.5703125" style="43"/>
    <col min="1025" max="1025" width="0" style="43" hidden="1" customWidth="1"/>
    <col min="1026" max="1033" width="15.7109375" style="43" customWidth="1"/>
    <col min="1034" max="1034" width="12" style="43" customWidth="1"/>
    <col min="1035" max="1035" width="19.85546875" style="43" customWidth="1"/>
    <col min="1036" max="1036" width="39.28515625" style="43" bestFit="1" customWidth="1"/>
    <col min="1037" max="1038" width="19.85546875" style="43" customWidth="1"/>
    <col min="1039" max="1039" width="20.42578125" style="43" customWidth="1"/>
    <col min="1040" max="1280" width="11.5703125" style="43"/>
    <col min="1281" max="1281" width="0" style="43" hidden="1" customWidth="1"/>
    <col min="1282" max="1289" width="15.7109375" style="43" customWidth="1"/>
    <col min="1290" max="1290" width="12" style="43" customWidth="1"/>
    <col min="1291" max="1291" width="19.85546875" style="43" customWidth="1"/>
    <col min="1292" max="1292" width="39.28515625" style="43" bestFit="1" customWidth="1"/>
    <col min="1293" max="1294" width="19.85546875" style="43" customWidth="1"/>
    <col min="1295" max="1295" width="20.42578125" style="43" customWidth="1"/>
    <col min="1296" max="1536" width="11.5703125" style="43"/>
    <col min="1537" max="1537" width="0" style="43" hidden="1" customWidth="1"/>
    <col min="1538" max="1545" width="15.7109375" style="43" customWidth="1"/>
    <col min="1546" max="1546" width="12" style="43" customWidth="1"/>
    <col min="1547" max="1547" width="19.85546875" style="43" customWidth="1"/>
    <col min="1548" max="1548" width="39.28515625" style="43" bestFit="1" customWidth="1"/>
    <col min="1549" max="1550" width="19.85546875" style="43" customWidth="1"/>
    <col min="1551" max="1551" width="20.42578125" style="43" customWidth="1"/>
    <col min="1552" max="1792" width="11.5703125" style="43"/>
    <col min="1793" max="1793" width="0" style="43" hidden="1" customWidth="1"/>
    <col min="1794" max="1801" width="15.7109375" style="43" customWidth="1"/>
    <col min="1802" max="1802" width="12" style="43" customWidth="1"/>
    <col min="1803" max="1803" width="19.85546875" style="43" customWidth="1"/>
    <col min="1804" max="1804" width="39.28515625" style="43" bestFit="1" customWidth="1"/>
    <col min="1805" max="1806" width="19.85546875" style="43" customWidth="1"/>
    <col min="1807" max="1807" width="20.42578125" style="43" customWidth="1"/>
    <col min="1808" max="2048" width="11.5703125" style="43"/>
    <col min="2049" max="2049" width="0" style="43" hidden="1" customWidth="1"/>
    <col min="2050" max="2057" width="15.7109375" style="43" customWidth="1"/>
    <col min="2058" max="2058" width="12" style="43" customWidth="1"/>
    <col min="2059" max="2059" width="19.85546875" style="43" customWidth="1"/>
    <col min="2060" max="2060" width="39.28515625" style="43" bestFit="1" customWidth="1"/>
    <col min="2061" max="2062" width="19.85546875" style="43" customWidth="1"/>
    <col min="2063" max="2063" width="20.42578125" style="43" customWidth="1"/>
    <col min="2064" max="2304" width="11.5703125" style="43"/>
    <col min="2305" max="2305" width="0" style="43" hidden="1" customWidth="1"/>
    <col min="2306" max="2313" width="15.7109375" style="43" customWidth="1"/>
    <col min="2314" max="2314" width="12" style="43" customWidth="1"/>
    <col min="2315" max="2315" width="19.85546875" style="43" customWidth="1"/>
    <col min="2316" max="2316" width="39.28515625" style="43" bestFit="1" customWidth="1"/>
    <col min="2317" max="2318" width="19.85546875" style="43" customWidth="1"/>
    <col min="2319" max="2319" width="20.42578125" style="43" customWidth="1"/>
    <col min="2320" max="2560" width="11.5703125" style="43"/>
    <col min="2561" max="2561" width="0" style="43" hidden="1" customWidth="1"/>
    <col min="2562" max="2569" width="15.7109375" style="43" customWidth="1"/>
    <col min="2570" max="2570" width="12" style="43" customWidth="1"/>
    <col min="2571" max="2571" width="19.85546875" style="43" customWidth="1"/>
    <col min="2572" max="2572" width="39.28515625" style="43" bestFit="1" customWidth="1"/>
    <col min="2573" max="2574" width="19.85546875" style="43" customWidth="1"/>
    <col min="2575" max="2575" width="20.42578125" style="43" customWidth="1"/>
    <col min="2576" max="2816" width="11.5703125" style="43"/>
    <col min="2817" max="2817" width="0" style="43" hidden="1" customWidth="1"/>
    <col min="2818" max="2825" width="15.7109375" style="43" customWidth="1"/>
    <col min="2826" max="2826" width="12" style="43" customWidth="1"/>
    <col min="2827" max="2827" width="19.85546875" style="43" customWidth="1"/>
    <col min="2828" max="2828" width="39.28515625" style="43" bestFit="1" customWidth="1"/>
    <col min="2829" max="2830" width="19.85546875" style="43" customWidth="1"/>
    <col min="2831" max="2831" width="20.42578125" style="43" customWidth="1"/>
    <col min="2832" max="3072" width="11.5703125" style="43"/>
    <col min="3073" max="3073" width="0" style="43" hidden="1" customWidth="1"/>
    <col min="3074" max="3081" width="15.7109375" style="43" customWidth="1"/>
    <col min="3082" max="3082" width="12" style="43" customWidth="1"/>
    <col min="3083" max="3083" width="19.85546875" style="43" customWidth="1"/>
    <col min="3084" max="3084" width="39.28515625" style="43" bestFit="1" customWidth="1"/>
    <col min="3085" max="3086" width="19.85546875" style="43" customWidth="1"/>
    <col min="3087" max="3087" width="20.42578125" style="43" customWidth="1"/>
    <col min="3088" max="3328" width="11.5703125" style="43"/>
    <col min="3329" max="3329" width="0" style="43" hidden="1" customWidth="1"/>
    <col min="3330" max="3337" width="15.7109375" style="43" customWidth="1"/>
    <col min="3338" max="3338" width="12" style="43" customWidth="1"/>
    <col min="3339" max="3339" width="19.85546875" style="43" customWidth="1"/>
    <col min="3340" max="3340" width="39.28515625" style="43" bestFit="1" customWidth="1"/>
    <col min="3341" max="3342" width="19.85546875" style="43" customWidth="1"/>
    <col min="3343" max="3343" width="20.42578125" style="43" customWidth="1"/>
    <col min="3344" max="3584" width="11.5703125" style="43"/>
    <col min="3585" max="3585" width="0" style="43" hidden="1" customWidth="1"/>
    <col min="3586" max="3593" width="15.7109375" style="43" customWidth="1"/>
    <col min="3594" max="3594" width="12" style="43" customWidth="1"/>
    <col min="3595" max="3595" width="19.85546875" style="43" customWidth="1"/>
    <col min="3596" max="3596" width="39.28515625" style="43" bestFit="1" customWidth="1"/>
    <col min="3597" max="3598" width="19.85546875" style="43" customWidth="1"/>
    <col min="3599" max="3599" width="20.42578125" style="43" customWidth="1"/>
    <col min="3600" max="3840" width="11.5703125" style="43"/>
    <col min="3841" max="3841" width="0" style="43" hidden="1" customWidth="1"/>
    <col min="3842" max="3849" width="15.7109375" style="43" customWidth="1"/>
    <col min="3850" max="3850" width="12" style="43" customWidth="1"/>
    <col min="3851" max="3851" width="19.85546875" style="43" customWidth="1"/>
    <col min="3852" max="3852" width="39.28515625" style="43" bestFit="1" customWidth="1"/>
    <col min="3853" max="3854" width="19.85546875" style="43" customWidth="1"/>
    <col min="3855" max="3855" width="20.42578125" style="43" customWidth="1"/>
    <col min="3856" max="4096" width="11.5703125" style="43"/>
    <col min="4097" max="4097" width="0" style="43" hidden="1" customWidth="1"/>
    <col min="4098" max="4105" width="15.7109375" style="43" customWidth="1"/>
    <col min="4106" max="4106" width="12" style="43" customWidth="1"/>
    <col min="4107" max="4107" width="19.85546875" style="43" customWidth="1"/>
    <col min="4108" max="4108" width="39.28515625" style="43" bestFit="1" customWidth="1"/>
    <col min="4109" max="4110" width="19.85546875" style="43" customWidth="1"/>
    <col min="4111" max="4111" width="20.42578125" style="43" customWidth="1"/>
    <col min="4112" max="4352" width="11.5703125" style="43"/>
    <col min="4353" max="4353" width="0" style="43" hidden="1" customWidth="1"/>
    <col min="4354" max="4361" width="15.7109375" style="43" customWidth="1"/>
    <col min="4362" max="4362" width="12" style="43" customWidth="1"/>
    <col min="4363" max="4363" width="19.85546875" style="43" customWidth="1"/>
    <col min="4364" max="4364" width="39.28515625" style="43" bestFit="1" customWidth="1"/>
    <col min="4365" max="4366" width="19.85546875" style="43" customWidth="1"/>
    <col min="4367" max="4367" width="20.42578125" style="43" customWidth="1"/>
    <col min="4368" max="4608" width="11.5703125" style="43"/>
    <col min="4609" max="4609" width="0" style="43" hidden="1" customWidth="1"/>
    <col min="4610" max="4617" width="15.7109375" style="43" customWidth="1"/>
    <col min="4618" max="4618" width="12" style="43" customWidth="1"/>
    <col min="4619" max="4619" width="19.85546875" style="43" customWidth="1"/>
    <col min="4620" max="4620" width="39.28515625" style="43" bestFit="1" customWidth="1"/>
    <col min="4621" max="4622" width="19.85546875" style="43" customWidth="1"/>
    <col min="4623" max="4623" width="20.42578125" style="43" customWidth="1"/>
    <col min="4624" max="4864" width="11.5703125" style="43"/>
    <col min="4865" max="4865" width="0" style="43" hidden="1" customWidth="1"/>
    <col min="4866" max="4873" width="15.7109375" style="43" customWidth="1"/>
    <col min="4874" max="4874" width="12" style="43" customWidth="1"/>
    <col min="4875" max="4875" width="19.85546875" style="43" customWidth="1"/>
    <col min="4876" max="4876" width="39.28515625" style="43" bestFit="1" customWidth="1"/>
    <col min="4877" max="4878" width="19.85546875" style="43" customWidth="1"/>
    <col min="4879" max="4879" width="20.42578125" style="43" customWidth="1"/>
    <col min="4880" max="5120" width="11.5703125" style="43"/>
    <col min="5121" max="5121" width="0" style="43" hidden="1" customWidth="1"/>
    <col min="5122" max="5129" width="15.7109375" style="43" customWidth="1"/>
    <col min="5130" max="5130" width="12" style="43" customWidth="1"/>
    <col min="5131" max="5131" width="19.85546875" style="43" customWidth="1"/>
    <col min="5132" max="5132" width="39.28515625" style="43" bestFit="1" customWidth="1"/>
    <col min="5133" max="5134" width="19.85546875" style="43" customWidth="1"/>
    <col min="5135" max="5135" width="20.42578125" style="43" customWidth="1"/>
    <col min="5136" max="5376" width="11.5703125" style="43"/>
    <col min="5377" max="5377" width="0" style="43" hidden="1" customWidth="1"/>
    <col min="5378" max="5385" width="15.7109375" style="43" customWidth="1"/>
    <col min="5386" max="5386" width="12" style="43" customWidth="1"/>
    <col min="5387" max="5387" width="19.85546875" style="43" customWidth="1"/>
    <col min="5388" max="5388" width="39.28515625" style="43" bestFit="1" customWidth="1"/>
    <col min="5389" max="5390" width="19.85546875" style="43" customWidth="1"/>
    <col min="5391" max="5391" width="20.42578125" style="43" customWidth="1"/>
    <col min="5392" max="5632" width="11.5703125" style="43"/>
    <col min="5633" max="5633" width="0" style="43" hidden="1" customWidth="1"/>
    <col min="5634" max="5641" width="15.7109375" style="43" customWidth="1"/>
    <col min="5642" max="5642" width="12" style="43" customWidth="1"/>
    <col min="5643" max="5643" width="19.85546875" style="43" customWidth="1"/>
    <col min="5644" max="5644" width="39.28515625" style="43" bestFit="1" customWidth="1"/>
    <col min="5645" max="5646" width="19.85546875" style="43" customWidth="1"/>
    <col min="5647" max="5647" width="20.42578125" style="43" customWidth="1"/>
    <col min="5648" max="5888" width="11.5703125" style="43"/>
    <col min="5889" max="5889" width="0" style="43" hidden="1" customWidth="1"/>
    <col min="5890" max="5897" width="15.7109375" style="43" customWidth="1"/>
    <col min="5898" max="5898" width="12" style="43" customWidth="1"/>
    <col min="5899" max="5899" width="19.85546875" style="43" customWidth="1"/>
    <col min="5900" max="5900" width="39.28515625" style="43" bestFit="1" customWidth="1"/>
    <col min="5901" max="5902" width="19.85546875" style="43" customWidth="1"/>
    <col min="5903" max="5903" width="20.42578125" style="43" customWidth="1"/>
    <col min="5904" max="6144" width="11.5703125" style="43"/>
    <col min="6145" max="6145" width="0" style="43" hidden="1" customWidth="1"/>
    <col min="6146" max="6153" width="15.7109375" style="43" customWidth="1"/>
    <col min="6154" max="6154" width="12" style="43" customWidth="1"/>
    <col min="6155" max="6155" width="19.85546875" style="43" customWidth="1"/>
    <col min="6156" max="6156" width="39.28515625" style="43" bestFit="1" customWidth="1"/>
    <col min="6157" max="6158" width="19.85546875" style="43" customWidth="1"/>
    <col min="6159" max="6159" width="20.42578125" style="43" customWidth="1"/>
    <col min="6160" max="6400" width="11.5703125" style="43"/>
    <col min="6401" max="6401" width="0" style="43" hidden="1" customWidth="1"/>
    <col min="6402" max="6409" width="15.7109375" style="43" customWidth="1"/>
    <col min="6410" max="6410" width="12" style="43" customWidth="1"/>
    <col min="6411" max="6411" width="19.85546875" style="43" customWidth="1"/>
    <col min="6412" max="6412" width="39.28515625" style="43" bestFit="1" customWidth="1"/>
    <col min="6413" max="6414" width="19.85546875" style="43" customWidth="1"/>
    <col min="6415" max="6415" width="20.42578125" style="43" customWidth="1"/>
    <col min="6416" max="6656" width="11.5703125" style="43"/>
    <col min="6657" max="6657" width="0" style="43" hidden="1" customWidth="1"/>
    <col min="6658" max="6665" width="15.7109375" style="43" customWidth="1"/>
    <col min="6666" max="6666" width="12" style="43" customWidth="1"/>
    <col min="6667" max="6667" width="19.85546875" style="43" customWidth="1"/>
    <col min="6668" max="6668" width="39.28515625" style="43" bestFit="1" customWidth="1"/>
    <col min="6669" max="6670" width="19.85546875" style="43" customWidth="1"/>
    <col min="6671" max="6671" width="20.42578125" style="43" customWidth="1"/>
    <col min="6672" max="6912" width="11.5703125" style="43"/>
    <col min="6913" max="6913" width="0" style="43" hidden="1" customWidth="1"/>
    <col min="6914" max="6921" width="15.7109375" style="43" customWidth="1"/>
    <col min="6922" max="6922" width="12" style="43" customWidth="1"/>
    <col min="6923" max="6923" width="19.85546875" style="43" customWidth="1"/>
    <col min="6924" max="6924" width="39.28515625" style="43" bestFit="1" customWidth="1"/>
    <col min="6925" max="6926" width="19.85546875" style="43" customWidth="1"/>
    <col min="6927" max="6927" width="20.42578125" style="43" customWidth="1"/>
    <col min="6928" max="7168" width="11.5703125" style="43"/>
    <col min="7169" max="7169" width="0" style="43" hidden="1" customWidth="1"/>
    <col min="7170" max="7177" width="15.7109375" style="43" customWidth="1"/>
    <col min="7178" max="7178" width="12" style="43" customWidth="1"/>
    <col min="7179" max="7179" width="19.85546875" style="43" customWidth="1"/>
    <col min="7180" max="7180" width="39.28515625" style="43" bestFit="1" customWidth="1"/>
    <col min="7181" max="7182" width="19.85546875" style="43" customWidth="1"/>
    <col min="7183" max="7183" width="20.42578125" style="43" customWidth="1"/>
    <col min="7184" max="7424" width="11.5703125" style="43"/>
    <col min="7425" max="7425" width="0" style="43" hidden="1" customWidth="1"/>
    <col min="7426" max="7433" width="15.7109375" style="43" customWidth="1"/>
    <col min="7434" max="7434" width="12" style="43" customWidth="1"/>
    <col min="7435" max="7435" width="19.85546875" style="43" customWidth="1"/>
    <col min="7436" max="7436" width="39.28515625" style="43" bestFit="1" customWidth="1"/>
    <col min="7437" max="7438" width="19.85546875" style="43" customWidth="1"/>
    <col min="7439" max="7439" width="20.42578125" style="43" customWidth="1"/>
    <col min="7440" max="7680" width="11.5703125" style="43"/>
    <col min="7681" max="7681" width="0" style="43" hidden="1" customWidth="1"/>
    <col min="7682" max="7689" width="15.7109375" style="43" customWidth="1"/>
    <col min="7690" max="7690" width="12" style="43" customWidth="1"/>
    <col min="7691" max="7691" width="19.85546875" style="43" customWidth="1"/>
    <col min="7692" max="7692" width="39.28515625" style="43" bestFit="1" customWidth="1"/>
    <col min="7693" max="7694" width="19.85546875" style="43" customWidth="1"/>
    <col min="7695" max="7695" width="20.42578125" style="43" customWidth="1"/>
    <col min="7696" max="7936" width="11.5703125" style="43"/>
    <col min="7937" max="7937" width="0" style="43" hidden="1" customWidth="1"/>
    <col min="7938" max="7945" width="15.7109375" style="43" customWidth="1"/>
    <col min="7946" max="7946" width="12" style="43" customWidth="1"/>
    <col min="7947" max="7947" width="19.85546875" style="43" customWidth="1"/>
    <col min="7948" max="7948" width="39.28515625" style="43" bestFit="1" customWidth="1"/>
    <col min="7949" max="7950" width="19.85546875" style="43" customWidth="1"/>
    <col min="7951" max="7951" width="20.42578125" style="43" customWidth="1"/>
    <col min="7952" max="8192" width="11.5703125" style="43"/>
    <col min="8193" max="8193" width="0" style="43" hidden="1" customWidth="1"/>
    <col min="8194" max="8201" width="15.7109375" style="43" customWidth="1"/>
    <col min="8202" max="8202" width="12" style="43" customWidth="1"/>
    <col min="8203" max="8203" width="19.85546875" style="43" customWidth="1"/>
    <col min="8204" max="8204" width="39.28515625" style="43" bestFit="1" customWidth="1"/>
    <col min="8205" max="8206" width="19.85546875" style="43" customWidth="1"/>
    <col min="8207" max="8207" width="20.42578125" style="43" customWidth="1"/>
    <col min="8208" max="8448" width="11.5703125" style="43"/>
    <col min="8449" max="8449" width="0" style="43" hidden="1" customWidth="1"/>
    <col min="8450" max="8457" width="15.7109375" style="43" customWidth="1"/>
    <col min="8458" max="8458" width="12" style="43" customWidth="1"/>
    <col min="8459" max="8459" width="19.85546875" style="43" customWidth="1"/>
    <col min="8460" max="8460" width="39.28515625" style="43" bestFit="1" customWidth="1"/>
    <col min="8461" max="8462" width="19.85546875" style="43" customWidth="1"/>
    <col min="8463" max="8463" width="20.42578125" style="43" customWidth="1"/>
    <col min="8464" max="8704" width="11.5703125" style="43"/>
    <col min="8705" max="8705" width="0" style="43" hidden="1" customWidth="1"/>
    <col min="8706" max="8713" width="15.7109375" style="43" customWidth="1"/>
    <col min="8714" max="8714" width="12" style="43" customWidth="1"/>
    <col min="8715" max="8715" width="19.85546875" style="43" customWidth="1"/>
    <col min="8716" max="8716" width="39.28515625" style="43" bestFit="1" customWidth="1"/>
    <col min="8717" max="8718" width="19.85546875" style="43" customWidth="1"/>
    <col min="8719" max="8719" width="20.42578125" style="43" customWidth="1"/>
    <col min="8720" max="8960" width="11.5703125" style="43"/>
    <col min="8961" max="8961" width="0" style="43" hidden="1" customWidth="1"/>
    <col min="8962" max="8969" width="15.7109375" style="43" customWidth="1"/>
    <col min="8970" max="8970" width="12" style="43" customWidth="1"/>
    <col min="8971" max="8971" width="19.85546875" style="43" customWidth="1"/>
    <col min="8972" max="8972" width="39.28515625" style="43" bestFit="1" customWidth="1"/>
    <col min="8973" max="8974" width="19.85546875" style="43" customWidth="1"/>
    <col min="8975" max="8975" width="20.42578125" style="43" customWidth="1"/>
    <col min="8976" max="9216" width="11.5703125" style="43"/>
    <col min="9217" max="9217" width="0" style="43" hidden="1" customWidth="1"/>
    <col min="9218" max="9225" width="15.7109375" style="43" customWidth="1"/>
    <col min="9226" max="9226" width="12" style="43" customWidth="1"/>
    <col min="9227" max="9227" width="19.85546875" style="43" customWidth="1"/>
    <col min="9228" max="9228" width="39.28515625" style="43" bestFit="1" customWidth="1"/>
    <col min="9229" max="9230" width="19.85546875" style="43" customWidth="1"/>
    <col min="9231" max="9231" width="20.42578125" style="43" customWidth="1"/>
    <col min="9232" max="9472" width="11.5703125" style="43"/>
    <col min="9473" max="9473" width="0" style="43" hidden="1" customWidth="1"/>
    <col min="9474" max="9481" width="15.7109375" style="43" customWidth="1"/>
    <col min="9482" max="9482" width="12" style="43" customWidth="1"/>
    <col min="9483" max="9483" width="19.85546875" style="43" customWidth="1"/>
    <col min="9484" max="9484" width="39.28515625" style="43" bestFit="1" customWidth="1"/>
    <col min="9485" max="9486" width="19.85546875" style="43" customWidth="1"/>
    <col min="9487" max="9487" width="20.42578125" style="43" customWidth="1"/>
    <col min="9488" max="9728" width="11.5703125" style="43"/>
    <col min="9729" max="9729" width="0" style="43" hidden="1" customWidth="1"/>
    <col min="9730" max="9737" width="15.7109375" style="43" customWidth="1"/>
    <col min="9738" max="9738" width="12" style="43" customWidth="1"/>
    <col min="9739" max="9739" width="19.85546875" style="43" customWidth="1"/>
    <col min="9740" max="9740" width="39.28515625" style="43" bestFit="1" customWidth="1"/>
    <col min="9741" max="9742" width="19.85546875" style="43" customWidth="1"/>
    <col min="9743" max="9743" width="20.42578125" style="43" customWidth="1"/>
    <col min="9744" max="9984" width="11.5703125" style="43"/>
    <col min="9985" max="9985" width="0" style="43" hidden="1" customWidth="1"/>
    <col min="9986" max="9993" width="15.7109375" style="43" customWidth="1"/>
    <col min="9994" max="9994" width="12" style="43" customWidth="1"/>
    <col min="9995" max="9995" width="19.85546875" style="43" customWidth="1"/>
    <col min="9996" max="9996" width="39.28515625" style="43" bestFit="1" customWidth="1"/>
    <col min="9997" max="9998" width="19.85546875" style="43" customWidth="1"/>
    <col min="9999" max="9999" width="20.42578125" style="43" customWidth="1"/>
    <col min="10000" max="10240" width="11.5703125" style="43"/>
    <col min="10241" max="10241" width="0" style="43" hidden="1" customWidth="1"/>
    <col min="10242" max="10249" width="15.7109375" style="43" customWidth="1"/>
    <col min="10250" max="10250" width="12" style="43" customWidth="1"/>
    <col min="10251" max="10251" width="19.85546875" style="43" customWidth="1"/>
    <col min="10252" max="10252" width="39.28515625" style="43" bestFit="1" customWidth="1"/>
    <col min="10253" max="10254" width="19.85546875" style="43" customWidth="1"/>
    <col min="10255" max="10255" width="20.42578125" style="43" customWidth="1"/>
    <col min="10256" max="10496" width="11.5703125" style="43"/>
    <col min="10497" max="10497" width="0" style="43" hidden="1" customWidth="1"/>
    <col min="10498" max="10505" width="15.7109375" style="43" customWidth="1"/>
    <col min="10506" max="10506" width="12" style="43" customWidth="1"/>
    <col min="10507" max="10507" width="19.85546875" style="43" customWidth="1"/>
    <col min="10508" max="10508" width="39.28515625" style="43" bestFit="1" customWidth="1"/>
    <col min="10509" max="10510" width="19.85546875" style="43" customWidth="1"/>
    <col min="10511" max="10511" width="20.42578125" style="43" customWidth="1"/>
    <col min="10512" max="10752" width="11.5703125" style="43"/>
    <col min="10753" max="10753" width="0" style="43" hidden="1" customWidth="1"/>
    <col min="10754" max="10761" width="15.7109375" style="43" customWidth="1"/>
    <col min="10762" max="10762" width="12" style="43" customWidth="1"/>
    <col min="10763" max="10763" width="19.85546875" style="43" customWidth="1"/>
    <col min="10764" max="10764" width="39.28515625" style="43" bestFit="1" customWidth="1"/>
    <col min="10765" max="10766" width="19.85546875" style="43" customWidth="1"/>
    <col min="10767" max="10767" width="20.42578125" style="43" customWidth="1"/>
    <col min="10768" max="11008" width="11.5703125" style="43"/>
    <col min="11009" max="11009" width="0" style="43" hidden="1" customWidth="1"/>
    <col min="11010" max="11017" width="15.7109375" style="43" customWidth="1"/>
    <col min="11018" max="11018" width="12" style="43" customWidth="1"/>
    <col min="11019" max="11019" width="19.85546875" style="43" customWidth="1"/>
    <col min="11020" max="11020" width="39.28515625" style="43" bestFit="1" customWidth="1"/>
    <col min="11021" max="11022" width="19.85546875" style="43" customWidth="1"/>
    <col min="11023" max="11023" width="20.42578125" style="43" customWidth="1"/>
    <col min="11024" max="11264" width="11.5703125" style="43"/>
    <col min="11265" max="11265" width="0" style="43" hidden="1" customWidth="1"/>
    <col min="11266" max="11273" width="15.7109375" style="43" customWidth="1"/>
    <col min="11274" max="11274" width="12" style="43" customWidth="1"/>
    <col min="11275" max="11275" width="19.85546875" style="43" customWidth="1"/>
    <col min="11276" max="11276" width="39.28515625" style="43" bestFit="1" customWidth="1"/>
    <col min="11277" max="11278" width="19.85546875" style="43" customWidth="1"/>
    <col min="11279" max="11279" width="20.42578125" style="43" customWidth="1"/>
    <col min="11280" max="11520" width="11.5703125" style="43"/>
    <col min="11521" max="11521" width="0" style="43" hidden="1" customWidth="1"/>
    <col min="11522" max="11529" width="15.7109375" style="43" customWidth="1"/>
    <col min="11530" max="11530" width="12" style="43" customWidth="1"/>
    <col min="11531" max="11531" width="19.85546875" style="43" customWidth="1"/>
    <col min="11532" max="11532" width="39.28515625" style="43" bestFit="1" customWidth="1"/>
    <col min="11533" max="11534" width="19.85546875" style="43" customWidth="1"/>
    <col min="11535" max="11535" width="20.42578125" style="43" customWidth="1"/>
    <col min="11536" max="11776" width="11.5703125" style="43"/>
    <col min="11777" max="11777" width="0" style="43" hidden="1" customWidth="1"/>
    <col min="11778" max="11785" width="15.7109375" style="43" customWidth="1"/>
    <col min="11786" max="11786" width="12" style="43" customWidth="1"/>
    <col min="11787" max="11787" width="19.85546875" style="43" customWidth="1"/>
    <col min="11788" max="11788" width="39.28515625" style="43" bestFit="1" customWidth="1"/>
    <col min="11789" max="11790" width="19.85546875" style="43" customWidth="1"/>
    <col min="11791" max="11791" width="20.42578125" style="43" customWidth="1"/>
    <col min="11792" max="12032" width="11.5703125" style="43"/>
    <col min="12033" max="12033" width="0" style="43" hidden="1" customWidth="1"/>
    <col min="12034" max="12041" width="15.7109375" style="43" customWidth="1"/>
    <col min="12042" max="12042" width="12" style="43" customWidth="1"/>
    <col min="12043" max="12043" width="19.85546875" style="43" customWidth="1"/>
    <col min="12044" max="12044" width="39.28515625" style="43" bestFit="1" customWidth="1"/>
    <col min="12045" max="12046" width="19.85546875" style="43" customWidth="1"/>
    <col min="12047" max="12047" width="20.42578125" style="43" customWidth="1"/>
    <col min="12048" max="12288" width="11.5703125" style="43"/>
    <col min="12289" max="12289" width="0" style="43" hidden="1" customWidth="1"/>
    <col min="12290" max="12297" width="15.7109375" style="43" customWidth="1"/>
    <col min="12298" max="12298" width="12" style="43" customWidth="1"/>
    <col min="12299" max="12299" width="19.85546875" style="43" customWidth="1"/>
    <col min="12300" max="12300" width="39.28515625" style="43" bestFit="1" customWidth="1"/>
    <col min="12301" max="12302" width="19.85546875" style="43" customWidth="1"/>
    <col min="12303" max="12303" width="20.42578125" style="43" customWidth="1"/>
    <col min="12304" max="12544" width="11.5703125" style="43"/>
    <col min="12545" max="12545" width="0" style="43" hidden="1" customWidth="1"/>
    <col min="12546" max="12553" width="15.7109375" style="43" customWidth="1"/>
    <col min="12554" max="12554" width="12" style="43" customWidth="1"/>
    <col min="12555" max="12555" width="19.85546875" style="43" customWidth="1"/>
    <col min="12556" max="12556" width="39.28515625" style="43" bestFit="1" customWidth="1"/>
    <col min="12557" max="12558" width="19.85546875" style="43" customWidth="1"/>
    <col min="12559" max="12559" width="20.42578125" style="43" customWidth="1"/>
    <col min="12560" max="12800" width="11.5703125" style="43"/>
    <col min="12801" max="12801" width="0" style="43" hidden="1" customWidth="1"/>
    <col min="12802" max="12809" width="15.7109375" style="43" customWidth="1"/>
    <col min="12810" max="12810" width="12" style="43" customWidth="1"/>
    <col min="12811" max="12811" width="19.85546875" style="43" customWidth="1"/>
    <col min="12812" max="12812" width="39.28515625" style="43" bestFit="1" customWidth="1"/>
    <col min="12813" max="12814" width="19.85546875" style="43" customWidth="1"/>
    <col min="12815" max="12815" width="20.42578125" style="43" customWidth="1"/>
    <col min="12816" max="13056" width="11.5703125" style="43"/>
    <col min="13057" max="13057" width="0" style="43" hidden="1" customWidth="1"/>
    <col min="13058" max="13065" width="15.7109375" style="43" customWidth="1"/>
    <col min="13066" max="13066" width="12" style="43" customWidth="1"/>
    <col min="13067" max="13067" width="19.85546875" style="43" customWidth="1"/>
    <col min="13068" max="13068" width="39.28515625" style="43" bestFit="1" customWidth="1"/>
    <col min="13069" max="13070" width="19.85546875" style="43" customWidth="1"/>
    <col min="13071" max="13071" width="20.42578125" style="43" customWidth="1"/>
    <col min="13072" max="13312" width="11.5703125" style="43"/>
    <col min="13313" max="13313" width="0" style="43" hidden="1" customWidth="1"/>
    <col min="13314" max="13321" width="15.7109375" style="43" customWidth="1"/>
    <col min="13322" max="13322" width="12" style="43" customWidth="1"/>
    <col min="13323" max="13323" width="19.85546875" style="43" customWidth="1"/>
    <col min="13324" max="13324" width="39.28515625" style="43" bestFit="1" customWidth="1"/>
    <col min="13325" max="13326" width="19.85546875" style="43" customWidth="1"/>
    <col min="13327" max="13327" width="20.42578125" style="43" customWidth="1"/>
    <col min="13328" max="13568" width="11.5703125" style="43"/>
    <col min="13569" max="13569" width="0" style="43" hidden="1" customWidth="1"/>
    <col min="13570" max="13577" width="15.7109375" style="43" customWidth="1"/>
    <col min="13578" max="13578" width="12" style="43" customWidth="1"/>
    <col min="13579" max="13579" width="19.85546875" style="43" customWidth="1"/>
    <col min="13580" max="13580" width="39.28515625" style="43" bestFit="1" customWidth="1"/>
    <col min="13581" max="13582" width="19.85546875" style="43" customWidth="1"/>
    <col min="13583" max="13583" width="20.42578125" style="43" customWidth="1"/>
    <col min="13584" max="13824" width="11.5703125" style="43"/>
    <col min="13825" max="13825" width="0" style="43" hidden="1" customWidth="1"/>
    <col min="13826" max="13833" width="15.7109375" style="43" customWidth="1"/>
    <col min="13834" max="13834" width="12" style="43" customWidth="1"/>
    <col min="13835" max="13835" width="19.85546875" style="43" customWidth="1"/>
    <col min="13836" max="13836" width="39.28515625" style="43" bestFit="1" customWidth="1"/>
    <col min="13837" max="13838" width="19.85546875" style="43" customWidth="1"/>
    <col min="13839" max="13839" width="20.42578125" style="43" customWidth="1"/>
    <col min="13840" max="14080" width="11.5703125" style="43"/>
    <col min="14081" max="14081" width="0" style="43" hidden="1" customWidth="1"/>
    <col min="14082" max="14089" width="15.7109375" style="43" customWidth="1"/>
    <col min="14090" max="14090" width="12" style="43" customWidth="1"/>
    <col min="14091" max="14091" width="19.85546875" style="43" customWidth="1"/>
    <col min="14092" max="14092" width="39.28515625" style="43" bestFit="1" customWidth="1"/>
    <col min="14093" max="14094" width="19.85546875" style="43" customWidth="1"/>
    <col min="14095" max="14095" width="20.42578125" style="43" customWidth="1"/>
    <col min="14096" max="14336" width="11.5703125" style="43"/>
    <col min="14337" max="14337" width="0" style="43" hidden="1" customWidth="1"/>
    <col min="14338" max="14345" width="15.7109375" style="43" customWidth="1"/>
    <col min="14346" max="14346" width="12" style="43" customWidth="1"/>
    <col min="14347" max="14347" width="19.85546875" style="43" customWidth="1"/>
    <col min="14348" max="14348" width="39.28515625" style="43" bestFit="1" customWidth="1"/>
    <col min="14349" max="14350" width="19.85546875" style="43" customWidth="1"/>
    <col min="14351" max="14351" width="20.42578125" style="43" customWidth="1"/>
    <col min="14352" max="14592" width="11.5703125" style="43"/>
    <col min="14593" max="14593" width="0" style="43" hidden="1" customWidth="1"/>
    <col min="14594" max="14601" width="15.7109375" style="43" customWidth="1"/>
    <col min="14602" max="14602" width="12" style="43" customWidth="1"/>
    <col min="14603" max="14603" width="19.85546875" style="43" customWidth="1"/>
    <col min="14604" max="14604" width="39.28515625" style="43" bestFit="1" customWidth="1"/>
    <col min="14605" max="14606" width="19.85546875" style="43" customWidth="1"/>
    <col min="14607" max="14607" width="20.42578125" style="43" customWidth="1"/>
    <col min="14608" max="14848" width="11.5703125" style="43"/>
    <col min="14849" max="14849" width="0" style="43" hidden="1" customWidth="1"/>
    <col min="14850" max="14857" width="15.7109375" style="43" customWidth="1"/>
    <col min="14858" max="14858" width="12" style="43" customWidth="1"/>
    <col min="14859" max="14859" width="19.85546875" style="43" customWidth="1"/>
    <col min="14860" max="14860" width="39.28515625" style="43" bestFit="1" customWidth="1"/>
    <col min="14861" max="14862" width="19.85546875" style="43" customWidth="1"/>
    <col min="14863" max="14863" width="20.42578125" style="43" customWidth="1"/>
    <col min="14864" max="15104" width="11.5703125" style="43"/>
    <col min="15105" max="15105" width="0" style="43" hidden="1" customWidth="1"/>
    <col min="15106" max="15113" width="15.7109375" style="43" customWidth="1"/>
    <col min="15114" max="15114" width="12" style="43" customWidth="1"/>
    <col min="15115" max="15115" width="19.85546875" style="43" customWidth="1"/>
    <col min="15116" max="15116" width="39.28515625" style="43" bestFit="1" customWidth="1"/>
    <col min="15117" max="15118" width="19.85546875" style="43" customWidth="1"/>
    <col min="15119" max="15119" width="20.42578125" style="43" customWidth="1"/>
    <col min="15120" max="15360" width="11.5703125" style="43"/>
    <col min="15361" max="15361" width="0" style="43" hidden="1" customWidth="1"/>
    <col min="15362" max="15369" width="15.7109375" style="43" customWidth="1"/>
    <col min="15370" max="15370" width="12" style="43" customWidth="1"/>
    <col min="15371" max="15371" width="19.85546875" style="43" customWidth="1"/>
    <col min="15372" max="15372" width="39.28515625" style="43" bestFit="1" customWidth="1"/>
    <col min="15373" max="15374" width="19.85546875" style="43" customWidth="1"/>
    <col min="15375" max="15375" width="20.42578125" style="43" customWidth="1"/>
    <col min="15376" max="15616" width="11.5703125" style="43"/>
    <col min="15617" max="15617" width="0" style="43" hidden="1" customWidth="1"/>
    <col min="15618" max="15625" width="15.7109375" style="43" customWidth="1"/>
    <col min="15626" max="15626" width="12" style="43" customWidth="1"/>
    <col min="15627" max="15627" width="19.85546875" style="43" customWidth="1"/>
    <col min="15628" max="15628" width="39.28515625" style="43" bestFit="1" customWidth="1"/>
    <col min="15629" max="15630" width="19.85546875" style="43" customWidth="1"/>
    <col min="15631" max="15631" width="20.42578125" style="43" customWidth="1"/>
    <col min="15632" max="15872" width="11.5703125" style="43"/>
    <col min="15873" max="15873" width="0" style="43" hidden="1" customWidth="1"/>
    <col min="15874" max="15881" width="15.7109375" style="43" customWidth="1"/>
    <col min="15882" max="15882" width="12" style="43" customWidth="1"/>
    <col min="15883" max="15883" width="19.85546875" style="43" customWidth="1"/>
    <col min="15884" max="15884" width="39.28515625" style="43" bestFit="1" customWidth="1"/>
    <col min="15885" max="15886" width="19.85546875" style="43" customWidth="1"/>
    <col min="15887" max="15887" width="20.42578125" style="43" customWidth="1"/>
    <col min="15888" max="16128" width="11.5703125" style="43"/>
    <col min="16129" max="16129" width="0" style="43" hidden="1" customWidth="1"/>
    <col min="16130" max="16137" width="15.7109375" style="43" customWidth="1"/>
    <col min="16138" max="16138" width="12" style="43" customWidth="1"/>
    <col min="16139" max="16139" width="19.85546875" style="43" customWidth="1"/>
    <col min="16140" max="16140" width="39.28515625" style="43" bestFit="1" customWidth="1"/>
    <col min="16141" max="16142" width="19.85546875" style="43" customWidth="1"/>
    <col min="16143" max="16143" width="20.42578125" style="43" customWidth="1"/>
    <col min="16144" max="16384" width="11.5703125" style="43"/>
  </cols>
  <sheetData>
    <row r="1" spans="1:15" ht="18" customHeight="1" thickBot="1">
      <c r="B1" s="42" t="s">
        <v>15</v>
      </c>
      <c r="C1" s="42" t="s">
        <v>16</v>
      </c>
      <c r="D1" s="42" t="s">
        <v>17</v>
      </c>
      <c r="E1" s="42" t="s">
        <v>18</v>
      </c>
      <c r="F1" s="42" t="s">
        <v>19</v>
      </c>
      <c r="G1" s="42" t="s">
        <v>20</v>
      </c>
      <c r="H1" s="42" t="s">
        <v>86</v>
      </c>
      <c r="I1" s="42" t="s">
        <v>87</v>
      </c>
      <c r="K1" s="44" t="s">
        <v>88</v>
      </c>
      <c r="L1" s="45" t="s">
        <v>89</v>
      </c>
      <c r="M1" s="46" t="s">
        <v>90</v>
      </c>
      <c r="N1" s="47" t="s">
        <v>91</v>
      </c>
      <c r="O1" s="48" t="s">
        <v>92</v>
      </c>
    </row>
    <row r="2" spans="1:15" ht="18" customHeight="1" thickBot="1">
      <c r="A2" s="41" t="str">
        <f>CONCATENATE(C2,G2)</f>
        <v>888USD</v>
      </c>
      <c r="B2" s="42" t="s">
        <v>93</v>
      </c>
      <c r="C2" s="42">
        <v>888</v>
      </c>
      <c r="D2" s="42">
        <v>20020</v>
      </c>
      <c r="E2" s="42" t="s">
        <v>11</v>
      </c>
      <c r="F2" s="42" t="s">
        <v>28</v>
      </c>
      <c r="G2" s="42" t="s">
        <v>11</v>
      </c>
      <c r="H2" s="42">
        <v>-5.0282823700000003</v>
      </c>
      <c r="I2" s="42">
        <v>-5.03</v>
      </c>
      <c r="K2" s="49" t="s">
        <v>33</v>
      </c>
      <c r="L2" s="50">
        <f>IFERROR((VLOOKUP(K2,$A$2:$I$1312,9,FALSE)),0)</f>
        <v>0</v>
      </c>
      <c r="M2" s="51">
        <f t="shared" ref="M2:M11" si="0">ABS(L2)</f>
        <v>0</v>
      </c>
      <c r="N2" s="52" t="e">
        <f>SUMIF('[2]Working tab'!A$1:A$65536,'Fx10bpv (Simulation)'!K2,'[2]Working tab'!N$1:N$65536)</f>
        <v>#VALUE!</v>
      </c>
      <c r="O2" s="53" t="e">
        <f t="shared" ref="O2:O11" si="1">ABS(L2+N2)</f>
        <v>#VALUE!</v>
      </c>
    </row>
    <row r="3" spans="1:15" ht="18" customHeight="1" thickBot="1">
      <c r="A3" s="41" t="str">
        <f t="shared" ref="A3:A66" si="2">CONCATENATE(C3,G3)</f>
        <v>888MYR</v>
      </c>
      <c r="B3" s="42" t="s">
        <v>93</v>
      </c>
      <c r="C3" s="42">
        <v>888</v>
      </c>
      <c r="D3" s="42">
        <v>20020</v>
      </c>
      <c r="E3" s="42" t="s">
        <v>11</v>
      </c>
      <c r="F3" s="42" t="s">
        <v>28</v>
      </c>
      <c r="G3" s="42" t="s">
        <v>28</v>
      </c>
      <c r="H3" s="42">
        <v>21.873882888880001</v>
      </c>
      <c r="I3" s="42">
        <v>4.95</v>
      </c>
      <c r="K3" s="49" t="s">
        <v>36</v>
      </c>
      <c r="L3" s="50">
        <f t="shared" ref="L3:L11" si="3">IFERROR((VLOOKUP(K3,$A$2:$I$1312,9,FALSE)),0)</f>
        <v>0</v>
      </c>
      <c r="M3" s="51">
        <f t="shared" si="0"/>
        <v>0</v>
      </c>
      <c r="N3" s="52" t="e">
        <f>SUMIF('[2]Working tab'!A$1:A$65536,'Fx10bpv (Simulation)'!K3,'[2]Working tab'!N$1:N$65536)</f>
        <v>#VALUE!</v>
      </c>
      <c r="O3" s="53" t="e">
        <f t="shared" si="1"/>
        <v>#VALUE!</v>
      </c>
    </row>
    <row r="4" spans="1:15" ht="18" customHeight="1" thickBot="1">
      <c r="A4" s="41" t="str">
        <f t="shared" si="2"/>
        <v>888USD</v>
      </c>
      <c r="B4" s="42" t="s">
        <v>94</v>
      </c>
      <c r="C4" s="42">
        <v>888</v>
      </c>
      <c r="D4" s="42">
        <v>20020</v>
      </c>
      <c r="E4" s="42" t="s">
        <v>11</v>
      </c>
      <c r="F4" s="42" t="s">
        <v>28</v>
      </c>
      <c r="G4" s="42" t="s">
        <v>11</v>
      </c>
      <c r="H4" s="42">
        <v>-6.6688724400000003</v>
      </c>
      <c r="I4" s="42">
        <v>-6.67</v>
      </c>
      <c r="K4" s="49" t="s">
        <v>31</v>
      </c>
      <c r="L4" s="50">
        <f t="shared" si="3"/>
        <v>-35.24</v>
      </c>
      <c r="M4" s="51">
        <f t="shared" si="0"/>
        <v>35.24</v>
      </c>
      <c r="N4" s="52" t="e">
        <f>SUMIF('[2]Working tab'!A$1:A$65536,'Fx10bpv (Simulation)'!K4,'[2]Working tab'!N$1:N$65536)</f>
        <v>#VALUE!</v>
      </c>
      <c r="O4" s="53" t="e">
        <f t="shared" si="1"/>
        <v>#VALUE!</v>
      </c>
    </row>
    <row r="5" spans="1:15" ht="18" customHeight="1" thickBot="1">
      <c r="A5" s="41" t="str">
        <f t="shared" si="2"/>
        <v>888MYR</v>
      </c>
      <c r="B5" s="42" t="s">
        <v>94</v>
      </c>
      <c r="C5" s="42">
        <v>888</v>
      </c>
      <c r="D5" s="42">
        <v>20020</v>
      </c>
      <c r="E5" s="42" t="s">
        <v>11</v>
      </c>
      <c r="F5" s="42" t="s">
        <v>28</v>
      </c>
      <c r="G5" s="42" t="s">
        <v>28</v>
      </c>
      <c r="H5" s="42">
        <v>28.938065880134999</v>
      </c>
      <c r="I5" s="42">
        <v>6.54</v>
      </c>
      <c r="K5" s="49" t="s">
        <v>38</v>
      </c>
      <c r="L5" s="50">
        <f t="shared" si="3"/>
        <v>0</v>
      </c>
      <c r="M5" s="51">
        <f t="shared" si="0"/>
        <v>0</v>
      </c>
      <c r="N5" s="52" t="e">
        <f>SUMIF('[2]Working tab'!A$1:A$65536,'Fx10bpv (Simulation)'!K5,'[2]Working tab'!N$1:N$65536)</f>
        <v>#VALUE!</v>
      </c>
      <c r="O5" s="53" t="e">
        <f t="shared" si="1"/>
        <v>#VALUE!</v>
      </c>
    </row>
    <row r="6" spans="1:15" ht="18" customHeight="1" thickBot="1">
      <c r="A6" s="41" t="str">
        <f t="shared" si="2"/>
        <v>888USD</v>
      </c>
      <c r="B6" s="42" t="s">
        <v>95</v>
      </c>
      <c r="C6" s="42">
        <v>888</v>
      </c>
      <c r="D6" s="42">
        <v>20020</v>
      </c>
      <c r="E6" s="42" t="s">
        <v>11</v>
      </c>
      <c r="F6" s="42" t="s">
        <v>28</v>
      </c>
      <c r="G6" s="42" t="s">
        <v>11</v>
      </c>
      <c r="H6" s="42">
        <v>-8.35192041</v>
      </c>
      <c r="I6" s="42">
        <v>-8.35</v>
      </c>
      <c r="K6" s="49" t="s">
        <v>39</v>
      </c>
      <c r="L6" s="50">
        <f t="shared" si="3"/>
        <v>0</v>
      </c>
      <c r="M6" s="51">
        <f t="shared" si="0"/>
        <v>0</v>
      </c>
      <c r="N6" s="52" t="e">
        <f>SUMIF('[2]Working tab'!A$1:A$65536,'Fx10bpv (Simulation)'!K6,'[2]Working tab'!N$1:N$65536)</f>
        <v>#VALUE!</v>
      </c>
      <c r="O6" s="53" t="e">
        <f t="shared" si="1"/>
        <v>#VALUE!</v>
      </c>
    </row>
    <row r="7" spans="1:15" ht="18" customHeight="1" thickBot="1">
      <c r="A7" s="41" t="str">
        <f t="shared" si="2"/>
        <v>888MYR</v>
      </c>
      <c r="B7" s="42" t="s">
        <v>95</v>
      </c>
      <c r="C7" s="42">
        <v>888</v>
      </c>
      <c r="D7" s="42">
        <v>20020</v>
      </c>
      <c r="E7" s="42" t="s">
        <v>11</v>
      </c>
      <c r="F7" s="42" t="s">
        <v>28</v>
      </c>
      <c r="G7" s="42" t="s">
        <v>28</v>
      </c>
      <c r="H7" s="42">
        <v>36.163157735040002</v>
      </c>
      <c r="I7" s="42">
        <v>8.18</v>
      </c>
      <c r="K7" s="49" t="s">
        <v>10</v>
      </c>
      <c r="L7" s="50">
        <f t="shared" si="3"/>
        <v>527.37</v>
      </c>
      <c r="M7" s="51">
        <f t="shared" si="0"/>
        <v>527.37</v>
      </c>
      <c r="N7" s="52" t="e">
        <f>SUMIF('[2]Working tab'!A$1:A$65536,'Fx10bpv (Simulation)'!K7,'[2]Working tab'!N$1:N$65536)</f>
        <v>#VALUE!</v>
      </c>
      <c r="O7" s="53" t="e">
        <f t="shared" si="1"/>
        <v>#VALUE!</v>
      </c>
    </row>
    <row r="8" spans="1:15" ht="18" customHeight="1" thickBot="1">
      <c r="A8" s="41" t="str">
        <f t="shared" si="2"/>
        <v>888USD</v>
      </c>
      <c r="B8" s="42" t="s">
        <v>96</v>
      </c>
      <c r="C8" s="42">
        <v>888</v>
      </c>
      <c r="D8" s="42">
        <v>20020</v>
      </c>
      <c r="E8" s="42" t="s">
        <v>11</v>
      </c>
      <c r="F8" s="42" t="s">
        <v>28</v>
      </c>
      <c r="G8" s="42" t="s">
        <v>11</v>
      </c>
      <c r="H8" s="42">
        <v>-10.020877820000001</v>
      </c>
      <c r="I8" s="42">
        <v>-10.02</v>
      </c>
      <c r="K8" s="49" t="s">
        <v>28</v>
      </c>
      <c r="L8" s="50">
        <f t="shared" si="3"/>
        <v>2086.15</v>
      </c>
      <c r="M8" s="51">
        <f t="shared" si="0"/>
        <v>2086.15</v>
      </c>
      <c r="N8" s="52" t="e">
        <f>SUMIF('[2]Working tab'!A$1:A$65536,'Fx10bpv (Simulation)'!K8,'[2]Working tab'!N$1:N$65536)</f>
        <v>#VALUE!</v>
      </c>
      <c r="O8" s="53" t="e">
        <f t="shared" si="1"/>
        <v>#VALUE!</v>
      </c>
    </row>
    <row r="9" spans="1:15" ht="18" customHeight="1" thickBot="1">
      <c r="A9" s="41" t="str">
        <f t="shared" si="2"/>
        <v>888MYR</v>
      </c>
      <c r="B9" s="42" t="s">
        <v>96</v>
      </c>
      <c r="C9" s="42">
        <v>888</v>
      </c>
      <c r="D9" s="42">
        <v>20020</v>
      </c>
      <c r="E9" s="42" t="s">
        <v>11</v>
      </c>
      <c r="F9" s="42" t="s">
        <v>28</v>
      </c>
      <c r="G9" s="42" t="s">
        <v>28</v>
      </c>
      <c r="H9" s="42">
        <v>43.304388286509997</v>
      </c>
      <c r="I9" s="42">
        <v>9.7899999999999991</v>
      </c>
      <c r="K9" s="49" t="s">
        <v>44</v>
      </c>
      <c r="L9" s="50">
        <f t="shared" si="3"/>
        <v>-1.45</v>
      </c>
      <c r="M9" s="51">
        <f t="shared" si="0"/>
        <v>1.45</v>
      </c>
      <c r="N9" s="52" t="e">
        <f>SUMIF('[2]Working tab'!A$1:A$65536,'Fx10bpv (Simulation)'!K9,'[2]Working tab'!N$1:N$65536)</f>
        <v>#VALUE!</v>
      </c>
      <c r="O9" s="53" t="e">
        <f t="shared" si="1"/>
        <v>#VALUE!</v>
      </c>
    </row>
    <row r="10" spans="1:15" ht="18" customHeight="1" thickBot="1">
      <c r="A10" s="41" t="str">
        <f t="shared" si="2"/>
        <v>888MYR</v>
      </c>
      <c r="B10" s="42" t="s">
        <v>97</v>
      </c>
      <c r="C10" s="42">
        <v>888</v>
      </c>
      <c r="D10" s="42">
        <v>20020</v>
      </c>
      <c r="E10" s="42" t="s">
        <v>28</v>
      </c>
      <c r="F10" s="42" t="s">
        <v>11</v>
      </c>
      <c r="G10" s="42" t="s">
        <v>28</v>
      </c>
      <c r="H10" s="42">
        <v>-186.21972169812</v>
      </c>
      <c r="I10" s="42">
        <v>-42.11</v>
      </c>
      <c r="K10" s="49" t="s">
        <v>30</v>
      </c>
      <c r="L10" s="50">
        <f t="shared" si="3"/>
        <v>3.5</v>
      </c>
      <c r="M10" s="51">
        <f t="shared" si="0"/>
        <v>3.5</v>
      </c>
      <c r="N10" s="52" t="e">
        <f>SUMIF('[2]Working tab'!A$1:A$65536,'Fx10bpv (Simulation)'!K10,'[2]Working tab'!N$1:N$65536)</f>
        <v>#VALUE!</v>
      </c>
      <c r="O10" s="53" t="e">
        <f t="shared" si="1"/>
        <v>#VALUE!</v>
      </c>
    </row>
    <row r="11" spans="1:15" ht="18" customHeight="1" thickBot="1">
      <c r="A11" s="41" t="str">
        <f t="shared" si="2"/>
        <v>888USD</v>
      </c>
      <c r="B11" s="42" t="s">
        <v>97</v>
      </c>
      <c r="C11" s="42">
        <v>888</v>
      </c>
      <c r="D11" s="42">
        <v>20020</v>
      </c>
      <c r="E11" s="42" t="s">
        <v>28</v>
      </c>
      <c r="F11" s="42" t="s">
        <v>11</v>
      </c>
      <c r="G11" s="42" t="s">
        <v>11</v>
      </c>
      <c r="H11" s="42">
        <v>42.740400145000002</v>
      </c>
      <c r="I11" s="42">
        <v>42.74</v>
      </c>
      <c r="K11" s="49" t="s">
        <v>11</v>
      </c>
      <c r="L11" s="50">
        <f t="shared" si="3"/>
        <v>-2762.45</v>
      </c>
      <c r="M11" s="51">
        <f t="shared" si="0"/>
        <v>2762.45</v>
      </c>
      <c r="N11" s="52" t="e">
        <f>SUMIF('[2]Working tab'!A$1:A$65536,'Fx10bpv (Simulation)'!K11,'[2]Working tab'!N$1:N$65536)</f>
        <v>#VALUE!</v>
      </c>
      <c r="O11" s="53" t="e">
        <f t="shared" si="1"/>
        <v>#VALUE!</v>
      </c>
    </row>
    <row r="12" spans="1:15" ht="18" customHeight="1" thickBot="1">
      <c r="A12" s="41" t="str">
        <f t="shared" si="2"/>
        <v>888MYR</v>
      </c>
      <c r="B12" s="42" t="s">
        <v>98</v>
      </c>
      <c r="C12" s="42">
        <v>888</v>
      </c>
      <c r="D12" s="42">
        <v>20020</v>
      </c>
      <c r="E12" s="42" t="s">
        <v>28</v>
      </c>
      <c r="F12" s="42" t="s">
        <v>11</v>
      </c>
      <c r="G12" s="42" t="s">
        <v>28</v>
      </c>
      <c r="H12" s="42">
        <v>-56.735366844123</v>
      </c>
      <c r="I12" s="42">
        <v>-12.83</v>
      </c>
      <c r="K12" s="335" t="s">
        <v>99</v>
      </c>
      <c r="L12" s="336"/>
      <c r="M12" s="54">
        <f>SUM(M2:M11)</f>
        <v>5416.16</v>
      </c>
      <c r="N12" s="55"/>
      <c r="O12" s="56" t="e">
        <f>SUM(O2:O11)</f>
        <v>#VALUE!</v>
      </c>
    </row>
    <row r="13" spans="1:15" ht="34.5" customHeight="1" thickBot="1">
      <c r="A13" s="41" t="str">
        <f t="shared" si="2"/>
        <v>888USD</v>
      </c>
      <c r="B13" s="42" t="s">
        <v>98</v>
      </c>
      <c r="C13" s="42">
        <v>888</v>
      </c>
      <c r="D13" s="42">
        <v>20020</v>
      </c>
      <c r="E13" s="42" t="s">
        <v>28</v>
      </c>
      <c r="F13" s="42" t="s">
        <v>11</v>
      </c>
      <c r="G13" s="42" t="s">
        <v>11</v>
      </c>
      <c r="H13" s="42">
        <v>12.910132052010001</v>
      </c>
      <c r="I13" s="42">
        <v>12.91</v>
      </c>
      <c r="K13" s="335" t="s">
        <v>100</v>
      </c>
      <c r="L13" s="336"/>
      <c r="M13" s="57">
        <f>M12/1000</f>
        <v>5.4161599999999996</v>
      </c>
      <c r="N13" s="58"/>
      <c r="O13" s="59" t="e">
        <f>O12/1000</f>
        <v>#VALUE!</v>
      </c>
    </row>
    <row r="14" spans="1:15" ht="36" customHeight="1" thickBot="1">
      <c r="A14" s="41" t="str">
        <f t="shared" si="2"/>
        <v>888MYR</v>
      </c>
      <c r="B14" s="42" t="s">
        <v>101</v>
      </c>
      <c r="C14" s="42">
        <v>888</v>
      </c>
      <c r="D14" s="42">
        <v>20020</v>
      </c>
      <c r="E14" s="42" t="s">
        <v>28</v>
      </c>
      <c r="F14" s="42" t="s">
        <v>30</v>
      </c>
      <c r="G14" s="42" t="s">
        <v>28</v>
      </c>
      <c r="H14" s="42">
        <v>-14.034934754889999</v>
      </c>
      <c r="I14" s="42">
        <v>-3.17</v>
      </c>
      <c r="K14" s="337" t="s">
        <v>102</v>
      </c>
      <c r="L14" s="338"/>
      <c r="M14" s="60" t="str">
        <f>IF(M13&gt;$N$14,"LIMIT BREACH!","OK")</f>
        <v>OK</v>
      </c>
      <c r="N14" s="61">
        <v>70</v>
      </c>
      <c r="O14" s="60" t="e">
        <f>IF(O13&gt;$N$14,"LIMIT BREACH!","OK")</f>
        <v>#VALUE!</v>
      </c>
    </row>
    <row r="15" spans="1:15" ht="18" customHeight="1">
      <c r="A15" s="41" t="str">
        <f t="shared" si="2"/>
        <v>888THB</v>
      </c>
      <c r="B15" s="42" t="s">
        <v>101</v>
      </c>
      <c r="C15" s="42">
        <v>888</v>
      </c>
      <c r="D15" s="42">
        <v>20020</v>
      </c>
      <c r="E15" s="42" t="s">
        <v>28</v>
      </c>
      <c r="F15" s="42" t="s">
        <v>30</v>
      </c>
      <c r="G15" s="42" t="s">
        <v>30</v>
      </c>
      <c r="H15" s="42">
        <v>108.7997596</v>
      </c>
      <c r="I15" s="42">
        <v>3.16</v>
      </c>
    </row>
    <row r="16" spans="1:15" ht="18" customHeight="1">
      <c r="A16" s="41" t="str">
        <f t="shared" si="2"/>
        <v>888MYR</v>
      </c>
      <c r="B16" s="42" t="s">
        <v>103</v>
      </c>
      <c r="C16" s="42">
        <v>888</v>
      </c>
      <c r="D16" s="42">
        <v>20020</v>
      </c>
      <c r="E16" s="42" t="s">
        <v>28</v>
      </c>
      <c r="F16" s="42" t="s">
        <v>11</v>
      </c>
      <c r="G16" s="42" t="s">
        <v>28</v>
      </c>
      <c r="H16" s="42">
        <v>-42.953642131843999</v>
      </c>
      <c r="I16" s="42">
        <v>-9.7100000000000009</v>
      </c>
    </row>
    <row r="17" spans="1:12" ht="18" customHeight="1">
      <c r="A17" s="41" t="str">
        <f t="shared" si="2"/>
        <v>888USD</v>
      </c>
      <c r="B17" s="42" t="s">
        <v>103</v>
      </c>
      <c r="C17" s="42">
        <v>888</v>
      </c>
      <c r="D17" s="42">
        <v>20020</v>
      </c>
      <c r="E17" s="42" t="s">
        <v>28</v>
      </c>
      <c r="F17" s="42" t="s">
        <v>11</v>
      </c>
      <c r="G17" s="42" t="s">
        <v>11</v>
      </c>
      <c r="H17" s="42">
        <v>9.774409121263</v>
      </c>
      <c r="I17" s="42">
        <v>9.77</v>
      </c>
      <c r="L17" s="62"/>
    </row>
    <row r="18" spans="1:12" ht="18" customHeight="1">
      <c r="A18" s="41" t="str">
        <f t="shared" si="2"/>
        <v>888MYR</v>
      </c>
      <c r="B18" s="42" t="s">
        <v>104</v>
      </c>
      <c r="C18" s="42">
        <v>888</v>
      </c>
      <c r="D18" s="42">
        <v>20020</v>
      </c>
      <c r="E18" s="42" t="s">
        <v>28</v>
      </c>
      <c r="F18" s="42" t="s">
        <v>11</v>
      </c>
      <c r="G18" s="42" t="s">
        <v>28</v>
      </c>
      <c r="H18" s="42">
        <v>-42.281092630949999</v>
      </c>
      <c r="I18" s="42">
        <v>-9.56</v>
      </c>
      <c r="L18" s="41"/>
    </row>
    <row r="19" spans="1:12" ht="18" customHeight="1">
      <c r="A19" s="41" t="str">
        <f t="shared" si="2"/>
        <v>888USD</v>
      </c>
      <c r="B19" s="42" t="s">
        <v>104</v>
      </c>
      <c r="C19" s="42">
        <v>888</v>
      </c>
      <c r="D19" s="42">
        <v>20020</v>
      </c>
      <c r="E19" s="42" t="s">
        <v>28</v>
      </c>
      <c r="F19" s="42" t="s">
        <v>11</v>
      </c>
      <c r="G19" s="42" t="s">
        <v>11</v>
      </c>
      <c r="H19" s="42">
        <v>9.6189188976909996</v>
      </c>
      <c r="I19" s="42">
        <v>9.6199999999999992</v>
      </c>
    </row>
    <row r="20" spans="1:12" ht="18" customHeight="1">
      <c r="A20" s="41" t="str">
        <f t="shared" si="2"/>
        <v>888USD</v>
      </c>
      <c r="B20" s="42" t="s">
        <v>105</v>
      </c>
      <c r="C20" s="42">
        <v>888</v>
      </c>
      <c r="D20" s="42">
        <v>20020</v>
      </c>
      <c r="E20" s="42" t="s">
        <v>11</v>
      </c>
      <c r="F20" s="42" t="s">
        <v>28</v>
      </c>
      <c r="G20" s="42" t="s">
        <v>11</v>
      </c>
      <c r="H20" s="42">
        <v>-0.88810674999999994</v>
      </c>
      <c r="I20" s="42">
        <v>-0.89</v>
      </c>
    </row>
    <row r="21" spans="1:12" ht="18" customHeight="1">
      <c r="A21" s="41" t="str">
        <f t="shared" si="2"/>
        <v>888MYR</v>
      </c>
      <c r="B21" s="42" t="s">
        <v>105</v>
      </c>
      <c r="C21" s="42">
        <v>888</v>
      </c>
      <c r="D21" s="42">
        <v>20020</v>
      </c>
      <c r="E21" s="42" t="s">
        <v>11</v>
      </c>
      <c r="F21" s="42" t="s">
        <v>28</v>
      </c>
      <c r="G21" s="42" t="s">
        <v>28</v>
      </c>
      <c r="H21" s="42">
        <v>3.8945352730749998</v>
      </c>
      <c r="I21" s="42">
        <v>0.88</v>
      </c>
    </row>
    <row r="22" spans="1:12" ht="18" customHeight="1">
      <c r="A22" s="41" t="str">
        <f t="shared" si="2"/>
        <v>888USD</v>
      </c>
      <c r="B22" s="42" t="s">
        <v>106</v>
      </c>
      <c r="C22" s="42">
        <v>888</v>
      </c>
      <c r="D22" s="42">
        <v>20020</v>
      </c>
      <c r="E22" s="42" t="s">
        <v>11</v>
      </c>
      <c r="F22" s="42" t="s">
        <v>28</v>
      </c>
      <c r="G22" s="42" t="s">
        <v>11</v>
      </c>
      <c r="H22" s="42">
        <v>-2.6045076599999999</v>
      </c>
      <c r="I22" s="42">
        <v>-2.6</v>
      </c>
    </row>
    <row r="23" spans="1:12" ht="18" customHeight="1">
      <c r="A23" s="41" t="str">
        <f t="shared" si="2"/>
        <v>888MYR</v>
      </c>
      <c r="B23" s="42" t="s">
        <v>106</v>
      </c>
      <c r="C23" s="42">
        <v>888</v>
      </c>
      <c r="D23" s="42">
        <v>20020</v>
      </c>
      <c r="E23" s="42" t="s">
        <v>11</v>
      </c>
      <c r="F23" s="42" t="s">
        <v>28</v>
      </c>
      <c r="G23" s="42" t="s">
        <v>28</v>
      </c>
      <c r="H23" s="42">
        <v>11.390163471675001</v>
      </c>
      <c r="I23" s="42">
        <v>2.58</v>
      </c>
    </row>
    <row r="24" spans="1:12" ht="18" customHeight="1">
      <c r="A24" s="41" t="str">
        <f t="shared" si="2"/>
        <v>888USD</v>
      </c>
      <c r="B24" s="42" t="s">
        <v>107</v>
      </c>
      <c r="C24" s="42">
        <v>888</v>
      </c>
      <c r="D24" s="42">
        <v>20020</v>
      </c>
      <c r="E24" s="42" t="s">
        <v>11</v>
      </c>
      <c r="F24" s="42" t="s">
        <v>28</v>
      </c>
      <c r="G24" s="42" t="s">
        <v>11</v>
      </c>
      <c r="H24" s="42">
        <v>-5.0282823700000003</v>
      </c>
      <c r="I24" s="42">
        <v>-5.03</v>
      </c>
    </row>
    <row r="25" spans="1:12" ht="18" customHeight="1">
      <c r="A25" s="41" t="str">
        <f t="shared" si="2"/>
        <v>888MYR</v>
      </c>
      <c r="B25" s="42" t="s">
        <v>107</v>
      </c>
      <c r="C25" s="42">
        <v>888</v>
      </c>
      <c r="D25" s="42">
        <v>20020</v>
      </c>
      <c r="E25" s="42" t="s">
        <v>11</v>
      </c>
      <c r="F25" s="42" t="s">
        <v>28</v>
      </c>
      <c r="G25" s="42" t="s">
        <v>28</v>
      </c>
      <c r="H25" s="42">
        <v>21.891042720800002</v>
      </c>
      <c r="I25" s="42">
        <v>4.95</v>
      </c>
    </row>
    <row r="26" spans="1:12" ht="18" customHeight="1">
      <c r="A26" s="41" t="str">
        <f t="shared" si="2"/>
        <v>888USD</v>
      </c>
      <c r="B26" s="42" t="s">
        <v>108</v>
      </c>
      <c r="C26" s="42">
        <v>888</v>
      </c>
      <c r="D26" s="42">
        <v>20020</v>
      </c>
      <c r="E26" s="42" t="s">
        <v>11</v>
      </c>
      <c r="F26" s="42" t="s">
        <v>28</v>
      </c>
      <c r="G26" s="42" t="s">
        <v>11</v>
      </c>
      <c r="H26" s="42">
        <v>-6.6688724400000003</v>
      </c>
      <c r="I26" s="42">
        <v>-6.67</v>
      </c>
    </row>
    <row r="27" spans="1:12" ht="18" customHeight="1">
      <c r="A27" s="41" t="str">
        <f t="shared" si="2"/>
        <v>888MYR</v>
      </c>
      <c r="B27" s="42" t="s">
        <v>108</v>
      </c>
      <c r="C27" s="42">
        <v>888</v>
      </c>
      <c r="D27" s="42">
        <v>20020</v>
      </c>
      <c r="E27" s="42" t="s">
        <v>11</v>
      </c>
      <c r="F27" s="42" t="s">
        <v>28</v>
      </c>
      <c r="G27" s="42" t="s">
        <v>28</v>
      </c>
      <c r="H27" s="42">
        <v>28.960752234840001</v>
      </c>
      <c r="I27" s="42">
        <v>6.55</v>
      </c>
    </row>
    <row r="28" spans="1:12" ht="18" customHeight="1">
      <c r="A28" s="41" t="str">
        <f t="shared" si="2"/>
        <v>888USD</v>
      </c>
      <c r="B28" s="42" t="s">
        <v>109</v>
      </c>
      <c r="C28" s="42">
        <v>888</v>
      </c>
      <c r="D28" s="42">
        <v>20020</v>
      </c>
      <c r="E28" s="42" t="s">
        <v>11</v>
      </c>
      <c r="F28" s="42" t="s">
        <v>28</v>
      </c>
      <c r="G28" s="42" t="s">
        <v>11</v>
      </c>
      <c r="H28" s="42">
        <v>-8.35192041</v>
      </c>
      <c r="I28" s="42">
        <v>-8.35</v>
      </c>
    </row>
    <row r="29" spans="1:12" ht="18" customHeight="1">
      <c r="A29" s="41" t="str">
        <f t="shared" si="2"/>
        <v>888MYR</v>
      </c>
      <c r="B29" s="42" t="s">
        <v>109</v>
      </c>
      <c r="C29" s="42">
        <v>888</v>
      </c>
      <c r="D29" s="42">
        <v>20020</v>
      </c>
      <c r="E29" s="42" t="s">
        <v>11</v>
      </c>
      <c r="F29" s="42" t="s">
        <v>28</v>
      </c>
      <c r="G29" s="42" t="s">
        <v>28</v>
      </c>
      <c r="H29" s="42">
        <v>36.191486081519997</v>
      </c>
      <c r="I29" s="42">
        <v>8.18</v>
      </c>
    </row>
    <row r="30" spans="1:12" ht="18" customHeight="1">
      <c r="A30" s="41" t="str">
        <f t="shared" si="2"/>
        <v>888USD</v>
      </c>
      <c r="B30" s="42" t="s">
        <v>110</v>
      </c>
      <c r="C30" s="42">
        <v>888</v>
      </c>
      <c r="D30" s="42">
        <v>20020</v>
      </c>
      <c r="E30" s="42" t="s">
        <v>11</v>
      </c>
      <c r="F30" s="42" t="s">
        <v>28</v>
      </c>
      <c r="G30" s="42" t="s">
        <v>11</v>
      </c>
      <c r="H30" s="42">
        <v>-10.020877820000001</v>
      </c>
      <c r="I30" s="42">
        <v>-10.02</v>
      </c>
    </row>
    <row r="31" spans="1:12" ht="18" customHeight="1">
      <c r="A31" s="41" t="str">
        <f t="shared" si="2"/>
        <v>888MYR</v>
      </c>
      <c r="B31" s="42" t="s">
        <v>110</v>
      </c>
      <c r="C31" s="42">
        <v>888</v>
      </c>
      <c r="D31" s="42">
        <v>20020</v>
      </c>
      <c r="E31" s="42" t="s">
        <v>11</v>
      </c>
      <c r="F31" s="42" t="s">
        <v>28</v>
      </c>
      <c r="G31" s="42" t="s">
        <v>28</v>
      </c>
      <c r="H31" s="42">
        <v>43.338287941845003</v>
      </c>
      <c r="I31" s="42">
        <v>9.8000000000000007</v>
      </c>
    </row>
    <row r="32" spans="1:12" ht="18" customHeight="1">
      <c r="A32" s="41" t="str">
        <f t="shared" si="2"/>
        <v>888MYR</v>
      </c>
      <c r="B32" s="42" t="s">
        <v>111</v>
      </c>
      <c r="C32" s="42">
        <v>888</v>
      </c>
      <c r="D32" s="42">
        <v>20020</v>
      </c>
      <c r="E32" s="42" t="s">
        <v>28</v>
      </c>
      <c r="F32" s="42" t="s">
        <v>11</v>
      </c>
      <c r="G32" s="42" t="s">
        <v>28</v>
      </c>
      <c r="H32" s="42">
        <v>-0.30667802672299999</v>
      </c>
      <c r="I32" s="42">
        <v>-7.0000000000000007E-2</v>
      </c>
    </row>
    <row r="33" spans="1:9" ht="18" customHeight="1">
      <c r="A33" s="41" t="str">
        <f t="shared" si="2"/>
        <v>888USD</v>
      </c>
      <c r="B33" s="42" t="s">
        <v>111</v>
      </c>
      <c r="C33" s="42">
        <v>888</v>
      </c>
      <c r="D33" s="42">
        <v>20020</v>
      </c>
      <c r="E33" s="42" t="s">
        <v>28</v>
      </c>
      <c r="F33" s="42" t="s">
        <v>11</v>
      </c>
      <c r="G33" s="42" t="s">
        <v>11</v>
      </c>
      <c r="H33" s="42">
        <v>6.9465610676999995E-2</v>
      </c>
      <c r="I33" s="42">
        <v>7.0000000000000007E-2</v>
      </c>
    </row>
    <row r="34" spans="1:9" ht="18" customHeight="1">
      <c r="A34" s="41" t="str">
        <f t="shared" si="2"/>
        <v>888MYR</v>
      </c>
      <c r="B34" s="42" t="s">
        <v>112</v>
      </c>
      <c r="C34" s="42">
        <v>888</v>
      </c>
      <c r="D34" s="42">
        <v>20020</v>
      </c>
      <c r="E34" s="42" t="s">
        <v>28</v>
      </c>
      <c r="F34" s="42" t="s">
        <v>11</v>
      </c>
      <c r="G34" s="42" t="s">
        <v>28</v>
      </c>
      <c r="H34" s="42">
        <v>-0.29564223586900001</v>
      </c>
      <c r="I34" s="42">
        <v>-7.0000000000000007E-2</v>
      </c>
    </row>
    <row r="35" spans="1:9" ht="18" customHeight="1">
      <c r="A35" s="41" t="str">
        <f t="shared" si="2"/>
        <v>888USD</v>
      </c>
      <c r="B35" s="42" t="s">
        <v>112</v>
      </c>
      <c r="C35" s="42">
        <v>888</v>
      </c>
      <c r="D35" s="42">
        <v>20020</v>
      </c>
      <c r="E35" s="42" t="s">
        <v>28</v>
      </c>
      <c r="F35" s="42" t="s">
        <v>11</v>
      </c>
      <c r="G35" s="42" t="s">
        <v>11</v>
      </c>
      <c r="H35" s="42">
        <v>6.6965888577000005E-2</v>
      </c>
      <c r="I35" s="42">
        <v>7.0000000000000007E-2</v>
      </c>
    </row>
    <row r="36" spans="1:9" ht="18" customHeight="1">
      <c r="A36" s="41" t="str">
        <f t="shared" si="2"/>
        <v>888USD</v>
      </c>
      <c r="B36" s="42" t="s">
        <v>113</v>
      </c>
      <c r="C36" s="42">
        <v>888</v>
      </c>
      <c r="D36" s="42">
        <v>20030</v>
      </c>
      <c r="E36" s="42" t="s">
        <v>11</v>
      </c>
      <c r="F36" s="42" t="s">
        <v>28</v>
      </c>
      <c r="G36" s="42" t="s">
        <v>11</v>
      </c>
      <c r="H36" s="42">
        <v>-333.11215499999997</v>
      </c>
      <c r="I36" s="42">
        <v>-333.11</v>
      </c>
    </row>
    <row r="37" spans="1:9" ht="18" customHeight="1">
      <c r="A37" s="41" t="str">
        <f t="shared" si="2"/>
        <v>888MYR</v>
      </c>
      <c r="B37" s="42" t="s">
        <v>113</v>
      </c>
      <c r="C37" s="42">
        <v>888</v>
      </c>
      <c r="D37" s="42">
        <v>20030</v>
      </c>
      <c r="E37" s="42" t="s">
        <v>11</v>
      </c>
      <c r="F37" s="42" t="s">
        <v>28</v>
      </c>
      <c r="G37" s="42" t="s">
        <v>28</v>
      </c>
      <c r="H37" s="42">
        <v>1462.9361428499999</v>
      </c>
      <c r="I37" s="42">
        <v>330.79</v>
      </c>
    </row>
    <row r="38" spans="1:9" ht="18" customHeight="1">
      <c r="A38" s="41" t="str">
        <f t="shared" si="2"/>
        <v>888JPY</v>
      </c>
      <c r="B38" s="42" t="s">
        <v>114</v>
      </c>
      <c r="C38" s="42">
        <v>888</v>
      </c>
      <c r="D38" s="42">
        <v>20020</v>
      </c>
      <c r="E38" s="42" t="s">
        <v>10</v>
      </c>
      <c r="F38" s="42" t="s">
        <v>28</v>
      </c>
      <c r="G38" s="42" t="s">
        <v>10</v>
      </c>
      <c r="H38" s="42">
        <v>0</v>
      </c>
      <c r="I38" s="42">
        <v>0</v>
      </c>
    </row>
    <row r="39" spans="1:9" ht="18" customHeight="1">
      <c r="A39" s="41" t="str">
        <f t="shared" si="2"/>
        <v>888MYR</v>
      </c>
      <c r="B39" s="42" t="s">
        <v>114</v>
      </c>
      <c r="C39" s="42">
        <v>888</v>
      </c>
      <c r="D39" s="42">
        <v>20020</v>
      </c>
      <c r="E39" s="42" t="s">
        <v>10</v>
      </c>
      <c r="F39" s="42" t="s">
        <v>28</v>
      </c>
      <c r="G39" s="42" t="s">
        <v>28</v>
      </c>
      <c r="H39" s="42">
        <v>0</v>
      </c>
      <c r="I39" s="42">
        <v>0</v>
      </c>
    </row>
    <row r="40" spans="1:9" ht="18" customHeight="1">
      <c r="A40" s="41" t="str">
        <f t="shared" si="2"/>
        <v>888MYR</v>
      </c>
      <c r="B40" s="42" t="s">
        <v>115</v>
      </c>
      <c r="C40" s="42">
        <v>888</v>
      </c>
      <c r="D40" s="42">
        <v>20020</v>
      </c>
      <c r="E40" s="42" t="s">
        <v>28</v>
      </c>
      <c r="F40" s="42" t="s">
        <v>11</v>
      </c>
      <c r="G40" s="42" t="s">
        <v>28</v>
      </c>
      <c r="H40" s="42">
        <v>-138.277876975499</v>
      </c>
      <c r="I40" s="42">
        <v>-31.27</v>
      </c>
    </row>
    <row r="41" spans="1:9" ht="18" customHeight="1">
      <c r="A41" s="41" t="str">
        <f t="shared" si="2"/>
        <v>888USD</v>
      </c>
      <c r="B41" s="42" t="s">
        <v>115</v>
      </c>
      <c r="C41" s="42">
        <v>888</v>
      </c>
      <c r="D41" s="42">
        <v>20020</v>
      </c>
      <c r="E41" s="42" t="s">
        <v>28</v>
      </c>
      <c r="F41" s="42" t="s">
        <v>11</v>
      </c>
      <c r="G41" s="42" t="s">
        <v>11</v>
      </c>
      <c r="H41" s="42">
        <v>31.624290372516001</v>
      </c>
      <c r="I41" s="42">
        <v>31.62</v>
      </c>
    </row>
    <row r="42" spans="1:9" ht="18" customHeight="1">
      <c r="A42" s="41" t="str">
        <f t="shared" si="2"/>
        <v>888MYR</v>
      </c>
      <c r="B42" s="42" t="s">
        <v>116</v>
      </c>
      <c r="C42" s="42">
        <v>888</v>
      </c>
      <c r="D42" s="42">
        <v>20020</v>
      </c>
      <c r="E42" s="42" t="s">
        <v>28</v>
      </c>
      <c r="F42" s="42" t="s">
        <v>11</v>
      </c>
      <c r="G42" s="42" t="s">
        <v>28</v>
      </c>
      <c r="H42" s="42">
        <v>-7.7166941465879999</v>
      </c>
      <c r="I42" s="42">
        <v>-1.74</v>
      </c>
    </row>
    <row r="43" spans="1:9" ht="18" customHeight="1">
      <c r="A43" s="41" t="str">
        <f t="shared" si="2"/>
        <v>888USD</v>
      </c>
      <c r="B43" s="42" t="s">
        <v>116</v>
      </c>
      <c r="C43" s="42">
        <v>888</v>
      </c>
      <c r="D43" s="42">
        <v>20020</v>
      </c>
      <c r="E43" s="42" t="s">
        <v>28</v>
      </c>
      <c r="F43" s="42" t="s">
        <v>11</v>
      </c>
      <c r="G43" s="42" t="s">
        <v>11</v>
      </c>
      <c r="H43" s="42">
        <v>1.747167954</v>
      </c>
      <c r="I43" s="42">
        <v>1.75</v>
      </c>
    </row>
    <row r="44" spans="1:9" ht="18" customHeight="1">
      <c r="A44" s="41" t="str">
        <f t="shared" si="2"/>
        <v>888USD</v>
      </c>
      <c r="B44" s="42" t="s">
        <v>117</v>
      </c>
      <c r="C44" s="42">
        <v>888</v>
      </c>
      <c r="D44" s="42">
        <v>20020</v>
      </c>
      <c r="E44" s="42" t="s">
        <v>11</v>
      </c>
      <c r="F44" s="42" t="s">
        <v>28</v>
      </c>
      <c r="G44" s="42" t="s">
        <v>11</v>
      </c>
      <c r="H44" s="42">
        <v>-2.2966138360500001</v>
      </c>
      <c r="I44" s="42">
        <v>-2.2999999999999998</v>
      </c>
    </row>
    <row r="45" spans="1:9" ht="18" customHeight="1">
      <c r="A45" s="41" t="str">
        <f t="shared" si="2"/>
        <v>888MYR</v>
      </c>
      <c r="B45" s="42" t="s">
        <v>117</v>
      </c>
      <c r="C45" s="42">
        <v>888</v>
      </c>
      <c r="D45" s="42">
        <v>20020</v>
      </c>
      <c r="E45" s="42" t="s">
        <v>11</v>
      </c>
      <c r="F45" s="42" t="s">
        <v>28</v>
      </c>
      <c r="G45" s="42" t="s">
        <v>28</v>
      </c>
      <c r="H45" s="42">
        <v>10.017277822902001</v>
      </c>
      <c r="I45" s="42">
        <v>2.27</v>
      </c>
    </row>
    <row r="46" spans="1:9" ht="18" customHeight="1">
      <c r="A46" s="41" t="str">
        <f t="shared" si="2"/>
        <v>888USD</v>
      </c>
      <c r="B46" s="42" t="s">
        <v>118</v>
      </c>
      <c r="C46" s="42">
        <v>888</v>
      </c>
      <c r="D46" s="42">
        <v>20020</v>
      </c>
      <c r="E46" s="42" t="s">
        <v>11</v>
      </c>
      <c r="F46" s="42" t="s">
        <v>28</v>
      </c>
      <c r="G46" s="42" t="s">
        <v>11</v>
      </c>
      <c r="H46" s="42">
        <v>-0.88810674999999994</v>
      </c>
      <c r="I46" s="42">
        <v>-0.89</v>
      </c>
    </row>
    <row r="47" spans="1:9" ht="18" customHeight="1">
      <c r="A47" s="41" t="str">
        <f t="shared" si="2"/>
        <v>888MYR</v>
      </c>
      <c r="B47" s="42" t="s">
        <v>118</v>
      </c>
      <c r="C47" s="42">
        <v>888</v>
      </c>
      <c r="D47" s="42">
        <v>20020</v>
      </c>
      <c r="E47" s="42" t="s">
        <v>11</v>
      </c>
      <c r="F47" s="42" t="s">
        <v>28</v>
      </c>
      <c r="G47" s="42" t="s">
        <v>28</v>
      </c>
      <c r="H47" s="42">
        <v>3.8945352730749998</v>
      </c>
      <c r="I47" s="42">
        <v>0.88</v>
      </c>
    </row>
    <row r="48" spans="1:9" ht="18" customHeight="1">
      <c r="A48" s="41" t="str">
        <f t="shared" si="2"/>
        <v>888USD</v>
      </c>
      <c r="B48" s="42" t="s">
        <v>119</v>
      </c>
      <c r="C48" s="42">
        <v>888</v>
      </c>
      <c r="D48" s="42">
        <v>20020</v>
      </c>
      <c r="E48" s="42" t="s">
        <v>11</v>
      </c>
      <c r="F48" s="42" t="s">
        <v>28</v>
      </c>
      <c r="G48" s="42" t="s">
        <v>11</v>
      </c>
      <c r="H48" s="42">
        <v>-2.6045076599999999</v>
      </c>
      <c r="I48" s="42">
        <v>-2.6</v>
      </c>
    </row>
    <row r="49" spans="1:9" ht="18" customHeight="1">
      <c r="A49" s="41" t="str">
        <f t="shared" si="2"/>
        <v>888MYR</v>
      </c>
      <c r="B49" s="42" t="s">
        <v>119</v>
      </c>
      <c r="C49" s="42">
        <v>888</v>
      </c>
      <c r="D49" s="42">
        <v>20020</v>
      </c>
      <c r="E49" s="42" t="s">
        <v>11</v>
      </c>
      <c r="F49" s="42" t="s">
        <v>28</v>
      </c>
      <c r="G49" s="42" t="s">
        <v>28</v>
      </c>
      <c r="H49" s="42">
        <v>11.38888640435</v>
      </c>
      <c r="I49" s="42">
        <v>2.58</v>
      </c>
    </row>
    <row r="50" spans="1:9" ht="18" customHeight="1">
      <c r="A50" s="41" t="str">
        <f t="shared" si="2"/>
        <v>888USD</v>
      </c>
      <c r="B50" s="42" t="s">
        <v>120</v>
      </c>
      <c r="C50" s="42">
        <v>888</v>
      </c>
      <c r="D50" s="42">
        <v>20020</v>
      </c>
      <c r="E50" s="42" t="s">
        <v>11</v>
      </c>
      <c r="F50" s="42" t="s">
        <v>28</v>
      </c>
      <c r="G50" s="42" t="s">
        <v>11</v>
      </c>
      <c r="H50" s="42">
        <v>-5.0282823700000003</v>
      </c>
      <c r="I50" s="42">
        <v>-5.03</v>
      </c>
    </row>
    <row r="51" spans="1:9" ht="18" customHeight="1">
      <c r="A51" s="41" t="str">
        <f t="shared" si="2"/>
        <v>888MYR</v>
      </c>
      <c r="B51" s="42" t="s">
        <v>120</v>
      </c>
      <c r="C51" s="42">
        <v>888</v>
      </c>
      <c r="D51" s="42">
        <v>20020</v>
      </c>
      <c r="E51" s="42" t="s">
        <v>11</v>
      </c>
      <c r="F51" s="42" t="s">
        <v>28</v>
      </c>
      <c r="G51" s="42" t="s">
        <v>28</v>
      </c>
      <c r="H51" s="42">
        <v>21.886139911680001</v>
      </c>
      <c r="I51" s="42">
        <v>4.95</v>
      </c>
    </row>
    <row r="52" spans="1:9" ht="18" customHeight="1">
      <c r="A52" s="41" t="str">
        <f t="shared" si="2"/>
        <v>888MYR</v>
      </c>
      <c r="B52" s="42" t="s">
        <v>121</v>
      </c>
      <c r="C52" s="42">
        <v>888</v>
      </c>
      <c r="D52" s="42">
        <v>20030</v>
      </c>
      <c r="E52" s="42" t="s">
        <v>28</v>
      </c>
      <c r="F52" s="42" t="s">
        <v>11</v>
      </c>
      <c r="G52" s="42" t="s">
        <v>28</v>
      </c>
      <c r="H52" s="42">
        <v>-156.09615616900001</v>
      </c>
      <c r="I52" s="42">
        <v>-35.299999999999997</v>
      </c>
    </row>
    <row r="53" spans="1:9" ht="18" customHeight="1">
      <c r="A53" s="41" t="str">
        <f t="shared" si="2"/>
        <v>888USD</v>
      </c>
      <c r="B53" s="42" t="s">
        <v>121</v>
      </c>
      <c r="C53" s="42">
        <v>888</v>
      </c>
      <c r="D53" s="42">
        <v>20030</v>
      </c>
      <c r="E53" s="42" t="s">
        <v>28</v>
      </c>
      <c r="F53" s="42" t="s">
        <v>11</v>
      </c>
      <c r="G53" s="42" t="s">
        <v>11</v>
      </c>
      <c r="H53" s="42">
        <v>35.524270000000001</v>
      </c>
      <c r="I53" s="42">
        <v>35.520000000000003</v>
      </c>
    </row>
    <row r="54" spans="1:9" ht="18" customHeight="1">
      <c r="A54" s="41" t="str">
        <f t="shared" si="2"/>
        <v>888USD</v>
      </c>
      <c r="B54" s="42" t="s">
        <v>122</v>
      </c>
      <c r="C54" s="42">
        <v>888</v>
      </c>
      <c r="D54" s="42">
        <v>20020</v>
      </c>
      <c r="E54" s="42" t="s">
        <v>11</v>
      </c>
      <c r="F54" s="42" t="s">
        <v>28</v>
      </c>
      <c r="G54" s="42" t="s">
        <v>11</v>
      </c>
      <c r="H54" s="42">
        <v>-6.6688724400000003</v>
      </c>
      <c r="I54" s="42">
        <v>-6.67</v>
      </c>
    </row>
    <row r="55" spans="1:9" ht="18" customHeight="1">
      <c r="A55" s="41" t="str">
        <f t="shared" si="2"/>
        <v>888MYR</v>
      </c>
      <c r="B55" s="42" t="s">
        <v>122</v>
      </c>
      <c r="C55" s="42">
        <v>888</v>
      </c>
      <c r="D55" s="42">
        <v>20020</v>
      </c>
      <c r="E55" s="42" t="s">
        <v>11</v>
      </c>
      <c r="F55" s="42" t="s">
        <v>28</v>
      </c>
      <c r="G55" s="42" t="s">
        <v>28</v>
      </c>
      <c r="H55" s="42">
        <v>28.957511327024999</v>
      </c>
      <c r="I55" s="42">
        <v>6.55</v>
      </c>
    </row>
    <row r="56" spans="1:9" ht="18" customHeight="1">
      <c r="A56" s="41" t="str">
        <f t="shared" si="2"/>
        <v>888USD</v>
      </c>
      <c r="B56" s="42" t="s">
        <v>123</v>
      </c>
      <c r="C56" s="42">
        <v>888</v>
      </c>
      <c r="D56" s="42">
        <v>20020</v>
      </c>
      <c r="E56" s="42" t="s">
        <v>11</v>
      </c>
      <c r="F56" s="42" t="s">
        <v>28</v>
      </c>
      <c r="G56" s="42" t="s">
        <v>11</v>
      </c>
      <c r="H56" s="42">
        <v>-8.35192041</v>
      </c>
      <c r="I56" s="42">
        <v>-8.35</v>
      </c>
    </row>
    <row r="57" spans="1:9" ht="18" customHeight="1">
      <c r="A57" s="41" t="str">
        <f t="shared" si="2"/>
        <v>888MYR</v>
      </c>
      <c r="B57" s="42" t="s">
        <v>123</v>
      </c>
      <c r="C57" s="42">
        <v>888</v>
      </c>
      <c r="D57" s="42">
        <v>20020</v>
      </c>
      <c r="E57" s="42" t="s">
        <v>11</v>
      </c>
      <c r="F57" s="42" t="s">
        <v>28</v>
      </c>
      <c r="G57" s="42" t="s">
        <v>28</v>
      </c>
      <c r="H57" s="42">
        <v>36.187439174879998</v>
      </c>
      <c r="I57" s="42">
        <v>8.18</v>
      </c>
    </row>
    <row r="58" spans="1:9" ht="18" customHeight="1">
      <c r="A58" s="41" t="str">
        <f t="shared" si="2"/>
        <v>888USD</v>
      </c>
      <c r="B58" s="42" t="s">
        <v>124</v>
      </c>
      <c r="C58" s="42">
        <v>888</v>
      </c>
      <c r="D58" s="42">
        <v>20020</v>
      </c>
      <c r="E58" s="42" t="s">
        <v>11</v>
      </c>
      <c r="F58" s="42" t="s">
        <v>28</v>
      </c>
      <c r="G58" s="42" t="s">
        <v>11</v>
      </c>
      <c r="H58" s="42">
        <v>-10.020877820000001</v>
      </c>
      <c r="I58" s="42">
        <v>-10.02</v>
      </c>
    </row>
    <row r="59" spans="1:9" ht="18" customHeight="1">
      <c r="A59" s="41" t="str">
        <f t="shared" si="2"/>
        <v>888MYR</v>
      </c>
      <c r="B59" s="42" t="s">
        <v>124</v>
      </c>
      <c r="C59" s="42">
        <v>888</v>
      </c>
      <c r="D59" s="42">
        <v>20020</v>
      </c>
      <c r="E59" s="42" t="s">
        <v>11</v>
      </c>
      <c r="F59" s="42" t="s">
        <v>28</v>
      </c>
      <c r="G59" s="42" t="s">
        <v>28</v>
      </c>
      <c r="H59" s="42">
        <v>43.333445133940003</v>
      </c>
      <c r="I59" s="42">
        <v>9.8000000000000007</v>
      </c>
    </row>
    <row r="60" spans="1:9" ht="18" customHeight="1">
      <c r="A60" s="41" t="str">
        <f t="shared" si="2"/>
        <v>888MYR</v>
      </c>
      <c r="B60" s="42" t="s">
        <v>125</v>
      </c>
      <c r="C60" s="42">
        <v>888</v>
      </c>
      <c r="D60" s="42">
        <v>20020</v>
      </c>
      <c r="E60" s="42" t="s">
        <v>28</v>
      </c>
      <c r="F60" s="42" t="s">
        <v>10</v>
      </c>
      <c r="G60" s="42" t="s">
        <v>28</v>
      </c>
      <c r="H60" s="42">
        <v>-0.18973476336600001</v>
      </c>
      <c r="I60" s="42">
        <v>-0.04</v>
      </c>
    </row>
    <row r="61" spans="1:9" ht="18" customHeight="1">
      <c r="A61" s="41" t="str">
        <f t="shared" si="2"/>
        <v>888JPY</v>
      </c>
      <c r="B61" s="42" t="s">
        <v>125</v>
      </c>
      <c r="C61" s="42">
        <v>888</v>
      </c>
      <c r="D61" s="42">
        <v>20020</v>
      </c>
      <c r="E61" s="42" t="s">
        <v>28</v>
      </c>
      <c r="F61" s="42" t="s">
        <v>10</v>
      </c>
      <c r="G61" s="42" t="s">
        <v>10</v>
      </c>
      <c r="H61" s="42">
        <v>4.9426452649200003</v>
      </c>
      <c r="I61" s="42">
        <v>0.04</v>
      </c>
    </row>
    <row r="62" spans="1:9" ht="18" customHeight="1">
      <c r="A62" s="41" t="str">
        <f t="shared" si="2"/>
        <v>888MYR</v>
      </c>
      <c r="B62" s="42" t="s">
        <v>126</v>
      </c>
      <c r="C62" s="42">
        <v>888</v>
      </c>
      <c r="D62" s="42">
        <v>20020</v>
      </c>
      <c r="E62" s="42" t="s">
        <v>28</v>
      </c>
      <c r="F62" s="42" t="s">
        <v>10</v>
      </c>
      <c r="G62" s="42" t="s">
        <v>28</v>
      </c>
      <c r="H62" s="42">
        <v>-4.289929179754</v>
      </c>
      <c r="I62" s="42">
        <v>-0.97</v>
      </c>
    </row>
    <row r="63" spans="1:9" ht="18" customHeight="1">
      <c r="A63" s="41" t="str">
        <f t="shared" si="2"/>
        <v>888JPY</v>
      </c>
      <c r="B63" s="42" t="s">
        <v>126</v>
      </c>
      <c r="C63" s="42">
        <v>888</v>
      </c>
      <c r="D63" s="42">
        <v>20020</v>
      </c>
      <c r="E63" s="42" t="s">
        <v>28</v>
      </c>
      <c r="F63" s="42" t="s">
        <v>10</v>
      </c>
      <c r="G63" s="42" t="s">
        <v>10</v>
      </c>
      <c r="H63" s="42">
        <v>111.858862598714</v>
      </c>
      <c r="I63" s="42">
        <v>1.01</v>
      </c>
    </row>
    <row r="64" spans="1:9" ht="18" customHeight="1">
      <c r="A64" s="41" t="str">
        <f t="shared" si="2"/>
        <v>888MYR</v>
      </c>
      <c r="B64" s="42" t="s">
        <v>127</v>
      </c>
      <c r="C64" s="42">
        <v>888</v>
      </c>
      <c r="D64" s="42">
        <v>20020</v>
      </c>
      <c r="E64" s="42" t="s">
        <v>28</v>
      </c>
      <c r="F64" s="42" t="s">
        <v>10</v>
      </c>
      <c r="G64" s="42" t="s">
        <v>28</v>
      </c>
      <c r="H64" s="42">
        <v>-3.0878519505000002</v>
      </c>
      <c r="I64" s="42">
        <v>-0.7</v>
      </c>
    </row>
    <row r="65" spans="1:9" ht="18" customHeight="1">
      <c r="A65" s="41" t="str">
        <f t="shared" si="2"/>
        <v>888JPY</v>
      </c>
      <c r="B65" s="42" t="s">
        <v>127</v>
      </c>
      <c r="C65" s="42">
        <v>888</v>
      </c>
      <c r="D65" s="42">
        <v>20020</v>
      </c>
      <c r="E65" s="42" t="s">
        <v>28</v>
      </c>
      <c r="F65" s="42" t="s">
        <v>10</v>
      </c>
      <c r="G65" s="42" t="s">
        <v>10</v>
      </c>
      <c r="H65" s="42">
        <v>80.514988202880005</v>
      </c>
      <c r="I65" s="42">
        <v>0.72</v>
      </c>
    </row>
    <row r="66" spans="1:9" ht="18" customHeight="1">
      <c r="A66" s="41" t="str">
        <f t="shared" si="2"/>
        <v>888USD</v>
      </c>
      <c r="B66" s="42" t="s">
        <v>128</v>
      </c>
      <c r="C66" s="42">
        <v>888</v>
      </c>
      <c r="D66" s="42">
        <v>20020</v>
      </c>
      <c r="E66" s="42" t="s">
        <v>11</v>
      </c>
      <c r="F66" s="42" t="s">
        <v>28</v>
      </c>
      <c r="G66" s="42" t="s">
        <v>11</v>
      </c>
      <c r="H66" s="42">
        <v>-2.26649510262</v>
      </c>
      <c r="I66" s="42">
        <v>-2.27</v>
      </c>
    </row>
    <row r="67" spans="1:9" ht="18" customHeight="1">
      <c r="A67" s="41" t="str">
        <f t="shared" ref="A67:A130" si="4">CONCATENATE(C67,G67)</f>
        <v>888MYR</v>
      </c>
      <c r="B67" s="42" t="s">
        <v>128</v>
      </c>
      <c r="C67" s="42">
        <v>888</v>
      </c>
      <c r="D67" s="42">
        <v>20020</v>
      </c>
      <c r="E67" s="42" t="s">
        <v>11</v>
      </c>
      <c r="F67" s="42" t="s">
        <v>28</v>
      </c>
      <c r="G67" s="42" t="s">
        <v>28</v>
      </c>
      <c r="H67" s="42">
        <v>9.8957777636719992</v>
      </c>
      <c r="I67" s="42">
        <v>2.2400000000000002</v>
      </c>
    </row>
    <row r="68" spans="1:9" ht="18" customHeight="1">
      <c r="A68" s="41" t="str">
        <f t="shared" si="4"/>
        <v>888MYR</v>
      </c>
      <c r="B68" s="42" t="s">
        <v>129</v>
      </c>
      <c r="C68" s="42">
        <v>888</v>
      </c>
      <c r="D68" s="42">
        <v>20020</v>
      </c>
      <c r="E68" s="42" t="s">
        <v>28</v>
      </c>
      <c r="F68" s="42" t="s">
        <v>11</v>
      </c>
      <c r="G68" s="42" t="s">
        <v>28</v>
      </c>
      <c r="H68" s="42">
        <v>-568.98283773812602</v>
      </c>
      <c r="I68" s="42">
        <v>-128.66</v>
      </c>
    </row>
    <row r="69" spans="1:9" ht="18" customHeight="1">
      <c r="A69" s="41" t="str">
        <f t="shared" si="4"/>
        <v>888USD</v>
      </c>
      <c r="B69" s="42" t="s">
        <v>129</v>
      </c>
      <c r="C69" s="42">
        <v>888</v>
      </c>
      <c r="D69" s="42">
        <v>20020</v>
      </c>
      <c r="E69" s="42" t="s">
        <v>28</v>
      </c>
      <c r="F69" s="42" t="s">
        <v>11</v>
      </c>
      <c r="G69" s="42" t="s">
        <v>11</v>
      </c>
      <c r="H69" s="42">
        <v>130.33307517257799</v>
      </c>
      <c r="I69" s="42">
        <v>130.33000000000001</v>
      </c>
    </row>
    <row r="70" spans="1:9" ht="18" customHeight="1">
      <c r="A70" s="41" t="str">
        <f t="shared" si="4"/>
        <v>888USD</v>
      </c>
      <c r="B70" s="42" t="s">
        <v>130</v>
      </c>
      <c r="C70" s="42">
        <v>888</v>
      </c>
      <c r="D70" s="42">
        <v>20030</v>
      </c>
      <c r="E70" s="42" t="s">
        <v>11</v>
      </c>
      <c r="F70" s="42" t="s">
        <v>28</v>
      </c>
      <c r="G70" s="42" t="s">
        <v>11</v>
      </c>
      <c r="H70" s="42">
        <v>-660.16325280000001</v>
      </c>
      <c r="I70" s="42">
        <v>-660.16</v>
      </c>
    </row>
    <row r="71" spans="1:9" ht="18" customHeight="1">
      <c r="A71" s="41" t="str">
        <f t="shared" si="4"/>
        <v>888MYR</v>
      </c>
      <c r="B71" s="42" t="s">
        <v>130</v>
      </c>
      <c r="C71" s="42">
        <v>888</v>
      </c>
      <c r="D71" s="42">
        <v>20030</v>
      </c>
      <c r="E71" s="42" t="s">
        <v>11</v>
      </c>
      <c r="F71" s="42" t="s">
        <v>28</v>
      </c>
      <c r="G71" s="42" t="s">
        <v>28</v>
      </c>
      <c r="H71" s="42">
        <v>2877.3051936575998</v>
      </c>
      <c r="I71" s="42">
        <v>650.61</v>
      </c>
    </row>
    <row r="72" spans="1:9" ht="18" customHeight="1">
      <c r="A72" s="41" t="str">
        <f t="shared" si="4"/>
        <v>888MYR</v>
      </c>
      <c r="B72" s="42" t="s">
        <v>131</v>
      </c>
      <c r="C72" s="42">
        <v>888</v>
      </c>
      <c r="D72" s="42">
        <v>20020</v>
      </c>
      <c r="E72" s="42" t="s">
        <v>28</v>
      </c>
      <c r="F72" s="42" t="s">
        <v>11</v>
      </c>
      <c r="G72" s="42" t="s">
        <v>28</v>
      </c>
      <c r="H72" s="42">
        <v>-2309.33205036755</v>
      </c>
      <c r="I72" s="42">
        <v>-522.17999999999995</v>
      </c>
    </row>
    <row r="73" spans="1:9" ht="18" customHeight="1">
      <c r="A73" s="41" t="str">
        <f t="shared" si="4"/>
        <v>888USD</v>
      </c>
      <c r="B73" s="42" t="s">
        <v>131</v>
      </c>
      <c r="C73" s="42">
        <v>888</v>
      </c>
      <c r="D73" s="42">
        <v>20020</v>
      </c>
      <c r="E73" s="42" t="s">
        <v>28</v>
      </c>
      <c r="F73" s="42" t="s">
        <v>11</v>
      </c>
      <c r="G73" s="42" t="s">
        <v>11</v>
      </c>
      <c r="H73" s="42">
        <v>529.30293718079201</v>
      </c>
      <c r="I73" s="42">
        <v>529.29999999999995</v>
      </c>
    </row>
    <row r="74" spans="1:9" ht="18" customHeight="1">
      <c r="A74" s="41" t="str">
        <f t="shared" si="4"/>
        <v>888MYR</v>
      </c>
      <c r="B74" s="42" t="s">
        <v>132</v>
      </c>
      <c r="C74" s="42">
        <v>888</v>
      </c>
      <c r="D74" s="42">
        <v>20020</v>
      </c>
      <c r="E74" s="42" t="s">
        <v>28</v>
      </c>
      <c r="F74" s="42" t="s">
        <v>11</v>
      </c>
      <c r="G74" s="42" t="s">
        <v>28</v>
      </c>
      <c r="H74" s="42">
        <v>-16.482252007048999</v>
      </c>
      <c r="I74" s="42">
        <v>-3.73</v>
      </c>
    </row>
    <row r="75" spans="1:9" ht="18" customHeight="1">
      <c r="A75" s="41" t="str">
        <f t="shared" si="4"/>
        <v>888USD</v>
      </c>
      <c r="B75" s="42" t="s">
        <v>132</v>
      </c>
      <c r="C75" s="42">
        <v>888</v>
      </c>
      <c r="D75" s="42">
        <v>20020</v>
      </c>
      <c r="E75" s="42" t="s">
        <v>28</v>
      </c>
      <c r="F75" s="42" t="s">
        <v>11</v>
      </c>
      <c r="G75" s="42" t="s">
        <v>11</v>
      </c>
      <c r="H75" s="42">
        <v>3.7597447645219999</v>
      </c>
      <c r="I75" s="42">
        <v>3.76</v>
      </c>
    </row>
    <row r="76" spans="1:9" ht="18" customHeight="1">
      <c r="A76" s="41" t="str">
        <f t="shared" si="4"/>
        <v>888USD</v>
      </c>
      <c r="B76" s="42" t="s">
        <v>133</v>
      </c>
      <c r="C76" s="42">
        <v>888</v>
      </c>
      <c r="D76" s="42">
        <v>20020</v>
      </c>
      <c r="E76" s="42" t="s">
        <v>11</v>
      </c>
      <c r="F76" s="42" t="s">
        <v>28</v>
      </c>
      <c r="G76" s="42" t="s">
        <v>11</v>
      </c>
      <c r="H76" s="42">
        <v>-1.1886350904</v>
      </c>
      <c r="I76" s="42">
        <v>-1.19</v>
      </c>
    </row>
    <row r="77" spans="1:9" ht="18" customHeight="1">
      <c r="A77" s="41" t="str">
        <f t="shared" si="4"/>
        <v>888MYR</v>
      </c>
      <c r="B77" s="42" t="s">
        <v>133</v>
      </c>
      <c r="C77" s="42">
        <v>888</v>
      </c>
      <c r="D77" s="42">
        <v>20020</v>
      </c>
      <c r="E77" s="42" t="s">
        <v>11</v>
      </c>
      <c r="F77" s="42" t="s">
        <v>28</v>
      </c>
      <c r="G77" s="42" t="s">
        <v>28</v>
      </c>
      <c r="H77" s="42">
        <v>5.1759821432660003</v>
      </c>
      <c r="I77" s="42">
        <v>1.17</v>
      </c>
    </row>
    <row r="78" spans="1:9" ht="18" customHeight="1">
      <c r="A78" s="41" t="str">
        <f t="shared" si="4"/>
        <v>888USD</v>
      </c>
      <c r="B78" s="42" t="s">
        <v>134</v>
      </c>
      <c r="C78" s="42">
        <v>888</v>
      </c>
      <c r="D78" s="42">
        <v>20020</v>
      </c>
      <c r="E78" s="42" t="s">
        <v>11</v>
      </c>
      <c r="F78" s="42" t="s">
        <v>28</v>
      </c>
      <c r="G78" s="42" t="s">
        <v>11</v>
      </c>
      <c r="H78" s="42">
        <v>-2.6985781827520001</v>
      </c>
      <c r="I78" s="42">
        <v>-2.7</v>
      </c>
    </row>
    <row r="79" spans="1:9" ht="18" customHeight="1">
      <c r="A79" s="41" t="str">
        <f t="shared" si="4"/>
        <v>888MYR</v>
      </c>
      <c r="B79" s="42" t="s">
        <v>134</v>
      </c>
      <c r="C79" s="42">
        <v>888</v>
      </c>
      <c r="D79" s="42">
        <v>20020</v>
      </c>
      <c r="E79" s="42" t="s">
        <v>11</v>
      </c>
      <c r="F79" s="42" t="s">
        <v>28</v>
      </c>
      <c r="G79" s="42" t="s">
        <v>28</v>
      </c>
      <c r="H79" s="42">
        <v>11.752522505548001</v>
      </c>
      <c r="I79" s="42">
        <v>2.66</v>
      </c>
    </row>
    <row r="80" spans="1:9" ht="18" customHeight="1">
      <c r="A80" s="41" t="str">
        <f t="shared" si="4"/>
        <v>888MYR</v>
      </c>
      <c r="B80" s="42" t="s">
        <v>135</v>
      </c>
      <c r="C80" s="42">
        <v>888</v>
      </c>
      <c r="D80" s="42">
        <v>20020</v>
      </c>
      <c r="E80" s="42" t="s">
        <v>28</v>
      </c>
      <c r="F80" s="42" t="s">
        <v>11</v>
      </c>
      <c r="G80" s="42" t="s">
        <v>28</v>
      </c>
      <c r="H80" s="42">
        <v>-57.534292476978003</v>
      </c>
      <c r="I80" s="42">
        <v>-13.01</v>
      </c>
    </row>
    <row r="81" spans="1:9" ht="18" customHeight="1">
      <c r="A81" s="41" t="str">
        <f t="shared" si="4"/>
        <v>888USD</v>
      </c>
      <c r="B81" s="42" t="s">
        <v>135</v>
      </c>
      <c r="C81" s="42">
        <v>888</v>
      </c>
      <c r="D81" s="42">
        <v>20020</v>
      </c>
      <c r="E81" s="42" t="s">
        <v>28</v>
      </c>
      <c r="F81" s="42" t="s">
        <v>11</v>
      </c>
      <c r="G81" s="42" t="s">
        <v>11</v>
      </c>
      <c r="H81" s="42">
        <v>13.121551755319</v>
      </c>
      <c r="I81" s="42">
        <v>13.12</v>
      </c>
    </row>
    <row r="82" spans="1:9" ht="18" customHeight="1">
      <c r="A82" s="41" t="str">
        <f t="shared" si="4"/>
        <v>888SGD</v>
      </c>
      <c r="B82" s="42" t="s">
        <v>136</v>
      </c>
      <c r="C82" s="42">
        <v>888</v>
      </c>
      <c r="D82" s="42">
        <v>20020</v>
      </c>
      <c r="E82" s="42" t="s">
        <v>44</v>
      </c>
      <c r="F82" s="42" t="s">
        <v>28</v>
      </c>
      <c r="G82" s="42" t="s">
        <v>44</v>
      </c>
      <c r="H82" s="42">
        <v>-2.7324227046880001</v>
      </c>
      <c r="I82" s="42">
        <v>-1.96</v>
      </c>
    </row>
    <row r="83" spans="1:9" ht="18" customHeight="1">
      <c r="A83" s="41" t="str">
        <f t="shared" si="4"/>
        <v>888MYR</v>
      </c>
      <c r="B83" s="42" t="s">
        <v>136</v>
      </c>
      <c r="C83" s="42">
        <v>888</v>
      </c>
      <c r="D83" s="42">
        <v>20020</v>
      </c>
      <c r="E83" s="42" t="s">
        <v>44</v>
      </c>
      <c r="F83" s="42" t="s">
        <v>28</v>
      </c>
      <c r="G83" s="42" t="s">
        <v>28</v>
      </c>
      <c r="H83" s="42">
        <v>8.5366774412339996</v>
      </c>
      <c r="I83" s="42">
        <v>1.93</v>
      </c>
    </row>
    <row r="84" spans="1:9" ht="18" customHeight="1">
      <c r="A84" s="41" t="str">
        <f t="shared" si="4"/>
        <v>888USD</v>
      </c>
      <c r="B84" s="42" t="s">
        <v>137</v>
      </c>
      <c r="C84" s="42">
        <v>888</v>
      </c>
      <c r="D84" s="42">
        <v>20020</v>
      </c>
      <c r="E84" s="42" t="s">
        <v>11</v>
      </c>
      <c r="F84" s="42" t="s">
        <v>28</v>
      </c>
      <c r="G84" s="42" t="s">
        <v>11</v>
      </c>
      <c r="H84" s="42">
        <v>-101.5203714</v>
      </c>
      <c r="I84" s="42">
        <v>-101.52</v>
      </c>
    </row>
    <row r="85" spans="1:9" ht="18" customHeight="1">
      <c r="A85" s="41" t="str">
        <f t="shared" si="4"/>
        <v>888MYR</v>
      </c>
      <c r="B85" s="42" t="s">
        <v>137</v>
      </c>
      <c r="C85" s="42">
        <v>888</v>
      </c>
      <c r="D85" s="42">
        <v>20020</v>
      </c>
      <c r="E85" s="42" t="s">
        <v>11</v>
      </c>
      <c r="F85" s="42" t="s">
        <v>28</v>
      </c>
      <c r="G85" s="42" t="s">
        <v>28</v>
      </c>
      <c r="H85" s="42">
        <v>438.02131073231999</v>
      </c>
      <c r="I85" s="42">
        <v>99.04</v>
      </c>
    </row>
    <row r="86" spans="1:9" ht="18" customHeight="1">
      <c r="A86" s="41" t="str">
        <f t="shared" si="4"/>
        <v>888MYR</v>
      </c>
      <c r="B86" s="42" t="s">
        <v>138</v>
      </c>
      <c r="C86" s="42">
        <v>888</v>
      </c>
      <c r="D86" s="42">
        <v>20020</v>
      </c>
      <c r="E86" s="42" t="s">
        <v>28</v>
      </c>
      <c r="F86" s="42" t="s">
        <v>11</v>
      </c>
      <c r="G86" s="42" t="s">
        <v>28</v>
      </c>
      <c r="H86" s="42">
        <v>-438.80823426384001</v>
      </c>
      <c r="I86" s="42">
        <v>-99.22</v>
      </c>
    </row>
    <row r="87" spans="1:9" ht="18" customHeight="1">
      <c r="A87" s="41" t="str">
        <f t="shared" si="4"/>
        <v>888USD</v>
      </c>
      <c r="B87" s="42" t="s">
        <v>138</v>
      </c>
      <c r="C87" s="42">
        <v>888</v>
      </c>
      <c r="D87" s="42">
        <v>20020</v>
      </c>
      <c r="E87" s="42" t="s">
        <v>28</v>
      </c>
      <c r="F87" s="42" t="s">
        <v>11</v>
      </c>
      <c r="G87" s="42" t="s">
        <v>11</v>
      </c>
      <c r="H87" s="42">
        <v>101.5203714</v>
      </c>
      <c r="I87" s="42">
        <v>101.52</v>
      </c>
    </row>
    <row r="88" spans="1:9" ht="18" customHeight="1">
      <c r="A88" s="41" t="str">
        <f t="shared" si="4"/>
        <v>888USD</v>
      </c>
      <c r="B88" s="42" t="s">
        <v>139</v>
      </c>
      <c r="C88" s="42">
        <v>888</v>
      </c>
      <c r="D88" s="42">
        <v>20030</v>
      </c>
      <c r="E88" s="42" t="s">
        <v>11</v>
      </c>
      <c r="F88" s="42" t="s">
        <v>28</v>
      </c>
      <c r="G88" s="42" t="s">
        <v>11</v>
      </c>
      <c r="H88" s="42">
        <v>-1495.641005</v>
      </c>
      <c r="I88" s="42">
        <v>-1495.64</v>
      </c>
    </row>
    <row r="89" spans="1:9" ht="18" customHeight="1">
      <c r="A89" s="41" t="str">
        <f t="shared" si="4"/>
        <v>888MYR</v>
      </c>
      <c r="B89" s="42" t="s">
        <v>139</v>
      </c>
      <c r="C89" s="42">
        <v>888</v>
      </c>
      <c r="D89" s="42">
        <v>20030</v>
      </c>
      <c r="E89" s="42" t="s">
        <v>11</v>
      </c>
      <c r="F89" s="42" t="s">
        <v>28</v>
      </c>
      <c r="G89" s="42" t="s">
        <v>28</v>
      </c>
      <c r="H89" s="42">
        <v>6518.5709287475001</v>
      </c>
      <c r="I89" s="42">
        <v>1473.96</v>
      </c>
    </row>
    <row r="90" spans="1:9" ht="18" customHeight="1">
      <c r="A90" s="41" t="str">
        <f t="shared" si="4"/>
        <v>888MYR</v>
      </c>
      <c r="B90" s="42" t="s">
        <v>140</v>
      </c>
      <c r="C90" s="42">
        <v>888</v>
      </c>
      <c r="D90" s="42">
        <v>20020</v>
      </c>
      <c r="E90" s="42" t="s">
        <v>28</v>
      </c>
      <c r="F90" s="42" t="s">
        <v>11</v>
      </c>
      <c r="G90" s="42" t="s">
        <v>28</v>
      </c>
      <c r="H90" s="42">
        <v>-167.02134449677601</v>
      </c>
      <c r="I90" s="42">
        <v>-37.770000000000003</v>
      </c>
    </row>
    <row r="91" spans="1:9" ht="18" customHeight="1">
      <c r="A91" s="41" t="str">
        <f t="shared" si="4"/>
        <v>888USD</v>
      </c>
      <c r="B91" s="42" t="s">
        <v>140</v>
      </c>
      <c r="C91" s="42">
        <v>888</v>
      </c>
      <c r="D91" s="42">
        <v>20020</v>
      </c>
      <c r="E91" s="42" t="s">
        <v>28</v>
      </c>
      <c r="F91" s="42" t="s">
        <v>11</v>
      </c>
      <c r="G91" s="42" t="s">
        <v>11</v>
      </c>
      <c r="H91" s="42">
        <v>38.173543334488002</v>
      </c>
      <c r="I91" s="42">
        <v>38.17</v>
      </c>
    </row>
    <row r="92" spans="1:9" ht="18" customHeight="1">
      <c r="A92" s="41" t="str">
        <f t="shared" si="4"/>
        <v>888MYR</v>
      </c>
      <c r="B92" s="42" t="s">
        <v>141</v>
      </c>
      <c r="C92" s="42">
        <v>888</v>
      </c>
      <c r="D92" s="42">
        <v>20020</v>
      </c>
      <c r="E92" s="42" t="s">
        <v>28</v>
      </c>
      <c r="F92" s="42" t="s">
        <v>11</v>
      </c>
      <c r="G92" s="42" t="s">
        <v>28</v>
      </c>
      <c r="H92" s="42">
        <v>-84.415469713600999</v>
      </c>
      <c r="I92" s="42">
        <v>-19.09</v>
      </c>
    </row>
    <row r="93" spans="1:9" ht="18" customHeight="1">
      <c r="A93" s="41" t="str">
        <f t="shared" si="4"/>
        <v>888USD</v>
      </c>
      <c r="B93" s="42" t="s">
        <v>141</v>
      </c>
      <c r="C93" s="42">
        <v>888</v>
      </c>
      <c r="D93" s="42">
        <v>20020</v>
      </c>
      <c r="E93" s="42" t="s">
        <v>28</v>
      </c>
      <c r="F93" s="42" t="s">
        <v>11</v>
      </c>
      <c r="G93" s="42" t="s">
        <v>11</v>
      </c>
      <c r="H93" s="42">
        <v>19.293567444762001</v>
      </c>
      <c r="I93" s="42">
        <v>19.29</v>
      </c>
    </row>
    <row r="94" spans="1:9" ht="18" customHeight="1">
      <c r="A94" s="41" t="str">
        <f t="shared" si="4"/>
        <v>888MYR</v>
      </c>
      <c r="B94" s="42" t="s">
        <v>142</v>
      </c>
      <c r="C94" s="42">
        <v>888</v>
      </c>
      <c r="D94" s="42">
        <v>20020</v>
      </c>
      <c r="E94" s="42" t="s">
        <v>28</v>
      </c>
      <c r="F94" s="42" t="s">
        <v>11</v>
      </c>
      <c r="G94" s="42" t="s">
        <v>28</v>
      </c>
      <c r="H94" s="42">
        <v>-43.382266137923999</v>
      </c>
      <c r="I94" s="42">
        <v>-9.81</v>
      </c>
    </row>
    <row r="95" spans="1:9" ht="18" customHeight="1">
      <c r="A95" s="41" t="str">
        <f t="shared" si="4"/>
        <v>888USD</v>
      </c>
      <c r="B95" s="42" t="s">
        <v>142</v>
      </c>
      <c r="C95" s="42">
        <v>888</v>
      </c>
      <c r="D95" s="42">
        <v>20020</v>
      </c>
      <c r="E95" s="42" t="s">
        <v>28</v>
      </c>
      <c r="F95" s="42" t="s">
        <v>11</v>
      </c>
      <c r="G95" s="42" t="s">
        <v>11</v>
      </c>
      <c r="H95" s="42">
        <v>9.9293850495840008</v>
      </c>
      <c r="I95" s="42">
        <v>9.93</v>
      </c>
    </row>
    <row r="96" spans="1:9" ht="18" customHeight="1">
      <c r="A96" s="41" t="str">
        <f t="shared" si="4"/>
        <v>888MYR</v>
      </c>
      <c r="B96" s="42" t="s">
        <v>29</v>
      </c>
      <c r="C96" s="42">
        <v>888</v>
      </c>
      <c r="D96" s="42">
        <v>20020</v>
      </c>
      <c r="E96" s="42" t="s">
        <v>28</v>
      </c>
      <c r="F96" s="42" t="s">
        <v>30</v>
      </c>
      <c r="G96" s="42" t="s">
        <v>28</v>
      </c>
      <c r="H96" s="42">
        <v>-28.499422109628998</v>
      </c>
      <c r="I96" s="42">
        <v>-6.44</v>
      </c>
    </row>
    <row r="97" spans="1:9" ht="18" customHeight="1">
      <c r="A97" s="41" t="str">
        <f t="shared" si="4"/>
        <v>888THB</v>
      </c>
      <c r="B97" s="42" t="s">
        <v>29</v>
      </c>
      <c r="C97" s="42">
        <v>888</v>
      </c>
      <c r="D97" s="42">
        <v>20020</v>
      </c>
      <c r="E97" s="42" t="s">
        <v>28</v>
      </c>
      <c r="F97" s="42" t="s">
        <v>30</v>
      </c>
      <c r="G97" s="42" t="s">
        <v>30</v>
      </c>
      <c r="H97" s="42">
        <v>223.682922361924</v>
      </c>
      <c r="I97" s="42">
        <v>6.49</v>
      </c>
    </row>
    <row r="98" spans="1:9" ht="18" customHeight="1">
      <c r="A98" s="41" t="str">
        <f t="shared" si="4"/>
        <v>888MYR</v>
      </c>
      <c r="B98" s="42" t="s">
        <v>143</v>
      </c>
      <c r="C98" s="42">
        <v>888</v>
      </c>
      <c r="D98" s="42">
        <v>20020</v>
      </c>
      <c r="E98" s="42" t="s">
        <v>28</v>
      </c>
      <c r="F98" s="42" t="s">
        <v>30</v>
      </c>
      <c r="G98" s="42" t="s">
        <v>28</v>
      </c>
      <c r="H98" s="42">
        <v>-61.772302587146001</v>
      </c>
      <c r="I98" s="42">
        <v>-13.97</v>
      </c>
    </row>
    <row r="99" spans="1:9" ht="18" customHeight="1">
      <c r="A99" s="41" t="str">
        <f t="shared" si="4"/>
        <v>888THB</v>
      </c>
      <c r="B99" s="42" t="s">
        <v>143</v>
      </c>
      <c r="C99" s="42">
        <v>888</v>
      </c>
      <c r="D99" s="42">
        <v>20020</v>
      </c>
      <c r="E99" s="42" t="s">
        <v>28</v>
      </c>
      <c r="F99" s="42" t="s">
        <v>30</v>
      </c>
      <c r="G99" s="42" t="s">
        <v>30</v>
      </c>
      <c r="H99" s="42">
        <v>485.79702298805699</v>
      </c>
      <c r="I99" s="42">
        <v>14.09</v>
      </c>
    </row>
    <row r="100" spans="1:9" ht="18" customHeight="1">
      <c r="A100" s="41" t="str">
        <f t="shared" si="4"/>
        <v>888THB</v>
      </c>
      <c r="B100" s="42" t="s">
        <v>144</v>
      </c>
      <c r="C100" s="42">
        <v>888</v>
      </c>
      <c r="D100" s="42">
        <v>20020</v>
      </c>
      <c r="E100" s="42" t="s">
        <v>30</v>
      </c>
      <c r="F100" s="42" t="s">
        <v>11</v>
      </c>
      <c r="G100" s="42" t="s">
        <v>30</v>
      </c>
      <c r="H100" s="42">
        <v>-475.15813935909</v>
      </c>
      <c r="I100" s="42">
        <v>-13.78</v>
      </c>
    </row>
    <row r="101" spans="1:9" ht="18" customHeight="1">
      <c r="A101" s="41" t="str">
        <f t="shared" si="4"/>
        <v>888USD</v>
      </c>
      <c r="B101" s="42" t="s">
        <v>144</v>
      </c>
      <c r="C101" s="42">
        <v>888</v>
      </c>
      <c r="D101" s="42">
        <v>20020</v>
      </c>
      <c r="E101" s="42" t="s">
        <v>30</v>
      </c>
      <c r="F101" s="42" t="s">
        <v>11</v>
      </c>
      <c r="G101" s="42" t="s">
        <v>11</v>
      </c>
      <c r="H101" s="42">
        <v>13.746636788</v>
      </c>
      <c r="I101" s="42">
        <v>13.75</v>
      </c>
    </row>
    <row r="102" spans="1:9" ht="18" customHeight="1">
      <c r="A102" s="41" t="str">
        <f t="shared" si="4"/>
        <v>888THB</v>
      </c>
      <c r="B102" s="42" t="s">
        <v>145</v>
      </c>
      <c r="C102" s="42">
        <v>888</v>
      </c>
      <c r="D102" s="42">
        <v>20020</v>
      </c>
      <c r="E102" s="42" t="s">
        <v>30</v>
      </c>
      <c r="F102" s="42" t="s">
        <v>11</v>
      </c>
      <c r="G102" s="42" t="s">
        <v>30</v>
      </c>
      <c r="H102" s="42">
        <v>-224.44954374567999</v>
      </c>
      <c r="I102" s="42">
        <v>-6.51</v>
      </c>
    </row>
    <row r="103" spans="1:9" ht="18" customHeight="1">
      <c r="A103" s="41" t="str">
        <f t="shared" si="4"/>
        <v>888USD</v>
      </c>
      <c r="B103" s="42" t="s">
        <v>145</v>
      </c>
      <c r="C103" s="42">
        <v>888</v>
      </c>
      <c r="D103" s="42">
        <v>20020</v>
      </c>
      <c r="E103" s="42" t="s">
        <v>30</v>
      </c>
      <c r="F103" s="42" t="s">
        <v>11</v>
      </c>
      <c r="G103" s="42" t="s">
        <v>11</v>
      </c>
      <c r="H103" s="42">
        <v>6.4950619029999999</v>
      </c>
      <c r="I103" s="42">
        <v>6.5</v>
      </c>
    </row>
    <row r="104" spans="1:9" ht="18" customHeight="1">
      <c r="A104" s="41" t="str">
        <f t="shared" si="4"/>
        <v>888USD</v>
      </c>
      <c r="B104" s="42" t="s">
        <v>146</v>
      </c>
      <c r="C104" s="42">
        <v>888</v>
      </c>
      <c r="D104" s="42">
        <v>20020</v>
      </c>
      <c r="E104" s="42" t="s">
        <v>11</v>
      </c>
      <c r="F104" s="42" t="s">
        <v>28</v>
      </c>
      <c r="G104" s="42" t="s">
        <v>11</v>
      </c>
      <c r="H104" s="42">
        <v>-57.382098425000002</v>
      </c>
      <c r="I104" s="42">
        <v>-57.38</v>
      </c>
    </row>
    <row r="105" spans="1:9" ht="18" customHeight="1">
      <c r="A105" s="41" t="str">
        <f t="shared" si="4"/>
        <v>888MYR</v>
      </c>
      <c r="B105" s="42" t="s">
        <v>146</v>
      </c>
      <c r="C105" s="42">
        <v>888</v>
      </c>
      <c r="D105" s="42">
        <v>20020</v>
      </c>
      <c r="E105" s="42" t="s">
        <v>11</v>
      </c>
      <c r="F105" s="42" t="s">
        <v>28</v>
      </c>
      <c r="G105" s="42" t="s">
        <v>28</v>
      </c>
      <c r="H105" s="42">
        <v>250.18244843838301</v>
      </c>
      <c r="I105" s="42">
        <v>56.57</v>
      </c>
    </row>
    <row r="106" spans="1:9" ht="18" customHeight="1">
      <c r="A106" s="41" t="str">
        <f t="shared" si="4"/>
        <v>888MYR</v>
      </c>
      <c r="B106" s="42" t="s">
        <v>147</v>
      </c>
      <c r="C106" s="42">
        <v>888</v>
      </c>
      <c r="D106" s="42">
        <v>20020</v>
      </c>
      <c r="E106" s="42" t="s">
        <v>28</v>
      </c>
      <c r="F106" s="42" t="s">
        <v>11</v>
      </c>
      <c r="G106" s="42" t="s">
        <v>28</v>
      </c>
      <c r="H106" s="42">
        <v>-149.68015103976299</v>
      </c>
      <c r="I106" s="42">
        <v>-33.85</v>
      </c>
    </row>
    <row r="107" spans="1:9" ht="18" customHeight="1">
      <c r="A107" s="41" t="str">
        <f t="shared" si="4"/>
        <v>888USD</v>
      </c>
      <c r="B107" s="42" t="s">
        <v>147</v>
      </c>
      <c r="C107" s="42">
        <v>888</v>
      </c>
      <c r="D107" s="42">
        <v>20020</v>
      </c>
      <c r="E107" s="42" t="s">
        <v>28</v>
      </c>
      <c r="F107" s="42" t="s">
        <v>11</v>
      </c>
      <c r="G107" s="42" t="s">
        <v>11</v>
      </c>
      <c r="H107" s="42">
        <v>34.346874705048997</v>
      </c>
      <c r="I107" s="42">
        <v>34.35</v>
      </c>
    </row>
    <row r="108" spans="1:9" ht="18" customHeight="1">
      <c r="A108" s="41" t="str">
        <f t="shared" si="4"/>
        <v>888USD</v>
      </c>
      <c r="B108" s="42" t="s">
        <v>148</v>
      </c>
      <c r="C108" s="42">
        <v>888</v>
      </c>
      <c r="D108" s="42">
        <v>20020</v>
      </c>
      <c r="E108" s="42" t="s">
        <v>11</v>
      </c>
      <c r="F108" s="42" t="s">
        <v>28</v>
      </c>
      <c r="G108" s="42" t="s">
        <v>11</v>
      </c>
      <c r="H108" s="42">
        <v>-66.080910220000007</v>
      </c>
      <c r="I108" s="42">
        <v>-66.08</v>
      </c>
    </row>
    <row r="109" spans="1:9" ht="18" customHeight="1">
      <c r="A109" s="41" t="str">
        <f t="shared" si="4"/>
        <v>888MYR</v>
      </c>
      <c r="B109" s="42" t="s">
        <v>148</v>
      </c>
      <c r="C109" s="42">
        <v>888</v>
      </c>
      <c r="D109" s="42">
        <v>20020</v>
      </c>
      <c r="E109" s="42" t="s">
        <v>11</v>
      </c>
      <c r="F109" s="42" t="s">
        <v>28</v>
      </c>
      <c r="G109" s="42" t="s">
        <v>28</v>
      </c>
      <c r="H109" s="42">
        <v>287.10409966036502</v>
      </c>
      <c r="I109" s="42">
        <v>64.92</v>
      </c>
    </row>
    <row r="110" spans="1:9" ht="18" customHeight="1">
      <c r="A110" s="41" t="str">
        <f t="shared" si="4"/>
        <v>888MYR</v>
      </c>
      <c r="B110" s="42" t="s">
        <v>149</v>
      </c>
      <c r="C110" s="42">
        <v>888</v>
      </c>
      <c r="D110" s="42">
        <v>20020</v>
      </c>
      <c r="E110" s="42" t="s">
        <v>28</v>
      </c>
      <c r="F110" s="42" t="s">
        <v>11</v>
      </c>
      <c r="G110" s="42" t="s">
        <v>28</v>
      </c>
      <c r="H110" s="42">
        <v>-16.851970301838001</v>
      </c>
      <c r="I110" s="42">
        <v>-3.81</v>
      </c>
    </row>
    <row r="111" spans="1:9" ht="18" customHeight="1">
      <c r="A111" s="41" t="str">
        <f t="shared" si="4"/>
        <v>888USD</v>
      </c>
      <c r="B111" s="42" t="s">
        <v>149</v>
      </c>
      <c r="C111" s="42">
        <v>888</v>
      </c>
      <c r="D111" s="42">
        <v>20020</v>
      </c>
      <c r="E111" s="42" t="s">
        <v>28</v>
      </c>
      <c r="F111" s="42" t="s">
        <v>11</v>
      </c>
      <c r="G111" s="42" t="s">
        <v>11</v>
      </c>
      <c r="H111" s="42">
        <v>3.8493546344920002</v>
      </c>
      <c r="I111" s="42">
        <v>3.85</v>
      </c>
    </row>
    <row r="112" spans="1:9" ht="18" customHeight="1">
      <c r="A112" s="41" t="str">
        <f t="shared" si="4"/>
        <v>888MYR</v>
      </c>
      <c r="B112" s="42" t="s">
        <v>150</v>
      </c>
      <c r="C112" s="42">
        <v>888</v>
      </c>
      <c r="D112" s="42">
        <v>20020</v>
      </c>
      <c r="E112" s="42" t="s">
        <v>28</v>
      </c>
      <c r="F112" s="42" t="s">
        <v>11</v>
      </c>
      <c r="G112" s="42" t="s">
        <v>28</v>
      </c>
      <c r="H112" s="42">
        <v>-0.26233591462099998</v>
      </c>
      <c r="I112" s="42">
        <v>-0.06</v>
      </c>
    </row>
    <row r="113" spans="1:9" ht="18" customHeight="1">
      <c r="A113" s="41" t="str">
        <f t="shared" si="4"/>
        <v>888USD</v>
      </c>
      <c r="B113" s="42" t="s">
        <v>150</v>
      </c>
      <c r="C113" s="42">
        <v>888</v>
      </c>
      <c r="D113" s="42">
        <v>20020</v>
      </c>
      <c r="E113" s="42" t="s">
        <v>28</v>
      </c>
      <c r="F113" s="42" t="s">
        <v>11</v>
      </c>
      <c r="G113" s="42" t="s">
        <v>11</v>
      </c>
      <c r="H113" s="42">
        <v>5.9580043013000003E-2</v>
      </c>
      <c r="I113" s="42">
        <v>0.06</v>
      </c>
    </row>
    <row r="114" spans="1:9" ht="18" customHeight="1">
      <c r="A114" s="41" t="str">
        <f t="shared" si="4"/>
        <v>888MYR</v>
      </c>
      <c r="B114" s="42" t="s">
        <v>151</v>
      </c>
      <c r="C114" s="42">
        <v>888</v>
      </c>
      <c r="D114" s="42">
        <v>20020</v>
      </c>
      <c r="E114" s="42" t="s">
        <v>28</v>
      </c>
      <c r="F114" s="42" t="s">
        <v>11</v>
      </c>
      <c r="G114" s="42" t="s">
        <v>28</v>
      </c>
      <c r="H114" s="42">
        <v>-0.103152756282</v>
      </c>
      <c r="I114" s="42">
        <v>-0.02</v>
      </c>
    </row>
    <row r="115" spans="1:9" ht="18" customHeight="1">
      <c r="A115" s="41" t="str">
        <f t="shared" si="4"/>
        <v>888USD</v>
      </c>
      <c r="B115" s="42" t="s">
        <v>151</v>
      </c>
      <c r="C115" s="42">
        <v>888</v>
      </c>
      <c r="D115" s="42">
        <v>20020</v>
      </c>
      <c r="E115" s="42" t="s">
        <v>28</v>
      </c>
      <c r="F115" s="42" t="s">
        <v>11</v>
      </c>
      <c r="G115" s="42" t="s">
        <v>11</v>
      </c>
      <c r="H115" s="42">
        <v>2.3427395521E-2</v>
      </c>
      <c r="I115" s="42">
        <v>0.02</v>
      </c>
    </row>
    <row r="116" spans="1:9" ht="18" customHeight="1">
      <c r="A116" s="41" t="str">
        <f t="shared" si="4"/>
        <v>888USD</v>
      </c>
      <c r="B116" s="42" t="s">
        <v>152</v>
      </c>
      <c r="C116" s="42">
        <v>888</v>
      </c>
      <c r="D116" s="42">
        <v>20020</v>
      </c>
      <c r="E116" s="42" t="s">
        <v>11</v>
      </c>
      <c r="F116" s="42" t="s">
        <v>28</v>
      </c>
      <c r="G116" s="42" t="s">
        <v>11</v>
      </c>
      <c r="H116" s="42">
        <v>-42.300154749999997</v>
      </c>
      <c r="I116" s="42">
        <v>-42.3</v>
      </c>
    </row>
    <row r="117" spans="1:9" ht="18" customHeight="1">
      <c r="A117" s="41" t="str">
        <f t="shared" si="4"/>
        <v>888MYR</v>
      </c>
      <c r="B117" s="42" t="s">
        <v>152</v>
      </c>
      <c r="C117" s="42">
        <v>888</v>
      </c>
      <c r="D117" s="42">
        <v>20020</v>
      </c>
      <c r="E117" s="42" t="s">
        <v>11</v>
      </c>
      <c r="F117" s="42" t="s">
        <v>28</v>
      </c>
      <c r="G117" s="42" t="s">
        <v>28</v>
      </c>
      <c r="H117" s="42">
        <v>182.18099466699999</v>
      </c>
      <c r="I117" s="42">
        <v>41.19</v>
      </c>
    </row>
    <row r="118" spans="1:9" ht="18" customHeight="1">
      <c r="A118" s="41" t="str">
        <f t="shared" si="4"/>
        <v>888USD</v>
      </c>
      <c r="B118" s="42" t="s">
        <v>153</v>
      </c>
      <c r="C118" s="42">
        <v>888</v>
      </c>
      <c r="D118" s="42">
        <v>20020</v>
      </c>
      <c r="E118" s="42" t="s">
        <v>11</v>
      </c>
      <c r="F118" s="42" t="s">
        <v>28</v>
      </c>
      <c r="G118" s="42" t="s">
        <v>11</v>
      </c>
      <c r="H118" s="42">
        <v>-13.885026</v>
      </c>
      <c r="I118" s="42">
        <v>-13.89</v>
      </c>
    </row>
    <row r="119" spans="1:9" ht="18" customHeight="1">
      <c r="A119" s="41" t="str">
        <f t="shared" si="4"/>
        <v>888MYR</v>
      </c>
      <c r="B119" s="42" t="s">
        <v>153</v>
      </c>
      <c r="C119" s="42">
        <v>888</v>
      </c>
      <c r="D119" s="42">
        <v>20020</v>
      </c>
      <c r="E119" s="42" t="s">
        <v>11</v>
      </c>
      <c r="F119" s="42" t="s">
        <v>28</v>
      </c>
      <c r="G119" s="42" t="s">
        <v>28</v>
      </c>
      <c r="H119" s="42">
        <v>60.539246356</v>
      </c>
      <c r="I119" s="42">
        <v>13.69</v>
      </c>
    </row>
    <row r="120" spans="1:9" ht="18" customHeight="1">
      <c r="A120" s="41" t="str">
        <f t="shared" si="4"/>
        <v>888MYR</v>
      </c>
      <c r="B120" s="42" t="s">
        <v>154</v>
      </c>
      <c r="C120" s="42">
        <v>888</v>
      </c>
      <c r="D120" s="42">
        <v>20020</v>
      </c>
      <c r="E120" s="42" t="s">
        <v>28</v>
      </c>
      <c r="F120" s="42" t="s">
        <v>11</v>
      </c>
      <c r="G120" s="42" t="s">
        <v>28</v>
      </c>
      <c r="H120" s="42">
        <v>-60.636426697200001</v>
      </c>
      <c r="I120" s="42">
        <v>-13.71</v>
      </c>
    </row>
    <row r="121" spans="1:9" ht="18" customHeight="1">
      <c r="A121" s="41" t="str">
        <f t="shared" si="4"/>
        <v>888USD</v>
      </c>
      <c r="B121" s="42" t="s">
        <v>154</v>
      </c>
      <c r="C121" s="42">
        <v>888</v>
      </c>
      <c r="D121" s="42">
        <v>20020</v>
      </c>
      <c r="E121" s="42" t="s">
        <v>28</v>
      </c>
      <c r="F121" s="42" t="s">
        <v>11</v>
      </c>
      <c r="G121" s="42" t="s">
        <v>11</v>
      </c>
      <c r="H121" s="42">
        <v>13.885026</v>
      </c>
      <c r="I121" s="42">
        <v>13.89</v>
      </c>
    </row>
    <row r="122" spans="1:9" ht="18" customHeight="1">
      <c r="A122" s="41" t="str">
        <f t="shared" si="4"/>
        <v>888USD</v>
      </c>
      <c r="B122" s="42" t="s">
        <v>155</v>
      </c>
      <c r="C122" s="42">
        <v>888</v>
      </c>
      <c r="D122" s="42">
        <v>20020</v>
      </c>
      <c r="E122" s="42" t="s">
        <v>11</v>
      </c>
      <c r="F122" s="42" t="s">
        <v>28</v>
      </c>
      <c r="G122" s="42" t="s">
        <v>11</v>
      </c>
      <c r="H122" s="42">
        <v>-15.898354769999999</v>
      </c>
      <c r="I122" s="42">
        <v>-15.9</v>
      </c>
    </row>
    <row r="123" spans="1:9" ht="18" customHeight="1">
      <c r="A123" s="41" t="str">
        <f t="shared" si="4"/>
        <v>888MYR</v>
      </c>
      <c r="B123" s="42" t="s">
        <v>155</v>
      </c>
      <c r="C123" s="42">
        <v>888</v>
      </c>
      <c r="D123" s="42">
        <v>20020</v>
      </c>
      <c r="E123" s="42" t="s">
        <v>11</v>
      </c>
      <c r="F123" s="42" t="s">
        <v>28</v>
      </c>
      <c r="G123" s="42" t="s">
        <v>28</v>
      </c>
      <c r="H123" s="42">
        <v>69.406767710978002</v>
      </c>
      <c r="I123" s="42">
        <v>15.69</v>
      </c>
    </row>
    <row r="124" spans="1:9" ht="18" customHeight="1">
      <c r="A124" s="41" t="str">
        <f t="shared" si="4"/>
        <v>888MYR</v>
      </c>
      <c r="B124" s="42" t="s">
        <v>156</v>
      </c>
      <c r="C124" s="42">
        <v>888</v>
      </c>
      <c r="D124" s="42">
        <v>20030</v>
      </c>
      <c r="E124" s="42" t="s">
        <v>28</v>
      </c>
      <c r="F124" s="42" t="s">
        <v>11</v>
      </c>
      <c r="G124" s="42" t="s">
        <v>28</v>
      </c>
      <c r="H124" s="42">
        <v>-66.779866745679996</v>
      </c>
      <c r="I124" s="42">
        <v>-15.1</v>
      </c>
    </row>
    <row r="125" spans="1:9" ht="18" customHeight="1">
      <c r="A125" s="41" t="str">
        <f t="shared" si="4"/>
        <v>888USD</v>
      </c>
      <c r="B125" s="42" t="s">
        <v>156</v>
      </c>
      <c r="C125" s="42">
        <v>888</v>
      </c>
      <c r="D125" s="42">
        <v>20030</v>
      </c>
      <c r="E125" s="42" t="s">
        <v>28</v>
      </c>
      <c r="F125" s="42" t="s">
        <v>11</v>
      </c>
      <c r="G125" s="42" t="s">
        <v>11</v>
      </c>
      <c r="H125" s="42">
        <v>15.273528600000001</v>
      </c>
      <c r="I125" s="42">
        <v>15.27</v>
      </c>
    </row>
    <row r="126" spans="1:9" ht="18" customHeight="1">
      <c r="A126" s="41" t="str">
        <f t="shared" si="4"/>
        <v>888USD</v>
      </c>
      <c r="B126" s="42" t="s">
        <v>157</v>
      </c>
      <c r="C126" s="42">
        <v>888</v>
      </c>
      <c r="D126" s="42">
        <v>20030</v>
      </c>
      <c r="E126" s="42" t="s">
        <v>11</v>
      </c>
      <c r="F126" s="42" t="s">
        <v>28</v>
      </c>
      <c r="G126" s="42" t="s">
        <v>11</v>
      </c>
      <c r="H126" s="42">
        <v>-60.322022625000002</v>
      </c>
      <c r="I126" s="42">
        <v>-60.32</v>
      </c>
    </row>
    <row r="127" spans="1:9" ht="18" customHeight="1">
      <c r="A127" s="41" t="str">
        <f t="shared" si="4"/>
        <v>888MYR</v>
      </c>
      <c r="B127" s="42" t="s">
        <v>157</v>
      </c>
      <c r="C127" s="42">
        <v>888</v>
      </c>
      <c r="D127" s="42">
        <v>20030</v>
      </c>
      <c r="E127" s="42" t="s">
        <v>11</v>
      </c>
      <c r="F127" s="42" t="s">
        <v>28</v>
      </c>
      <c r="G127" s="42" t="s">
        <v>28</v>
      </c>
      <c r="H127" s="42">
        <v>262.95742885124997</v>
      </c>
      <c r="I127" s="42">
        <v>59.46</v>
      </c>
    </row>
    <row r="128" spans="1:9" ht="18" customHeight="1">
      <c r="A128" s="41" t="str">
        <f t="shared" si="4"/>
        <v>888MYR</v>
      </c>
      <c r="B128" s="42" t="s">
        <v>158</v>
      </c>
      <c r="C128" s="42">
        <v>888</v>
      </c>
      <c r="D128" s="42">
        <v>20020</v>
      </c>
      <c r="E128" s="42" t="s">
        <v>28</v>
      </c>
      <c r="F128" s="42" t="s">
        <v>11</v>
      </c>
      <c r="G128" s="42" t="s">
        <v>28</v>
      </c>
      <c r="H128" s="42">
        <v>-263.63677250076501</v>
      </c>
      <c r="I128" s="42">
        <v>-59.61</v>
      </c>
    </row>
    <row r="129" spans="1:9" ht="18" customHeight="1">
      <c r="A129" s="41" t="str">
        <f t="shared" si="4"/>
        <v>888USD</v>
      </c>
      <c r="B129" s="42" t="s">
        <v>158</v>
      </c>
      <c r="C129" s="42">
        <v>888</v>
      </c>
      <c r="D129" s="42">
        <v>20020</v>
      </c>
      <c r="E129" s="42" t="s">
        <v>28</v>
      </c>
      <c r="F129" s="42" t="s">
        <v>11</v>
      </c>
      <c r="G129" s="42" t="s">
        <v>11</v>
      </c>
      <c r="H129" s="42">
        <v>60.416560907444001</v>
      </c>
      <c r="I129" s="42">
        <v>60.42</v>
      </c>
    </row>
    <row r="130" spans="1:9" ht="18" customHeight="1">
      <c r="A130" s="41" t="str">
        <f t="shared" si="4"/>
        <v>888USD</v>
      </c>
      <c r="B130" s="42" t="s">
        <v>159</v>
      </c>
      <c r="C130" s="42">
        <v>888</v>
      </c>
      <c r="D130" s="42">
        <v>20020</v>
      </c>
      <c r="E130" s="42" t="s">
        <v>11</v>
      </c>
      <c r="F130" s="42" t="s">
        <v>31</v>
      </c>
      <c r="G130" s="42" t="s">
        <v>11</v>
      </c>
      <c r="H130" s="42">
        <v>-10.767047314236001</v>
      </c>
      <c r="I130" s="42">
        <v>-10.77</v>
      </c>
    </row>
    <row r="131" spans="1:9" ht="18" customHeight="1">
      <c r="A131" s="41" t="str">
        <f t="shared" ref="A131:A194" si="5">CONCATENATE(C131,G131)</f>
        <v>888EUR</v>
      </c>
      <c r="B131" s="42" t="s">
        <v>159</v>
      </c>
      <c r="C131" s="42">
        <v>888</v>
      </c>
      <c r="D131" s="42">
        <v>20020</v>
      </c>
      <c r="E131" s="42" t="s">
        <v>11</v>
      </c>
      <c r="F131" s="42" t="s">
        <v>31</v>
      </c>
      <c r="G131" s="42" t="s">
        <v>31</v>
      </c>
      <c r="H131" s="42">
        <v>10.00684158</v>
      </c>
      <c r="I131" s="42">
        <v>10.79</v>
      </c>
    </row>
    <row r="132" spans="1:9" ht="18" customHeight="1">
      <c r="A132" s="41" t="str">
        <f t="shared" si="5"/>
        <v>888JPY</v>
      </c>
      <c r="B132" s="42" t="s">
        <v>160</v>
      </c>
      <c r="C132" s="42">
        <v>888</v>
      </c>
      <c r="D132" s="42">
        <v>20020</v>
      </c>
      <c r="E132" s="42" t="s">
        <v>10</v>
      </c>
      <c r="F132" s="42" t="s">
        <v>11</v>
      </c>
      <c r="G132" s="42" t="s">
        <v>10</v>
      </c>
      <c r="H132" s="42">
        <v>-762.99628131999998</v>
      </c>
      <c r="I132" s="42">
        <v>-6.87</v>
      </c>
    </row>
    <row r="133" spans="1:9" ht="18" customHeight="1">
      <c r="A133" s="41" t="str">
        <f t="shared" si="5"/>
        <v>888USD</v>
      </c>
      <c r="B133" s="42" t="s">
        <v>160</v>
      </c>
      <c r="C133" s="42">
        <v>888</v>
      </c>
      <c r="D133" s="42">
        <v>20020</v>
      </c>
      <c r="E133" s="42" t="s">
        <v>10</v>
      </c>
      <c r="F133" s="42" t="s">
        <v>11</v>
      </c>
      <c r="G133" s="42" t="s">
        <v>11</v>
      </c>
      <c r="H133" s="42">
        <v>6.8539714099999998</v>
      </c>
      <c r="I133" s="42">
        <v>6.85</v>
      </c>
    </row>
    <row r="134" spans="1:9" ht="18" customHeight="1">
      <c r="A134" s="41" t="str">
        <f t="shared" si="5"/>
        <v>888MYR</v>
      </c>
      <c r="B134" s="42" t="s">
        <v>161</v>
      </c>
      <c r="C134" s="42">
        <v>888</v>
      </c>
      <c r="D134" s="42">
        <v>20020</v>
      </c>
      <c r="E134" s="42" t="s">
        <v>28</v>
      </c>
      <c r="F134" s="42" t="s">
        <v>10</v>
      </c>
      <c r="G134" s="42" t="s">
        <v>28</v>
      </c>
      <c r="H134" s="42">
        <v>-23.727331783122001</v>
      </c>
      <c r="I134" s="42">
        <v>-5.37</v>
      </c>
    </row>
    <row r="135" spans="1:9" ht="18" customHeight="1">
      <c r="A135" s="41" t="str">
        <f t="shared" si="5"/>
        <v>888JPY</v>
      </c>
      <c r="B135" s="42" t="s">
        <v>161</v>
      </c>
      <c r="C135" s="42">
        <v>888</v>
      </c>
      <c r="D135" s="42">
        <v>20020</v>
      </c>
      <c r="E135" s="42" t="s">
        <v>28</v>
      </c>
      <c r="F135" s="42" t="s">
        <v>10</v>
      </c>
      <c r="G135" s="42" t="s">
        <v>10</v>
      </c>
      <c r="H135" s="42">
        <v>601.36507439192803</v>
      </c>
      <c r="I135" s="42">
        <v>5.41</v>
      </c>
    </row>
    <row r="136" spans="1:9" ht="18" customHeight="1">
      <c r="A136" s="41" t="str">
        <f t="shared" si="5"/>
        <v>888MYR</v>
      </c>
      <c r="B136" s="42" t="s">
        <v>162</v>
      </c>
      <c r="C136" s="42">
        <v>888</v>
      </c>
      <c r="D136" s="42">
        <v>20020</v>
      </c>
      <c r="E136" s="42" t="s">
        <v>28</v>
      </c>
      <c r="F136" s="42" t="s">
        <v>11</v>
      </c>
      <c r="G136" s="42" t="s">
        <v>28</v>
      </c>
      <c r="H136" s="42">
        <v>-6.0656319873650002</v>
      </c>
      <c r="I136" s="42">
        <v>-1.37</v>
      </c>
    </row>
    <row r="137" spans="1:9" ht="18" customHeight="1">
      <c r="A137" s="41" t="str">
        <f t="shared" si="5"/>
        <v>888USD</v>
      </c>
      <c r="B137" s="42" t="s">
        <v>162</v>
      </c>
      <c r="C137" s="42">
        <v>888</v>
      </c>
      <c r="D137" s="42">
        <v>20020</v>
      </c>
      <c r="E137" s="42" t="s">
        <v>28</v>
      </c>
      <c r="F137" s="42" t="s">
        <v>11</v>
      </c>
      <c r="G137" s="42" t="s">
        <v>11</v>
      </c>
      <c r="H137" s="42">
        <v>1.3839067768210001</v>
      </c>
      <c r="I137" s="42">
        <v>1.38</v>
      </c>
    </row>
    <row r="138" spans="1:9" ht="18" customHeight="1">
      <c r="A138" s="41" t="str">
        <f t="shared" si="5"/>
        <v>888MYR</v>
      </c>
      <c r="B138" s="42" t="s">
        <v>163</v>
      </c>
      <c r="C138" s="42">
        <v>888</v>
      </c>
      <c r="D138" s="42">
        <v>20020</v>
      </c>
      <c r="E138" s="42" t="s">
        <v>28</v>
      </c>
      <c r="F138" s="42" t="s">
        <v>11</v>
      </c>
      <c r="G138" s="42" t="s">
        <v>28</v>
      </c>
      <c r="H138" s="42">
        <v>-3.039708147767</v>
      </c>
      <c r="I138" s="42">
        <v>-0.69</v>
      </c>
    </row>
    <row r="139" spans="1:9" ht="18" customHeight="1">
      <c r="A139" s="41" t="str">
        <f t="shared" si="5"/>
        <v>888USD</v>
      </c>
      <c r="B139" s="42" t="s">
        <v>163</v>
      </c>
      <c r="C139" s="42">
        <v>888</v>
      </c>
      <c r="D139" s="42">
        <v>20020</v>
      </c>
      <c r="E139" s="42" t="s">
        <v>28</v>
      </c>
      <c r="F139" s="42" t="s">
        <v>11</v>
      </c>
      <c r="G139" s="42" t="s">
        <v>11</v>
      </c>
      <c r="H139" s="42">
        <v>0.69352583956900005</v>
      </c>
      <c r="I139" s="42">
        <v>0.69</v>
      </c>
    </row>
    <row r="140" spans="1:9" ht="18" customHeight="1">
      <c r="A140" s="41" t="str">
        <f t="shared" si="5"/>
        <v>888USD</v>
      </c>
      <c r="B140" s="42" t="s">
        <v>164</v>
      </c>
      <c r="C140" s="42">
        <v>888</v>
      </c>
      <c r="D140" s="42">
        <v>20020</v>
      </c>
      <c r="E140" s="42" t="s">
        <v>11</v>
      </c>
      <c r="F140" s="42" t="s">
        <v>28</v>
      </c>
      <c r="G140" s="42" t="s">
        <v>11</v>
      </c>
      <c r="H140" s="42">
        <v>-0.88810674999999994</v>
      </c>
      <c r="I140" s="42">
        <v>-0.89</v>
      </c>
    </row>
    <row r="141" spans="1:9" ht="18" customHeight="1">
      <c r="A141" s="41" t="str">
        <f t="shared" si="5"/>
        <v>888MYR</v>
      </c>
      <c r="B141" s="42" t="s">
        <v>164</v>
      </c>
      <c r="C141" s="42">
        <v>888</v>
      </c>
      <c r="D141" s="42">
        <v>20020</v>
      </c>
      <c r="E141" s="42" t="s">
        <v>11</v>
      </c>
      <c r="F141" s="42" t="s">
        <v>28</v>
      </c>
      <c r="G141" s="42" t="s">
        <v>28</v>
      </c>
      <c r="H141" s="42">
        <v>3.8740768320850001</v>
      </c>
      <c r="I141" s="42">
        <v>0.88</v>
      </c>
    </row>
    <row r="142" spans="1:9" ht="18" customHeight="1">
      <c r="A142" s="41" t="str">
        <f t="shared" si="5"/>
        <v>888USD</v>
      </c>
      <c r="B142" s="42" t="s">
        <v>165</v>
      </c>
      <c r="C142" s="42">
        <v>888</v>
      </c>
      <c r="D142" s="42">
        <v>20020</v>
      </c>
      <c r="E142" s="42" t="s">
        <v>11</v>
      </c>
      <c r="F142" s="42" t="s">
        <v>28</v>
      </c>
      <c r="G142" s="42" t="s">
        <v>11</v>
      </c>
      <c r="H142" s="42">
        <v>-2.6045076599999999</v>
      </c>
      <c r="I142" s="42">
        <v>-2.6</v>
      </c>
    </row>
    <row r="143" spans="1:9" ht="18" customHeight="1">
      <c r="A143" s="41" t="str">
        <f t="shared" si="5"/>
        <v>888MYR</v>
      </c>
      <c r="B143" s="42" t="s">
        <v>165</v>
      </c>
      <c r="C143" s="42">
        <v>888</v>
      </c>
      <c r="D143" s="42">
        <v>20020</v>
      </c>
      <c r="E143" s="42" t="s">
        <v>11</v>
      </c>
      <c r="F143" s="42" t="s">
        <v>28</v>
      </c>
      <c r="G143" s="42" t="s">
        <v>28</v>
      </c>
      <c r="H143" s="42">
        <v>11.317626047615001</v>
      </c>
      <c r="I143" s="42">
        <v>2.56</v>
      </c>
    </row>
    <row r="144" spans="1:9" ht="18" customHeight="1">
      <c r="A144" s="41" t="str">
        <f t="shared" si="5"/>
        <v>888USD</v>
      </c>
      <c r="B144" s="42" t="s">
        <v>166</v>
      </c>
      <c r="C144" s="42">
        <v>888</v>
      </c>
      <c r="D144" s="42">
        <v>20020</v>
      </c>
      <c r="E144" s="42" t="s">
        <v>11</v>
      </c>
      <c r="F144" s="42" t="s">
        <v>28</v>
      </c>
      <c r="G144" s="42" t="s">
        <v>11</v>
      </c>
      <c r="H144" s="42">
        <v>-5.0282823700000003</v>
      </c>
      <c r="I144" s="42">
        <v>-5.03</v>
      </c>
    </row>
    <row r="145" spans="1:9" ht="18" customHeight="1">
      <c r="A145" s="41" t="str">
        <f t="shared" si="5"/>
        <v>888MYR</v>
      </c>
      <c r="B145" s="42" t="s">
        <v>166</v>
      </c>
      <c r="C145" s="42">
        <v>888</v>
      </c>
      <c r="D145" s="42">
        <v>20020</v>
      </c>
      <c r="E145" s="42" t="s">
        <v>11</v>
      </c>
      <c r="F145" s="42" t="s">
        <v>28</v>
      </c>
      <c r="G145" s="42" t="s">
        <v>28</v>
      </c>
      <c r="H145" s="42">
        <v>21.724837491632002</v>
      </c>
      <c r="I145" s="42">
        <v>4.91</v>
      </c>
    </row>
    <row r="146" spans="1:9" ht="18" customHeight="1">
      <c r="A146" s="41" t="str">
        <f t="shared" si="5"/>
        <v>888USD</v>
      </c>
      <c r="B146" s="42" t="s">
        <v>167</v>
      </c>
      <c r="C146" s="42">
        <v>888</v>
      </c>
      <c r="D146" s="42">
        <v>20020</v>
      </c>
      <c r="E146" s="42" t="s">
        <v>11</v>
      </c>
      <c r="F146" s="42" t="s">
        <v>28</v>
      </c>
      <c r="G146" s="42" t="s">
        <v>11</v>
      </c>
      <c r="H146" s="42">
        <v>-6.6688724400000003</v>
      </c>
      <c r="I146" s="42">
        <v>-6.67</v>
      </c>
    </row>
    <row r="147" spans="1:9" ht="18" customHeight="1">
      <c r="A147" s="41" t="str">
        <f t="shared" si="5"/>
        <v>888MYR</v>
      </c>
      <c r="B147" s="42" t="s">
        <v>167</v>
      </c>
      <c r="C147" s="42">
        <v>888</v>
      </c>
      <c r="D147" s="42">
        <v>20020</v>
      </c>
      <c r="E147" s="42" t="s">
        <v>11</v>
      </c>
      <c r="F147" s="42" t="s">
        <v>28</v>
      </c>
      <c r="G147" s="42" t="s">
        <v>28</v>
      </c>
      <c r="H147" s="42">
        <v>28.806485022846001</v>
      </c>
      <c r="I147" s="42">
        <v>6.51</v>
      </c>
    </row>
    <row r="148" spans="1:9" ht="18" customHeight="1">
      <c r="A148" s="41" t="str">
        <f t="shared" si="5"/>
        <v>888USD</v>
      </c>
      <c r="B148" s="42" t="s">
        <v>168</v>
      </c>
      <c r="C148" s="42">
        <v>888</v>
      </c>
      <c r="D148" s="42">
        <v>20020</v>
      </c>
      <c r="E148" s="42" t="s">
        <v>11</v>
      </c>
      <c r="F148" s="42" t="s">
        <v>28</v>
      </c>
      <c r="G148" s="42" t="s">
        <v>11</v>
      </c>
      <c r="H148" s="42">
        <v>-8.35192041</v>
      </c>
      <c r="I148" s="42">
        <v>-8.35</v>
      </c>
    </row>
    <row r="149" spans="1:9" ht="18" customHeight="1">
      <c r="A149" s="41" t="str">
        <f t="shared" si="5"/>
        <v>888MYR</v>
      </c>
      <c r="B149" s="42" t="s">
        <v>168</v>
      </c>
      <c r="C149" s="42">
        <v>888</v>
      </c>
      <c r="D149" s="42">
        <v>20020</v>
      </c>
      <c r="E149" s="42" t="s">
        <v>11</v>
      </c>
      <c r="F149" s="42" t="s">
        <v>28</v>
      </c>
      <c r="G149" s="42" t="s">
        <v>28</v>
      </c>
      <c r="H149" s="42">
        <v>35.970524978976002</v>
      </c>
      <c r="I149" s="42">
        <v>8.1300000000000008</v>
      </c>
    </row>
    <row r="150" spans="1:9" ht="18" customHeight="1">
      <c r="A150" s="41" t="str">
        <f t="shared" si="5"/>
        <v>888USD</v>
      </c>
      <c r="B150" s="42" t="s">
        <v>169</v>
      </c>
      <c r="C150" s="42">
        <v>888</v>
      </c>
      <c r="D150" s="42">
        <v>20020</v>
      </c>
      <c r="E150" s="42" t="s">
        <v>11</v>
      </c>
      <c r="F150" s="42" t="s">
        <v>28</v>
      </c>
      <c r="G150" s="42" t="s">
        <v>11</v>
      </c>
      <c r="H150" s="42">
        <v>-10.020877820000001</v>
      </c>
      <c r="I150" s="42">
        <v>-10.02</v>
      </c>
    </row>
    <row r="151" spans="1:9" ht="18" customHeight="1">
      <c r="A151" s="41" t="str">
        <f t="shared" si="5"/>
        <v>888MYR</v>
      </c>
      <c r="B151" s="42" t="s">
        <v>169</v>
      </c>
      <c r="C151" s="42">
        <v>888</v>
      </c>
      <c r="D151" s="42">
        <v>20020</v>
      </c>
      <c r="E151" s="42" t="s">
        <v>11</v>
      </c>
      <c r="F151" s="42" t="s">
        <v>28</v>
      </c>
      <c r="G151" s="42" t="s">
        <v>28</v>
      </c>
      <c r="H151" s="42">
        <v>43.044813782802002</v>
      </c>
      <c r="I151" s="42">
        <v>9.73</v>
      </c>
    </row>
    <row r="152" spans="1:9" ht="18" customHeight="1">
      <c r="A152" s="41" t="str">
        <f t="shared" si="5"/>
        <v>888EUR</v>
      </c>
      <c r="B152" s="42" t="s">
        <v>170</v>
      </c>
      <c r="C152" s="42">
        <v>888</v>
      </c>
      <c r="D152" s="42">
        <v>20020</v>
      </c>
      <c r="E152" s="42" t="s">
        <v>31</v>
      </c>
      <c r="F152" s="42" t="s">
        <v>28</v>
      </c>
      <c r="G152" s="42" t="s">
        <v>31</v>
      </c>
      <c r="H152" s="42">
        <v>-1.66780693</v>
      </c>
      <c r="I152" s="42">
        <v>-1.8</v>
      </c>
    </row>
    <row r="153" spans="1:9" ht="18" customHeight="1">
      <c r="A153" s="41" t="str">
        <f t="shared" si="5"/>
        <v>888MYR</v>
      </c>
      <c r="B153" s="42" t="s">
        <v>170</v>
      </c>
      <c r="C153" s="42">
        <v>888</v>
      </c>
      <c r="D153" s="42">
        <v>20020</v>
      </c>
      <c r="E153" s="42" t="s">
        <v>31</v>
      </c>
      <c r="F153" s="42" t="s">
        <v>28</v>
      </c>
      <c r="G153" s="42" t="s">
        <v>28</v>
      </c>
      <c r="H153" s="42">
        <v>7.8246268004279997</v>
      </c>
      <c r="I153" s="42">
        <v>1.77</v>
      </c>
    </row>
    <row r="154" spans="1:9" ht="18" customHeight="1">
      <c r="A154" s="41" t="str">
        <f t="shared" si="5"/>
        <v>888EUR</v>
      </c>
      <c r="B154" s="42" t="s">
        <v>171</v>
      </c>
      <c r="C154" s="42">
        <v>888</v>
      </c>
      <c r="D154" s="42">
        <v>20020</v>
      </c>
      <c r="E154" s="42" t="s">
        <v>31</v>
      </c>
      <c r="F154" s="42" t="s">
        <v>28</v>
      </c>
      <c r="G154" s="42" t="s">
        <v>31</v>
      </c>
      <c r="H154" s="42">
        <v>-3.44909277</v>
      </c>
      <c r="I154" s="42">
        <v>-3.72</v>
      </c>
    </row>
    <row r="155" spans="1:9" ht="18" customHeight="1">
      <c r="A155" s="41" t="str">
        <f t="shared" si="5"/>
        <v>888MYR</v>
      </c>
      <c r="B155" s="42" t="s">
        <v>171</v>
      </c>
      <c r="C155" s="42">
        <v>888</v>
      </c>
      <c r="D155" s="42">
        <v>20020</v>
      </c>
      <c r="E155" s="42" t="s">
        <v>31</v>
      </c>
      <c r="F155" s="42" t="s">
        <v>28</v>
      </c>
      <c r="G155" s="42" t="s">
        <v>28</v>
      </c>
      <c r="H155" s="42">
        <v>16.075245537573</v>
      </c>
      <c r="I155" s="42">
        <v>3.63</v>
      </c>
    </row>
    <row r="156" spans="1:9" ht="18" customHeight="1">
      <c r="A156" s="41" t="str">
        <f t="shared" si="5"/>
        <v>888EUR</v>
      </c>
      <c r="B156" s="42" t="s">
        <v>172</v>
      </c>
      <c r="C156" s="42">
        <v>888</v>
      </c>
      <c r="D156" s="42">
        <v>20020</v>
      </c>
      <c r="E156" s="42" t="s">
        <v>31</v>
      </c>
      <c r="F156" s="42" t="s">
        <v>28</v>
      </c>
      <c r="G156" s="42" t="s">
        <v>31</v>
      </c>
      <c r="H156" s="42">
        <v>-5.0650853199999997</v>
      </c>
      <c r="I156" s="42">
        <v>-5.46</v>
      </c>
    </row>
    <row r="157" spans="1:9" ht="18" customHeight="1">
      <c r="A157" s="41" t="str">
        <f t="shared" si="5"/>
        <v>888MYR</v>
      </c>
      <c r="B157" s="42" t="s">
        <v>172</v>
      </c>
      <c r="C157" s="42">
        <v>888</v>
      </c>
      <c r="D157" s="42">
        <v>20020</v>
      </c>
      <c r="E157" s="42" t="s">
        <v>31</v>
      </c>
      <c r="F157" s="42" t="s">
        <v>28</v>
      </c>
      <c r="G157" s="42" t="s">
        <v>28</v>
      </c>
      <c r="H157" s="42">
        <v>23.458470796463999</v>
      </c>
      <c r="I157" s="42">
        <v>5.3</v>
      </c>
    </row>
    <row r="158" spans="1:9" ht="18" customHeight="1">
      <c r="A158" s="41" t="str">
        <f t="shared" si="5"/>
        <v>888EUR</v>
      </c>
      <c r="B158" s="42" t="s">
        <v>173</v>
      </c>
      <c r="C158" s="42">
        <v>888</v>
      </c>
      <c r="D158" s="42">
        <v>20020</v>
      </c>
      <c r="E158" s="42" t="s">
        <v>31</v>
      </c>
      <c r="F158" s="42" t="s">
        <v>28</v>
      </c>
      <c r="G158" s="42" t="s">
        <v>31</v>
      </c>
      <c r="H158" s="42">
        <v>-6.7378830199999999</v>
      </c>
      <c r="I158" s="42">
        <v>-7.27</v>
      </c>
    </row>
    <row r="159" spans="1:9" ht="18" customHeight="1">
      <c r="A159" s="41" t="str">
        <f t="shared" si="5"/>
        <v>888MYR</v>
      </c>
      <c r="B159" s="42" t="s">
        <v>173</v>
      </c>
      <c r="C159" s="42">
        <v>888</v>
      </c>
      <c r="D159" s="42">
        <v>20020</v>
      </c>
      <c r="E159" s="42" t="s">
        <v>31</v>
      </c>
      <c r="F159" s="42" t="s">
        <v>28</v>
      </c>
      <c r="G159" s="42" t="s">
        <v>28</v>
      </c>
      <c r="H159" s="42">
        <v>31.241054973474</v>
      </c>
      <c r="I159" s="42">
        <v>7.06</v>
      </c>
    </row>
    <row r="160" spans="1:9" ht="18" customHeight="1">
      <c r="A160" s="41" t="str">
        <f t="shared" si="5"/>
        <v>888EUR</v>
      </c>
      <c r="B160" s="42" t="s">
        <v>174</v>
      </c>
      <c r="C160" s="42">
        <v>888</v>
      </c>
      <c r="D160" s="42">
        <v>20020</v>
      </c>
      <c r="E160" s="42" t="s">
        <v>31</v>
      </c>
      <c r="F160" s="42" t="s">
        <v>28</v>
      </c>
      <c r="G160" s="42" t="s">
        <v>31</v>
      </c>
      <c r="H160" s="42">
        <v>-8.4672006100000008</v>
      </c>
      <c r="I160" s="42">
        <v>-9.1300000000000008</v>
      </c>
    </row>
    <row r="161" spans="1:9" ht="18" customHeight="1">
      <c r="A161" s="41" t="str">
        <f t="shared" si="5"/>
        <v>888MYR</v>
      </c>
      <c r="B161" s="42" t="s">
        <v>174</v>
      </c>
      <c r="C161" s="42">
        <v>888</v>
      </c>
      <c r="D161" s="42">
        <v>20020</v>
      </c>
      <c r="E161" s="42" t="s">
        <v>31</v>
      </c>
      <c r="F161" s="42" t="s">
        <v>28</v>
      </c>
      <c r="G161" s="42" t="s">
        <v>28</v>
      </c>
      <c r="H161" s="42">
        <v>39.010561246944</v>
      </c>
      <c r="I161" s="42">
        <v>8.82</v>
      </c>
    </row>
    <row r="162" spans="1:9" ht="18" customHeight="1">
      <c r="A162" s="41" t="str">
        <f t="shared" si="5"/>
        <v>888EUR</v>
      </c>
      <c r="B162" s="42" t="s">
        <v>175</v>
      </c>
      <c r="C162" s="42">
        <v>888</v>
      </c>
      <c r="D162" s="42">
        <v>20020</v>
      </c>
      <c r="E162" s="42" t="s">
        <v>31</v>
      </c>
      <c r="F162" s="42" t="s">
        <v>28</v>
      </c>
      <c r="G162" s="42" t="s">
        <v>31</v>
      </c>
      <c r="H162" s="42">
        <v>-10.19681727</v>
      </c>
      <c r="I162" s="42">
        <v>-11</v>
      </c>
    </row>
    <row r="163" spans="1:9" ht="18" customHeight="1">
      <c r="A163" s="41" t="str">
        <f t="shared" si="5"/>
        <v>888MYR</v>
      </c>
      <c r="B163" s="42" t="s">
        <v>175</v>
      </c>
      <c r="C163" s="42">
        <v>888</v>
      </c>
      <c r="D163" s="42">
        <v>20020</v>
      </c>
      <c r="E163" s="42" t="s">
        <v>31</v>
      </c>
      <c r="F163" s="42" t="s">
        <v>28</v>
      </c>
      <c r="G163" s="42" t="s">
        <v>28</v>
      </c>
      <c r="H163" s="42">
        <v>46.682731081038</v>
      </c>
      <c r="I163" s="42">
        <v>10.56</v>
      </c>
    </row>
    <row r="164" spans="1:9" ht="18" customHeight="1">
      <c r="A164" s="41" t="str">
        <f t="shared" si="5"/>
        <v>888EUR</v>
      </c>
      <c r="B164" s="42" t="s">
        <v>176</v>
      </c>
      <c r="C164" s="42">
        <v>888</v>
      </c>
      <c r="D164" s="42">
        <v>20020</v>
      </c>
      <c r="E164" s="42" t="s">
        <v>31</v>
      </c>
      <c r="F164" s="42" t="s">
        <v>28</v>
      </c>
      <c r="G164" s="42" t="s">
        <v>31</v>
      </c>
      <c r="H164" s="42">
        <v>-2.0847586625000001</v>
      </c>
      <c r="I164" s="42">
        <v>-2.25</v>
      </c>
    </row>
    <row r="165" spans="1:9" ht="18" customHeight="1">
      <c r="A165" s="41" t="str">
        <f t="shared" si="5"/>
        <v>888MYR</v>
      </c>
      <c r="B165" s="42" t="s">
        <v>176</v>
      </c>
      <c r="C165" s="42">
        <v>888</v>
      </c>
      <c r="D165" s="42">
        <v>20020</v>
      </c>
      <c r="E165" s="42" t="s">
        <v>31</v>
      </c>
      <c r="F165" s="42" t="s">
        <v>28</v>
      </c>
      <c r="G165" s="42" t="s">
        <v>28</v>
      </c>
      <c r="H165" s="42">
        <v>9.7762863066249999</v>
      </c>
      <c r="I165" s="42">
        <v>2.21</v>
      </c>
    </row>
    <row r="166" spans="1:9" ht="18" customHeight="1">
      <c r="A166" s="41" t="str">
        <f t="shared" si="5"/>
        <v>888EUR</v>
      </c>
      <c r="B166" s="42" t="s">
        <v>177</v>
      </c>
      <c r="C166" s="42">
        <v>888</v>
      </c>
      <c r="D166" s="42">
        <v>20020</v>
      </c>
      <c r="E166" s="42" t="s">
        <v>31</v>
      </c>
      <c r="F166" s="42" t="s">
        <v>28</v>
      </c>
      <c r="G166" s="42" t="s">
        <v>31</v>
      </c>
      <c r="H166" s="42">
        <v>-1.66780693</v>
      </c>
      <c r="I166" s="42">
        <v>-1.8</v>
      </c>
    </row>
    <row r="167" spans="1:9" ht="18" customHeight="1">
      <c r="A167" s="41" t="str">
        <f t="shared" si="5"/>
        <v>888MYR</v>
      </c>
      <c r="B167" s="42" t="s">
        <v>177</v>
      </c>
      <c r="C167" s="42">
        <v>888</v>
      </c>
      <c r="D167" s="42">
        <v>20020</v>
      </c>
      <c r="E167" s="42" t="s">
        <v>31</v>
      </c>
      <c r="F167" s="42" t="s">
        <v>28</v>
      </c>
      <c r="G167" s="42" t="s">
        <v>28</v>
      </c>
      <c r="H167" s="42">
        <v>7.8210290453000004</v>
      </c>
      <c r="I167" s="42">
        <v>1.77</v>
      </c>
    </row>
    <row r="168" spans="1:9" ht="18" customHeight="1">
      <c r="A168" s="41" t="str">
        <f t="shared" si="5"/>
        <v>888EUR</v>
      </c>
      <c r="B168" s="42" t="s">
        <v>178</v>
      </c>
      <c r="C168" s="42">
        <v>888</v>
      </c>
      <c r="D168" s="42">
        <v>20020</v>
      </c>
      <c r="E168" s="42" t="s">
        <v>31</v>
      </c>
      <c r="F168" s="42" t="s">
        <v>28</v>
      </c>
      <c r="G168" s="42" t="s">
        <v>31</v>
      </c>
      <c r="H168" s="42">
        <v>-3.33561386</v>
      </c>
      <c r="I168" s="42">
        <v>-3.6</v>
      </c>
    </row>
    <row r="169" spans="1:9" ht="18" customHeight="1">
      <c r="A169" s="41" t="str">
        <f t="shared" si="5"/>
        <v>888MYR</v>
      </c>
      <c r="B169" s="42" t="s">
        <v>178</v>
      </c>
      <c r="C169" s="42">
        <v>888</v>
      </c>
      <c r="D169" s="42">
        <v>20020</v>
      </c>
      <c r="E169" s="42" t="s">
        <v>31</v>
      </c>
      <c r="F169" s="42" t="s">
        <v>28</v>
      </c>
      <c r="G169" s="42" t="s">
        <v>28</v>
      </c>
      <c r="H169" s="42">
        <v>15.642058090600001</v>
      </c>
      <c r="I169" s="42">
        <v>3.54</v>
      </c>
    </row>
    <row r="170" spans="1:9" ht="18" customHeight="1">
      <c r="A170" s="41" t="str">
        <f t="shared" si="5"/>
        <v>888MYR</v>
      </c>
      <c r="B170" s="42" t="s">
        <v>179</v>
      </c>
      <c r="C170" s="42">
        <v>888</v>
      </c>
      <c r="D170" s="42">
        <v>20020</v>
      </c>
      <c r="E170" s="42" t="s">
        <v>28</v>
      </c>
      <c r="F170" s="42" t="s">
        <v>11</v>
      </c>
      <c r="G170" s="42" t="s">
        <v>28</v>
      </c>
      <c r="H170" s="42">
        <v>-12.329502735297</v>
      </c>
      <c r="I170" s="42">
        <v>-2.79</v>
      </c>
    </row>
    <row r="171" spans="1:9" ht="18" customHeight="1">
      <c r="A171" s="41" t="str">
        <f t="shared" si="5"/>
        <v>888USD</v>
      </c>
      <c r="B171" s="42" t="s">
        <v>179</v>
      </c>
      <c r="C171" s="42">
        <v>888</v>
      </c>
      <c r="D171" s="42">
        <v>20020</v>
      </c>
      <c r="E171" s="42" t="s">
        <v>28</v>
      </c>
      <c r="F171" s="42" t="s">
        <v>11</v>
      </c>
      <c r="G171" s="42" t="s">
        <v>11</v>
      </c>
      <c r="H171" s="42">
        <v>2.823298615953</v>
      </c>
      <c r="I171" s="42">
        <v>2.82</v>
      </c>
    </row>
    <row r="172" spans="1:9" ht="18" customHeight="1">
      <c r="A172" s="41" t="str">
        <f t="shared" si="5"/>
        <v>888MYR</v>
      </c>
      <c r="B172" s="42" t="s">
        <v>180</v>
      </c>
      <c r="C172" s="42">
        <v>888</v>
      </c>
      <c r="D172" s="42">
        <v>20020</v>
      </c>
      <c r="E172" s="42" t="s">
        <v>28</v>
      </c>
      <c r="F172" s="42" t="s">
        <v>11</v>
      </c>
      <c r="G172" s="42" t="s">
        <v>28</v>
      </c>
      <c r="H172" s="42">
        <v>-5.0899232496659996</v>
      </c>
      <c r="I172" s="42">
        <v>-1.1499999999999999</v>
      </c>
    </row>
    <row r="173" spans="1:9" ht="18" customHeight="1">
      <c r="A173" s="41" t="str">
        <f t="shared" si="5"/>
        <v>888USD</v>
      </c>
      <c r="B173" s="42" t="s">
        <v>180</v>
      </c>
      <c r="C173" s="42">
        <v>888</v>
      </c>
      <c r="D173" s="42">
        <v>20020</v>
      </c>
      <c r="E173" s="42" t="s">
        <v>28</v>
      </c>
      <c r="F173" s="42" t="s">
        <v>11</v>
      </c>
      <c r="G173" s="42" t="s">
        <v>11</v>
      </c>
      <c r="H173" s="42">
        <v>1.1655274222650001</v>
      </c>
      <c r="I173" s="42">
        <v>1.17</v>
      </c>
    </row>
    <row r="174" spans="1:9" ht="18" customHeight="1">
      <c r="A174" s="41" t="str">
        <f t="shared" si="5"/>
        <v>888MYR</v>
      </c>
      <c r="B174" s="42" t="s">
        <v>181</v>
      </c>
      <c r="C174" s="42">
        <v>888</v>
      </c>
      <c r="D174" s="42">
        <v>20020</v>
      </c>
      <c r="E174" s="42" t="s">
        <v>28</v>
      </c>
      <c r="F174" s="42" t="s">
        <v>11</v>
      </c>
      <c r="G174" s="42" t="s">
        <v>28</v>
      </c>
      <c r="H174" s="42">
        <v>-4.6361212242669998</v>
      </c>
      <c r="I174" s="42">
        <v>-1.05</v>
      </c>
    </row>
    <row r="175" spans="1:9" ht="18" customHeight="1">
      <c r="A175" s="41" t="str">
        <f t="shared" si="5"/>
        <v>888USD</v>
      </c>
      <c r="B175" s="42" t="s">
        <v>181</v>
      </c>
      <c r="C175" s="42">
        <v>888</v>
      </c>
      <c r="D175" s="42">
        <v>20020</v>
      </c>
      <c r="E175" s="42" t="s">
        <v>28</v>
      </c>
      <c r="F175" s="42" t="s">
        <v>11</v>
      </c>
      <c r="G175" s="42" t="s">
        <v>11</v>
      </c>
      <c r="H175" s="42">
        <v>1.06161252824</v>
      </c>
      <c r="I175" s="42">
        <v>1.06</v>
      </c>
    </row>
    <row r="176" spans="1:9" ht="18" customHeight="1">
      <c r="A176" s="41" t="str">
        <f t="shared" si="5"/>
        <v>888MYR</v>
      </c>
      <c r="B176" s="42" t="s">
        <v>182</v>
      </c>
      <c r="C176" s="42">
        <v>888</v>
      </c>
      <c r="D176" s="42">
        <v>20020</v>
      </c>
      <c r="E176" s="42" t="s">
        <v>28</v>
      </c>
      <c r="F176" s="42" t="s">
        <v>11</v>
      </c>
      <c r="G176" s="42" t="s">
        <v>28</v>
      </c>
      <c r="H176" s="42">
        <v>-0.56156623888500001</v>
      </c>
      <c r="I176" s="42">
        <v>-0.13</v>
      </c>
    </row>
    <row r="177" spans="1:9" ht="18" customHeight="1">
      <c r="A177" s="41" t="str">
        <f t="shared" si="5"/>
        <v>888USD</v>
      </c>
      <c r="B177" s="42" t="s">
        <v>182</v>
      </c>
      <c r="C177" s="42">
        <v>888</v>
      </c>
      <c r="D177" s="42">
        <v>20020</v>
      </c>
      <c r="E177" s="42" t="s">
        <v>28</v>
      </c>
      <c r="F177" s="42" t="s">
        <v>11</v>
      </c>
      <c r="G177" s="42" t="s">
        <v>11</v>
      </c>
      <c r="H177" s="42">
        <v>0.12859156141399999</v>
      </c>
      <c r="I177" s="42">
        <v>0.13</v>
      </c>
    </row>
    <row r="178" spans="1:9" ht="18" customHeight="1">
      <c r="A178" s="41" t="str">
        <f t="shared" si="5"/>
        <v>888MYR</v>
      </c>
      <c r="B178" s="42" t="s">
        <v>183</v>
      </c>
      <c r="C178" s="42">
        <v>888</v>
      </c>
      <c r="D178" s="42">
        <v>20020</v>
      </c>
      <c r="E178" s="42" t="s">
        <v>28</v>
      </c>
      <c r="F178" s="42" t="s">
        <v>11</v>
      </c>
      <c r="G178" s="42" t="s">
        <v>28</v>
      </c>
      <c r="H178" s="42">
        <v>-85.918778513339007</v>
      </c>
      <c r="I178" s="42">
        <v>-19.43</v>
      </c>
    </row>
    <row r="179" spans="1:9" ht="18" customHeight="1">
      <c r="A179" s="41" t="str">
        <f t="shared" si="5"/>
        <v>888USD</v>
      </c>
      <c r="B179" s="42" t="s">
        <v>183</v>
      </c>
      <c r="C179" s="42">
        <v>888</v>
      </c>
      <c r="D179" s="42">
        <v>20020</v>
      </c>
      <c r="E179" s="42" t="s">
        <v>28</v>
      </c>
      <c r="F179" s="42" t="s">
        <v>11</v>
      </c>
      <c r="G179" s="42" t="s">
        <v>11</v>
      </c>
      <c r="H179" s="42">
        <v>19.785986756393999</v>
      </c>
      <c r="I179" s="42">
        <v>19.79</v>
      </c>
    </row>
    <row r="180" spans="1:9" ht="18" customHeight="1">
      <c r="A180" s="41" t="str">
        <f t="shared" si="5"/>
        <v>888MYR</v>
      </c>
      <c r="B180" s="42" t="s">
        <v>184</v>
      </c>
      <c r="C180" s="42">
        <v>888</v>
      </c>
      <c r="D180" s="42">
        <v>20020</v>
      </c>
      <c r="E180" s="42" t="s">
        <v>28</v>
      </c>
      <c r="F180" s="42" t="s">
        <v>11</v>
      </c>
      <c r="G180" s="42" t="s">
        <v>28</v>
      </c>
      <c r="H180" s="42">
        <v>-7.6248233390699998</v>
      </c>
      <c r="I180" s="42">
        <v>-1.72</v>
      </c>
    </row>
    <row r="181" spans="1:9" ht="18" customHeight="1">
      <c r="A181" s="41" t="str">
        <f t="shared" si="5"/>
        <v>888USD</v>
      </c>
      <c r="B181" s="42" t="s">
        <v>184</v>
      </c>
      <c r="C181" s="42">
        <v>888</v>
      </c>
      <c r="D181" s="42">
        <v>20020</v>
      </c>
      <c r="E181" s="42" t="s">
        <v>28</v>
      </c>
      <c r="F181" s="42" t="s">
        <v>11</v>
      </c>
      <c r="G181" s="42" t="s">
        <v>11</v>
      </c>
      <c r="H181" s="42">
        <v>1.7498054700000001</v>
      </c>
      <c r="I181" s="42">
        <v>1.75</v>
      </c>
    </row>
    <row r="182" spans="1:9" ht="18" customHeight="1">
      <c r="A182" s="41" t="str">
        <f t="shared" si="5"/>
        <v>888USD</v>
      </c>
      <c r="B182" s="42" t="s">
        <v>185</v>
      </c>
      <c r="C182" s="42">
        <v>888</v>
      </c>
      <c r="D182" s="42">
        <v>20020</v>
      </c>
      <c r="E182" s="42" t="s">
        <v>11</v>
      </c>
      <c r="F182" s="42" t="s">
        <v>28</v>
      </c>
      <c r="G182" s="42" t="s">
        <v>11</v>
      </c>
      <c r="H182" s="42">
        <v>-1.88867892</v>
      </c>
      <c r="I182" s="42">
        <v>-1.89</v>
      </c>
    </row>
    <row r="183" spans="1:9" ht="18" customHeight="1">
      <c r="A183" s="41" t="str">
        <f t="shared" si="5"/>
        <v>888MYR</v>
      </c>
      <c r="B183" s="42" t="s">
        <v>185</v>
      </c>
      <c r="C183" s="42">
        <v>888</v>
      </c>
      <c r="D183" s="42">
        <v>20020</v>
      </c>
      <c r="E183" s="42" t="s">
        <v>11</v>
      </c>
      <c r="F183" s="42" t="s">
        <v>28</v>
      </c>
      <c r="G183" s="42" t="s">
        <v>28</v>
      </c>
      <c r="H183" s="42">
        <v>8.2187936180399994</v>
      </c>
      <c r="I183" s="42">
        <v>1.86</v>
      </c>
    </row>
    <row r="184" spans="1:9" ht="18" customHeight="1">
      <c r="A184" s="41" t="str">
        <f t="shared" si="5"/>
        <v>888MYR</v>
      </c>
      <c r="B184" s="42" t="s">
        <v>186</v>
      </c>
      <c r="C184" s="42">
        <v>888</v>
      </c>
      <c r="D184" s="42">
        <v>20020</v>
      </c>
      <c r="E184" s="42" t="s">
        <v>28</v>
      </c>
      <c r="F184" s="42" t="s">
        <v>11</v>
      </c>
      <c r="G184" s="42" t="s">
        <v>28</v>
      </c>
      <c r="H184" s="42">
        <v>-100.365905622052</v>
      </c>
      <c r="I184" s="42">
        <v>-22.69</v>
      </c>
    </row>
    <row r="185" spans="1:9" ht="18" customHeight="1">
      <c r="A185" s="41" t="str">
        <f t="shared" si="5"/>
        <v>888USD</v>
      </c>
      <c r="B185" s="42" t="s">
        <v>186</v>
      </c>
      <c r="C185" s="42">
        <v>888</v>
      </c>
      <c r="D185" s="42">
        <v>20020</v>
      </c>
      <c r="E185" s="42" t="s">
        <v>28</v>
      </c>
      <c r="F185" s="42" t="s">
        <v>11</v>
      </c>
      <c r="G185" s="42" t="s">
        <v>11</v>
      </c>
      <c r="H185" s="42">
        <v>23.160342402722002</v>
      </c>
      <c r="I185" s="42">
        <v>23.16</v>
      </c>
    </row>
    <row r="186" spans="1:9" ht="18" customHeight="1">
      <c r="A186" s="41" t="str">
        <f t="shared" si="5"/>
        <v>888USD</v>
      </c>
      <c r="B186" s="42" t="s">
        <v>187</v>
      </c>
      <c r="C186" s="42">
        <v>888</v>
      </c>
      <c r="D186" s="42">
        <v>20020</v>
      </c>
      <c r="E186" s="42" t="s">
        <v>11</v>
      </c>
      <c r="F186" s="42" t="s">
        <v>28</v>
      </c>
      <c r="G186" s="42" t="s">
        <v>11</v>
      </c>
      <c r="H186" s="42">
        <v>-7.7849221509179998</v>
      </c>
      <c r="I186" s="42">
        <v>-7.78</v>
      </c>
    </row>
    <row r="187" spans="1:9" ht="18" customHeight="1">
      <c r="A187" s="41" t="str">
        <f t="shared" si="5"/>
        <v>888MYR</v>
      </c>
      <c r="B187" s="42" t="s">
        <v>187</v>
      </c>
      <c r="C187" s="42">
        <v>888</v>
      </c>
      <c r="D187" s="42">
        <v>20020</v>
      </c>
      <c r="E187" s="42" t="s">
        <v>11</v>
      </c>
      <c r="F187" s="42" t="s">
        <v>28</v>
      </c>
      <c r="G187" s="42" t="s">
        <v>28</v>
      </c>
      <c r="H187" s="42">
        <v>33.348317592548</v>
      </c>
      <c r="I187" s="42">
        <v>7.54</v>
      </c>
    </row>
    <row r="188" spans="1:9" ht="18" customHeight="1">
      <c r="A188" s="41" t="str">
        <f t="shared" si="5"/>
        <v>888MYR</v>
      </c>
      <c r="B188" s="42" t="s">
        <v>188</v>
      </c>
      <c r="C188" s="42">
        <v>888</v>
      </c>
      <c r="D188" s="42">
        <v>20030</v>
      </c>
      <c r="E188" s="42" t="s">
        <v>28</v>
      </c>
      <c r="F188" s="42" t="s">
        <v>11</v>
      </c>
      <c r="G188" s="42" t="s">
        <v>28</v>
      </c>
      <c r="H188" s="42">
        <v>-120.96658272000001</v>
      </c>
      <c r="I188" s="42">
        <v>-27.35</v>
      </c>
    </row>
    <row r="189" spans="1:9" ht="18" customHeight="1">
      <c r="A189" s="41" t="str">
        <f t="shared" si="5"/>
        <v>888USD</v>
      </c>
      <c r="B189" s="42" t="s">
        <v>188</v>
      </c>
      <c r="C189" s="42">
        <v>888</v>
      </c>
      <c r="D189" s="42">
        <v>20030</v>
      </c>
      <c r="E189" s="42" t="s">
        <v>28</v>
      </c>
      <c r="F189" s="42" t="s">
        <v>11</v>
      </c>
      <c r="G189" s="42" t="s">
        <v>11</v>
      </c>
      <c r="H189" s="42">
        <v>27.776235</v>
      </c>
      <c r="I189" s="42">
        <v>27.78</v>
      </c>
    </row>
    <row r="190" spans="1:9" ht="18" customHeight="1">
      <c r="A190" s="41" t="str">
        <f t="shared" si="5"/>
        <v>888USD</v>
      </c>
      <c r="B190" s="42" t="s">
        <v>189</v>
      </c>
      <c r="C190" s="42">
        <v>888</v>
      </c>
      <c r="D190" s="42">
        <v>20030</v>
      </c>
      <c r="E190" s="42" t="s">
        <v>11</v>
      </c>
      <c r="F190" s="42" t="s">
        <v>28</v>
      </c>
      <c r="G190" s="42" t="s">
        <v>11</v>
      </c>
      <c r="H190" s="42">
        <v>-831.98473999999999</v>
      </c>
      <c r="I190" s="42">
        <v>-831.98</v>
      </c>
    </row>
    <row r="191" spans="1:9" ht="18" customHeight="1">
      <c r="A191" s="41" t="str">
        <f t="shared" si="5"/>
        <v>888MYR</v>
      </c>
      <c r="B191" s="42" t="s">
        <v>189</v>
      </c>
      <c r="C191" s="42">
        <v>888</v>
      </c>
      <c r="D191" s="42">
        <v>20030</v>
      </c>
      <c r="E191" s="42" t="s">
        <v>11</v>
      </c>
      <c r="F191" s="42" t="s">
        <v>28</v>
      </c>
      <c r="G191" s="42" t="s">
        <v>28</v>
      </c>
      <c r="H191" s="42">
        <v>3615.3350678299998</v>
      </c>
      <c r="I191" s="42">
        <v>817.49</v>
      </c>
    </row>
    <row r="192" spans="1:9" ht="18" customHeight="1">
      <c r="A192" s="41" t="str">
        <f t="shared" si="5"/>
        <v>888MYR</v>
      </c>
      <c r="B192" s="42" t="s">
        <v>190</v>
      </c>
      <c r="C192" s="42">
        <v>888</v>
      </c>
      <c r="D192" s="42">
        <v>20020</v>
      </c>
      <c r="E192" s="42" t="s">
        <v>28</v>
      </c>
      <c r="F192" s="42" t="s">
        <v>11</v>
      </c>
      <c r="G192" s="42" t="s">
        <v>28</v>
      </c>
      <c r="H192" s="42">
        <v>-59.478059199668003</v>
      </c>
      <c r="I192" s="42">
        <v>-13.45</v>
      </c>
    </row>
    <row r="193" spans="1:9" ht="18" customHeight="1">
      <c r="A193" s="41" t="str">
        <f t="shared" si="5"/>
        <v>888USD</v>
      </c>
      <c r="B193" s="42" t="s">
        <v>190</v>
      </c>
      <c r="C193" s="42">
        <v>888</v>
      </c>
      <c r="D193" s="42">
        <v>20020</v>
      </c>
      <c r="E193" s="42" t="s">
        <v>28</v>
      </c>
      <c r="F193" s="42" t="s">
        <v>11</v>
      </c>
      <c r="G193" s="42" t="s">
        <v>11</v>
      </c>
      <c r="H193" s="42">
        <v>13.680847899089001</v>
      </c>
      <c r="I193" s="42">
        <v>13.68</v>
      </c>
    </row>
    <row r="194" spans="1:9" ht="18" customHeight="1">
      <c r="A194" s="41" t="str">
        <f t="shared" si="5"/>
        <v>888USD</v>
      </c>
      <c r="B194" s="42" t="s">
        <v>191</v>
      </c>
      <c r="C194" s="42">
        <v>888</v>
      </c>
      <c r="D194" s="42">
        <v>20010</v>
      </c>
      <c r="E194" s="42" t="s">
        <v>11</v>
      </c>
      <c r="F194" s="42" t="s">
        <v>28</v>
      </c>
      <c r="G194" s="42" t="s">
        <v>11</v>
      </c>
      <c r="H194" s="42">
        <v>-0.83328705000000003</v>
      </c>
      <c r="I194" s="42">
        <v>-0.83</v>
      </c>
    </row>
    <row r="195" spans="1:9" ht="18" customHeight="1">
      <c r="A195" s="41" t="str">
        <f t="shared" ref="A195:A258" si="6">CONCATENATE(C195,G195)</f>
        <v>888MYR</v>
      </c>
      <c r="B195" s="42" t="s">
        <v>191</v>
      </c>
      <c r="C195" s="42">
        <v>888</v>
      </c>
      <c r="D195" s="42">
        <v>20010</v>
      </c>
      <c r="E195" s="42" t="s">
        <v>11</v>
      </c>
      <c r="F195" s="42" t="s">
        <v>28</v>
      </c>
      <c r="G195" s="42" t="s">
        <v>28</v>
      </c>
      <c r="H195" s="42">
        <v>3.6314628331500001</v>
      </c>
      <c r="I195" s="42">
        <v>0.82</v>
      </c>
    </row>
    <row r="196" spans="1:9" ht="18" customHeight="1">
      <c r="A196" s="41" t="str">
        <f t="shared" si="6"/>
        <v>888MYR</v>
      </c>
      <c r="B196" s="42" t="s">
        <v>192</v>
      </c>
      <c r="C196" s="42">
        <v>888</v>
      </c>
      <c r="D196" s="42">
        <v>20020</v>
      </c>
      <c r="E196" s="42" t="s">
        <v>28</v>
      </c>
      <c r="F196" s="42" t="s">
        <v>10</v>
      </c>
      <c r="G196" s="42" t="s">
        <v>28</v>
      </c>
      <c r="H196" s="42">
        <v>-4.0579309036759996</v>
      </c>
      <c r="I196" s="42">
        <v>-0.92</v>
      </c>
    </row>
    <row r="197" spans="1:9" ht="18" customHeight="1">
      <c r="A197" s="41" t="str">
        <f t="shared" si="6"/>
        <v>888JPY</v>
      </c>
      <c r="B197" s="42" t="s">
        <v>192</v>
      </c>
      <c r="C197" s="42">
        <v>888</v>
      </c>
      <c r="D197" s="42">
        <v>20020</v>
      </c>
      <c r="E197" s="42" t="s">
        <v>28</v>
      </c>
      <c r="F197" s="42" t="s">
        <v>10</v>
      </c>
      <c r="G197" s="42" t="s">
        <v>10</v>
      </c>
      <c r="H197" s="42">
        <v>102.783861418566</v>
      </c>
      <c r="I197" s="42">
        <v>0.93</v>
      </c>
    </row>
    <row r="198" spans="1:9" ht="18" customHeight="1">
      <c r="A198" s="41" t="str">
        <f t="shared" si="6"/>
        <v>888MYR</v>
      </c>
      <c r="B198" s="42" t="s">
        <v>193</v>
      </c>
      <c r="C198" s="42">
        <v>888</v>
      </c>
      <c r="D198" s="42">
        <v>20020</v>
      </c>
      <c r="E198" s="42" t="s">
        <v>28</v>
      </c>
      <c r="F198" s="42" t="s">
        <v>10</v>
      </c>
      <c r="G198" s="42" t="s">
        <v>28</v>
      </c>
      <c r="H198" s="42">
        <v>-10.975437134948001</v>
      </c>
      <c r="I198" s="42">
        <v>-2.48</v>
      </c>
    </row>
    <row r="199" spans="1:9" ht="18" customHeight="1">
      <c r="A199" s="41" t="str">
        <f t="shared" si="6"/>
        <v>888JPY</v>
      </c>
      <c r="B199" s="42" t="s">
        <v>193</v>
      </c>
      <c r="C199" s="42">
        <v>888</v>
      </c>
      <c r="D199" s="42">
        <v>20020</v>
      </c>
      <c r="E199" s="42" t="s">
        <v>28</v>
      </c>
      <c r="F199" s="42" t="s">
        <v>10</v>
      </c>
      <c r="G199" s="42" t="s">
        <v>10</v>
      </c>
      <c r="H199" s="42">
        <v>278.51973189558203</v>
      </c>
      <c r="I199" s="42">
        <v>2.5099999999999998</v>
      </c>
    </row>
    <row r="200" spans="1:9" ht="18" customHeight="1">
      <c r="A200" s="41" t="str">
        <f t="shared" si="6"/>
        <v>888MYR</v>
      </c>
      <c r="B200" s="42" t="s">
        <v>194</v>
      </c>
      <c r="C200" s="42">
        <v>888</v>
      </c>
      <c r="D200" s="42">
        <v>20020</v>
      </c>
      <c r="E200" s="42" t="s">
        <v>28</v>
      </c>
      <c r="F200" s="42" t="s">
        <v>10</v>
      </c>
      <c r="G200" s="42" t="s">
        <v>28</v>
      </c>
      <c r="H200" s="42">
        <v>-3.0414162897280002</v>
      </c>
      <c r="I200" s="42">
        <v>-0.69</v>
      </c>
    </row>
    <row r="201" spans="1:9" ht="18" customHeight="1">
      <c r="A201" s="41" t="str">
        <f t="shared" si="6"/>
        <v>888JPY</v>
      </c>
      <c r="B201" s="42" t="s">
        <v>194</v>
      </c>
      <c r="C201" s="42">
        <v>888</v>
      </c>
      <c r="D201" s="42">
        <v>20020</v>
      </c>
      <c r="E201" s="42" t="s">
        <v>28</v>
      </c>
      <c r="F201" s="42" t="s">
        <v>10</v>
      </c>
      <c r="G201" s="42" t="s">
        <v>10</v>
      </c>
      <c r="H201" s="42">
        <v>77.180948617032001</v>
      </c>
      <c r="I201" s="42">
        <v>0.69</v>
      </c>
    </row>
    <row r="202" spans="1:9" ht="18" customHeight="1">
      <c r="A202" s="41" t="str">
        <f t="shared" si="6"/>
        <v>888MYR</v>
      </c>
      <c r="B202" s="42" t="s">
        <v>195</v>
      </c>
      <c r="C202" s="42">
        <v>888</v>
      </c>
      <c r="D202" s="42">
        <v>20020</v>
      </c>
      <c r="E202" s="42" t="s">
        <v>28</v>
      </c>
      <c r="F202" s="42" t="s">
        <v>11</v>
      </c>
      <c r="G202" s="42" t="s">
        <v>28</v>
      </c>
      <c r="H202" s="42">
        <v>-93.766991140087995</v>
      </c>
      <c r="I202" s="42">
        <v>-21.2</v>
      </c>
    </row>
    <row r="203" spans="1:9" ht="18" customHeight="1">
      <c r="A203" s="41" t="str">
        <f t="shared" si="6"/>
        <v>888USD</v>
      </c>
      <c r="B203" s="42" t="s">
        <v>195</v>
      </c>
      <c r="C203" s="42">
        <v>888</v>
      </c>
      <c r="D203" s="42">
        <v>20020</v>
      </c>
      <c r="E203" s="42" t="s">
        <v>28</v>
      </c>
      <c r="F203" s="42" t="s">
        <v>11</v>
      </c>
      <c r="G203" s="42" t="s">
        <v>11</v>
      </c>
      <c r="H203" s="42">
        <v>21.759307812359001</v>
      </c>
      <c r="I203" s="42">
        <v>21.76</v>
      </c>
    </row>
    <row r="204" spans="1:9" ht="18" customHeight="1">
      <c r="A204" s="41" t="str">
        <f t="shared" si="6"/>
        <v>888JPY</v>
      </c>
      <c r="B204" s="42" t="s">
        <v>196</v>
      </c>
      <c r="C204" s="42">
        <v>888</v>
      </c>
      <c r="D204" s="42">
        <v>20010</v>
      </c>
      <c r="E204" s="42" t="s">
        <v>10</v>
      </c>
      <c r="F204" s="42" t="s">
        <v>28</v>
      </c>
      <c r="G204" s="42" t="s">
        <v>10</v>
      </c>
      <c r="H204" s="42">
        <v>-16.1122326634</v>
      </c>
      <c r="I204" s="42">
        <v>-0.15</v>
      </c>
    </row>
    <row r="205" spans="1:9" ht="18" customHeight="1">
      <c r="A205" s="41" t="str">
        <f t="shared" si="6"/>
        <v>888MYR</v>
      </c>
      <c r="B205" s="42" t="s">
        <v>196</v>
      </c>
      <c r="C205" s="42">
        <v>888</v>
      </c>
      <c r="D205" s="42">
        <v>20010</v>
      </c>
      <c r="E205" s="42" t="s">
        <v>10</v>
      </c>
      <c r="F205" s="42" t="s">
        <v>28</v>
      </c>
      <c r="G205" s="42" t="s">
        <v>28</v>
      </c>
      <c r="H205" s="42">
        <v>0.623721615392</v>
      </c>
      <c r="I205" s="42">
        <v>0.14000000000000001</v>
      </c>
    </row>
    <row r="206" spans="1:9" ht="18" customHeight="1">
      <c r="A206" s="41" t="str">
        <f t="shared" si="6"/>
        <v>888USD</v>
      </c>
      <c r="B206" s="42" t="s">
        <v>197</v>
      </c>
      <c r="C206" s="42">
        <v>888</v>
      </c>
      <c r="D206" s="42">
        <v>20030</v>
      </c>
      <c r="E206" s="42" t="s">
        <v>11</v>
      </c>
      <c r="F206" s="42" t="s">
        <v>28</v>
      </c>
      <c r="G206" s="42" t="s">
        <v>11</v>
      </c>
      <c r="H206" s="42">
        <v>-124.99305750000001</v>
      </c>
      <c r="I206" s="42">
        <v>-124.99</v>
      </c>
    </row>
    <row r="207" spans="1:9" ht="18" customHeight="1">
      <c r="A207" s="41" t="str">
        <f t="shared" si="6"/>
        <v>888MYR</v>
      </c>
      <c r="B207" s="42" t="s">
        <v>197</v>
      </c>
      <c r="C207" s="42">
        <v>888</v>
      </c>
      <c r="D207" s="42">
        <v>20030</v>
      </c>
      <c r="E207" s="42" t="s">
        <v>11</v>
      </c>
      <c r="F207" s="42" t="s">
        <v>28</v>
      </c>
      <c r="G207" s="42" t="s">
        <v>28</v>
      </c>
      <c r="H207" s="42">
        <v>544.62327626205001</v>
      </c>
      <c r="I207" s="42">
        <v>123.15</v>
      </c>
    </row>
    <row r="208" spans="1:9" ht="18" customHeight="1">
      <c r="A208" s="41" t="str">
        <f t="shared" si="6"/>
        <v>888JPY</v>
      </c>
      <c r="B208" s="42" t="s">
        <v>198</v>
      </c>
      <c r="C208" s="42">
        <v>888</v>
      </c>
      <c r="D208" s="42">
        <v>20030</v>
      </c>
      <c r="E208" s="42" t="s">
        <v>10</v>
      </c>
      <c r="F208" s="42" t="s">
        <v>11</v>
      </c>
      <c r="G208" s="42" t="s">
        <v>10</v>
      </c>
      <c r="H208" s="42">
        <v>-1851.281483064</v>
      </c>
      <c r="I208" s="42">
        <v>-16.66</v>
      </c>
    </row>
    <row r="209" spans="1:9" ht="18" customHeight="1">
      <c r="A209" s="41" t="str">
        <f t="shared" si="6"/>
        <v>888USD</v>
      </c>
      <c r="B209" s="42" t="s">
        <v>198</v>
      </c>
      <c r="C209" s="42">
        <v>888</v>
      </c>
      <c r="D209" s="42">
        <v>20030</v>
      </c>
      <c r="E209" s="42" t="s">
        <v>10</v>
      </c>
      <c r="F209" s="42" t="s">
        <v>11</v>
      </c>
      <c r="G209" s="42" t="s">
        <v>11</v>
      </c>
      <c r="H209" s="42">
        <v>16.665741000000001</v>
      </c>
      <c r="I209" s="42">
        <v>16.670000000000002</v>
      </c>
    </row>
    <row r="210" spans="1:9" ht="18" customHeight="1">
      <c r="A210" s="41" t="str">
        <f t="shared" si="6"/>
        <v>888JPY</v>
      </c>
      <c r="B210" s="42" t="s">
        <v>199</v>
      </c>
      <c r="C210" s="42">
        <v>888</v>
      </c>
      <c r="D210" s="42">
        <v>20030</v>
      </c>
      <c r="E210" s="42" t="s">
        <v>10</v>
      </c>
      <c r="F210" s="42" t="s">
        <v>11</v>
      </c>
      <c r="G210" s="42" t="s">
        <v>10</v>
      </c>
      <c r="H210" s="42">
        <v>-1247.40070984265</v>
      </c>
      <c r="I210" s="42">
        <v>-11.23</v>
      </c>
    </row>
    <row r="211" spans="1:9" ht="18" customHeight="1">
      <c r="A211" s="41" t="str">
        <f t="shared" si="6"/>
        <v>888USD</v>
      </c>
      <c r="B211" s="42" t="s">
        <v>199</v>
      </c>
      <c r="C211" s="42">
        <v>888</v>
      </c>
      <c r="D211" s="42">
        <v>20030</v>
      </c>
      <c r="E211" s="42" t="s">
        <v>10</v>
      </c>
      <c r="F211" s="42" t="s">
        <v>11</v>
      </c>
      <c r="G211" s="42" t="s">
        <v>11</v>
      </c>
      <c r="H211" s="42">
        <v>11.220974760000001</v>
      </c>
      <c r="I211" s="42">
        <v>11.22</v>
      </c>
    </row>
    <row r="212" spans="1:9" ht="18" customHeight="1">
      <c r="A212" s="41" t="str">
        <f t="shared" si="6"/>
        <v>888USD</v>
      </c>
      <c r="B212" s="42" t="s">
        <v>200</v>
      </c>
      <c r="C212" s="42">
        <v>888</v>
      </c>
      <c r="D212" s="42">
        <v>20030</v>
      </c>
      <c r="E212" s="42" t="s">
        <v>11</v>
      </c>
      <c r="F212" s="42" t="s">
        <v>10</v>
      </c>
      <c r="G212" s="42" t="s">
        <v>11</v>
      </c>
      <c r="H212" s="42">
        <v>-518.93694556000003</v>
      </c>
      <c r="I212" s="42">
        <v>-518.94000000000005</v>
      </c>
    </row>
    <row r="213" spans="1:9" ht="18" customHeight="1">
      <c r="A213" s="41" t="str">
        <f t="shared" si="6"/>
        <v>888JPY</v>
      </c>
      <c r="B213" s="42" t="s">
        <v>200</v>
      </c>
      <c r="C213" s="42">
        <v>888</v>
      </c>
      <c r="D213" s="42">
        <v>20030</v>
      </c>
      <c r="E213" s="42" t="s">
        <v>11</v>
      </c>
      <c r="F213" s="42" t="s">
        <v>10</v>
      </c>
      <c r="G213" s="42" t="s">
        <v>10</v>
      </c>
      <c r="H213" s="42">
        <v>57821.881686847599</v>
      </c>
      <c r="I213" s="42">
        <v>520.48</v>
      </c>
    </row>
    <row r="214" spans="1:9" ht="18" customHeight="1">
      <c r="A214" s="41" t="str">
        <f t="shared" si="6"/>
        <v>888USD</v>
      </c>
      <c r="B214" s="42" t="s">
        <v>201</v>
      </c>
      <c r="C214" s="42">
        <v>888</v>
      </c>
      <c r="D214" s="42">
        <v>20030</v>
      </c>
      <c r="E214" s="42" t="s">
        <v>11</v>
      </c>
      <c r="F214" s="42" t="s">
        <v>28</v>
      </c>
      <c r="G214" s="42" t="s">
        <v>11</v>
      </c>
      <c r="H214" s="42">
        <v>-11.220974760000001</v>
      </c>
      <c r="I214" s="42">
        <v>-11.22</v>
      </c>
    </row>
    <row r="215" spans="1:9" ht="18" customHeight="1">
      <c r="A215" s="41" t="str">
        <f t="shared" si="6"/>
        <v>888MYR</v>
      </c>
      <c r="B215" s="42" t="s">
        <v>201</v>
      </c>
      <c r="C215" s="42">
        <v>888</v>
      </c>
      <c r="D215" s="42">
        <v>20030</v>
      </c>
      <c r="E215" s="42" t="s">
        <v>11</v>
      </c>
      <c r="F215" s="42" t="s">
        <v>28</v>
      </c>
      <c r="G215" s="42" t="s">
        <v>28</v>
      </c>
      <c r="H215" s="42">
        <v>48.89016008494</v>
      </c>
      <c r="I215" s="42">
        <v>11.05</v>
      </c>
    </row>
    <row r="216" spans="1:9" ht="18" customHeight="1">
      <c r="A216" s="41" t="str">
        <f t="shared" si="6"/>
        <v>888MYR</v>
      </c>
      <c r="B216" s="42" t="s">
        <v>202</v>
      </c>
      <c r="C216" s="42">
        <v>888</v>
      </c>
      <c r="D216" s="42">
        <v>20030</v>
      </c>
      <c r="E216" s="42" t="s">
        <v>28</v>
      </c>
      <c r="F216" s="42" t="s">
        <v>11</v>
      </c>
      <c r="G216" s="42" t="s">
        <v>28</v>
      </c>
      <c r="H216" s="42">
        <v>-2242.50797293094</v>
      </c>
      <c r="I216" s="42">
        <v>-507.07</v>
      </c>
    </row>
    <row r="217" spans="1:9" ht="18" customHeight="1">
      <c r="A217" s="41" t="str">
        <f t="shared" si="6"/>
        <v>888USD</v>
      </c>
      <c r="B217" s="42" t="s">
        <v>202</v>
      </c>
      <c r="C217" s="42">
        <v>888</v>
      </c>
      <c r="D217" s="42">
        <v>20030</v>
      </c>
      <c r="E217" s="42" t="s">
        <v>28</v>
      </c>
      <c r="F217" s="42" t="s">
        <v>11</v>
      </c>
      <c r="G217" s="42" t="s">
        <v>11</v>
      </c>
      <c r="H217" s="42">
        <v>518.93694556000003</v>
      </c>
      <c r="I217" s="42">
        <v>518.94000000000005</v>
      </c>
    </row>
    <row r="218" spans="1:9" ht="18" customHeight="1">
      <c r="A218" s="41" t="str">
        <f t="shared" si="6"/>
        <v>888MYR</v>
      </c>
      <c r="B218" s="42" t="s">
        <v>203</v>
      </c>
      <c r="C218" s="42">
        <v>888</v>
      </c>
      <c r="D218" s="42">
        <v>20010</v>
      </c>
      <c r="E218" s="42" t="s">
        <v>28</v>
      </c>
      <c r="F218" s="42" t="s">
        <v>11</v>
      </c>
      <c r="G218" s="42" t="s">
        <v>28</v>
      </c>
      <c r="H218" s="42">
        <v>-12.108371850999999</v>
      </c>
      <c r="I218" s="42">
        <v>-2.74</v>
      </c>
    </row>
    <row r="219" spans="1:9" ht="18" customHeight="1">
      <c r="A219" s="41" t="str">
        <f t="shared" si="6"/>
        <v>888USD</v>
      </c>
      <c r="B219" s="42" t="s">
        <v>203</v>
      </c>
      <c r="C219" s="42">
        <v>888</v>
      </c>
      <c r="D219" s="42">
        <v>20010</v>
      </c>
      <c r="E219" s="42" t="s">
        <v>28</v>
      </c>
      <c r="F219" s="42" t="s">
        <v>11</v>
      </c>
      <c r="G219" s="42" t="s">
        <v>11</v>
      </c>
      <c r="H219" s="42">
        <v>2.777469</v>
      </c>
      <c r="I219" s="42">
        <v>2.78</v>
      </c>
    </row>
    <row r="220" spans="1:9" ht="18" customHeight="1">
      <c r="A220" s="41" t="str">
        <f t="shared" si="6"/>
        <v>888MYR</v>
      </c>
      <c r="B220" s="42" t="s">
        <v>204</v>
      </c>
      <c r="C220" s="42">
        <v>888</v>
      </c>
      <c r="D220" s="42">
        <v>20020</v>
      </c>
      <c r="E220" s="42" t="s">
        <v>28</v>
      </c>
      <c r="F220" s="42" t="s">
        <v>10</v>
      </c>
      <c r="G220" s="42" t="s">
        <v>28</v>
      </c>
      <c r="H220" s="42">
        <v>-2438.3998447373901</v>
      </c>
      <c r="I220" s="42">
        <v>-551.36</v>
      </c>
    </row>
    <row r="221" spans="1:9" ht="18" customHeight="1">
      <c r="A221" s="41" t="str">
        <f t="shared" si="6"/>
        <v>888JPY</v>
      </c>
      <c r="B221" s="42" t="s">
        <v>204</v>
      </c>
      <c r="C221" s="42">
        <v>888</v>
      </c>
      <c r="D221" s="42">
        <v>20020</v>
      </c>
      <c r="E221" s="42" t="s">
        <v>28</v>
      </c>
      <c r="F221" s="42" t="s">
        <v>10</v>
      </c>
      <c r="G221" s="42" t="s">
        <v>10</v>
      </c>
      <c r="H221" s="42">
        <v>76697.144190000006</v>
      </c>
      <c r="I221" s="42">
        <v>690.38</v>
      </c>
    </row>
    <row r="222" spans="1:9" ht="18" customHeight="1">
      <c r="A222" s="41" t="str">
        <f t="shared" si="6"/>
        <v>888JPY</v>
      </c>
      <c r="B222" s="42" t="s">
        <v>205</v>
      </c>
      <c r="C222" s="42">
        <v>888</v>
      </c>
      <c r="D222" s="42">
        <v>20020</v>
      </c>
      <c r="E222" s="42" t="s">
        <v>10</v>
      </c>
      <c r="F222" s="42" t="s">
        <v>28</v>
      </c>
      <c r="G222" s="42" t="s">
        <v>10</v>
      </c>
      <c r="H222" s="42">
        <v>-71658.243000000002</v>
      </c>
      <c r="I222" s="42">
        <v>-645.02</v>
      </c>
    </row>
    <row r="223" spans="1:9" ht="18" customHeight="1">
      <c r="A223" s="41" t="str">
        <f t="shared" si="6"/>
        <v>888MYR</v>
      </c>
      <c r="B223" s="42" t="s">
        <v>205</v>
      </c>
      <c r="C223" s="42">
        <v>888</v>
      </c>
      <c r="D223" s="42">
        <v>20020</v>
      </c>
      <c r="E223" s="42" t="s">
        <v>10</v>
      </c>
      <c r="F223" s="42" t="s">
        <v>28</v>
      </c>
      <c r="G223" s="42" t="s">
        <v>28</v>
      </c>
      <c r="H223" s="42">
        <v>2266.6592375618502</v>
      </c>
      <c r="I223" s="42">
        <v>512.53</v>
      </c>
    </row>
    <row r="224" spans="1:9" ht="18" customHeight="1">
      <c r="A224" s="41" t="str">
        <f t="shared" si="6"/>
        <v>888MYR</v>
      </c>
      <c r="B224" s="42" t="s">
        <v>206</v>
      </c>
      <c r="C224" s="42">
        <v>888</v>
      </c>
      <c r="D224" s="42">
        <v>20020</v>
      </c>
      <c r="E224" s="42" t="s">
        <v>28</v>
      </c>
      <c r="F224" s="42" t="s">
        <v>10</v>
      </c>
      <c r="G224" s="42" t="s">
        <v>28</v>
      </c>
      <c r="H224" s="42">
        <v>-2487.2618259114402</v>
      </c>
      <c r="I224" s="42">
        <v>-562.41</v>
      </c>
    </row>
    <row r="225" spans="1:9" ht="18" customHeight="1">
      <c r="A225" s="41" t="str">
        <f t="shared" si="6"/>
        <v>888JPY</v>
      </c>
      <c r="B225" s="42" t="s">
        <v>206</v>
      </c>
      <c r="C225" s="42">
        <v>888</v>
      </c>
      <c r="D225" s="42">
        <v>20020</v>
      </c>
      <c r="E225" s="42" t="s">
        <v>28</v>
      </c>
      <c r="F225" s="42" t="s">
        <v>10</v>
      </c>
      <c r="G225" s="42" t="s">
        <v>10</v>
      </c>
      <c r="H225" s="42">
        <v>78447.626359999995</v>
      </c>
      <c r="I225" s="42">
        <v>706.14</v>
      </c>
    </row>
    <row r="226" spans="1:9" ht="18" customHeight="1">
      <c r="A226" s="41" t="str">
        <f t="shared" si="6"/>
        <v>888MYR</v>
      </c>
      <c r="B226" s="42" t="s">
        <v>207</v>
      </c>
      <c r="C226" s="42">
        <v>888</v>
      </c>
      <c r="D226" s="42">
        <v>20020</v>
      </c>
      <c r="E226" s="42" t="s">
        <v>28</v>
      </c>
      <c r="F226" s="42" t="s">
        <v>10</v>
      </c>
      <c r="G226" s="42" t="s">
        <v>28</v>
      </c>
      <c r="H226" s="42">
        <v>-2528.7901138206198</v>
      </c>
      <c r="I226" s="42">
        <v>-571.79999999999995</v>
      </c>
    </row>
    <row r="227" spans="1:9" ht="18" customHeight="1">
      <c r="A227" s="41" t="str">
        <f t="shared" si="6"/>
        <v>888JPY</v>
      </c>
      <c r="B227" s="42" t="s">
        <v>207</v>
      </c>
      <c r="C227" s="42">
        <v>888</v>
      </c>
      <c r="D227" s="42">
        <v>20020</v>
      </c>
      <c r="E227" s="42" t="s">
        <v>28</v>
      </c>
      <c r="F227" s="42" t="s">
        <v>10</v>
      </c>
      <c r="G227" s="42" t="s">
        <v>10</v>
      </c>
      <c r="H227" s="42">
        <v>79923.691990000007</v>
      </c>
      <c r="I227" s="42">
        <v>719.42</v>
      </c>
    </row>
    <row r="228" spans="1:9" ht="18" customHeight="1">
      <c r="A228" s="41" t="str">
        <f t="shared" si="6"/>
        <v>888MYR</v>
      </c>
      <c r="B228" s="42" t="s">
        <v>208</v>
      </c>
      <c r="C228" s="42">
        <v>888</v>
      </c>
      <c r="D228" s="42">
        <v>20020</v>
      </c>
      <c r="E228" s="42" t="s">
        <v>28</v>
      </c>
      <c r="F228" s="42" t="s">
        <v>10</v>
      </c>
      <c r="G228" s="42" t="s">
        <v>28</v>
      </c>
      <c r="H228" s="42">
        <v>-2575.9234197496799</v>
      </c>
      <c r="I228" s="42">
        <v>-582.46</v>
      </c>
    </row>
    <row r="229" spans="1:9" ht="18" customHeight="1">
      <c r="A229" s="41" t="str">
        <f t="shared" si="6"/>
        <v>888JPY</v>
      </c>
      <c r="B229" s="42" t="s">
        <v>208</v>
      </c>
      <c r="C229" s="42">
        <v>888</v>
      </c>
      <c r="D229" s="42">
        <v>20020</v>
      </c>
      <c r="E229" s="42" t="s">
        <v>28</v>
      </c>
      <c r="F229" s="42" t="s">
        <v>10</v>
      </c>
      <c r="G229" s="42" t="s">
        <v>10</v>
      </c>
      <c r="H229" s="42">
        <v>81615.227280000006</v>
      </c>
      <c r="I229" s="42">
        <v>734.65</v>
      </c>
    </row>
    <row r="230" spans="1:9" ht="18" customHeight="1">
      <c r="A230" s="41" t="str">
        <f t="shared" si="6"/>
        <v>888JPY</v>
      </c>
      <c r="B230" s="42" t="s">
        <v>209</v>
      </c>
      <c r="C230" s="42">
        <v>888</v>
      </c>
      <c r="D230" s="42">
        <v>20020</v>
      </c>
      <c r="E230" s="42" t="s">
        <v>10</v>
      </c>
      <c r="F230" s="42" t="s">
        <v>28</v>
      </c>
      <c r="G230" s="42" t="s">
        <v>10</v>
      </c>
      <c r="H230" s="42">
        <v>-73411.937439999994</v>
      </c>
      <c r="I230" s="42">
        <v>-660.81</v>
      </c>
    </row>
    <row r="231" spans="1:9" ht="18" customHeight="1">
      <c r="A231" s="41" t="str">
        <f t="shared" si="6"/>
        <v>888MYR</v>
      </c>
      <c r="B231" s="42" t="s">
        <v>209</v>
      </c>
      <c r="C231" s="42">
        <v>888</v>
      </c>
      <c r="D231" s="42">
        <v>20020</v>
      </c>
      <c r="E231" s="42" t="s">
        <v>10</v>
      </c>
      <c r="F231" s="42" t="s">
        <v>28</v>
      </c>
      <c r="G231" s="42" t="s">
        <v>28</v>
      </c>
      <c r="H231" s="42">
        <v>2313.27851729955</v>
      </c>
      <c r="I231" s="42">
        <v>523.07000000000005</v>
      </c>
    </row>
    <row r="232" spans="1:9" ht="18" customHeight="1">
      <c r="A232" s="41" t="str">
        <f t="shared" si="6"/>
        <v>888JPY</v>
      </c>
      <c r="B232" s="42" t="s">
        <v>210</v>
      </c>
      <c r="C232" s="42">
        <v>888</v>
      </c>
      <c r="D232" s="42">
        <v>20020</v>
      </c>
      <c r="E232" s="42" t="s">
        <v>10</v>
      </c>
      <c r="F232" s="42" t="s">
        <v>28</v>
      </c>
      <c r="G232" s="42" t="s">
        <v>10</v>
      </c>
      <c r="H232" s="42">
        <v>-75000.277740000005</v>
      </c>
      <c r="I232" s="42">
        <v>-675.1</v>
      </c>
    </row>
    <row r="233" spans="1:9" ht="18" customHeight="1">
      <c r="A233" s="41" t="str">
        <f t="shared" si="6"/>
        <v>888MYR</v>
      </c>
      <c r="B233" s="42" t="s">
        <v>210</v>
      </c>
      <c r="C233" s="42">
        <v>888</v>
      </c>
      <c r="D233" s="42">
        <v>20020</v>
      </c>
      <c r="E233" s="42" t="s">
        <v>10</v>
      </c>
      <c r="F233" s="42" t="s">
        <v>28</v>
      </c>
      <c r="G233" s="42" t="s">
        <v>28</v>
      </c>
      <c r="H233" s="42">
        <v>2357.7749747613602</v>
      </c>
      <c r="I233" s="42">
        <v>533.13</v>
      </c>
    </row>
    <row r="234" spans="1:9" ht="18" customHeight="1">
      <c r="A234" s="41" t="str">
        <f t="shared" si="6"/>
        <v>888JPY</v>
      </c>
      <c r="B234" s="42" t="s">
        <v>211</v>
      </c>
      <c r="C234" s="42">
        <v>888</v>
      </c>
      <c r="D234" s="42">
        <v>20020</v>
      </c>
      <c r="E234" s="42" t="s">
        <v>10</v>
      </c>
      <c r="F234" s="42" t="s">
        <v>28</v>
      </c>
      <c r="G234" s="42" t="s">
        <v>10</v>
      </c>
      <c r="H234" s="42">
        <v>-76697.144190000006</v>
      </c>
      <c r="I234" s="42">
        <v>-690.38</v>
      </c>
    </row>
    <row r="235" spans="1:9" ht="18" customHeight="1">
      <c r="A235" s="41" t="str">
        <f t="shared" si="6"/>
        <v>888MYR</v>
      </c>
      <c r="B235" s="42" t="s">
        <v>211</v>
      </c>
      <c r="C235" s="42">
        <v>888</v>
      </c>
      <c r="D235" s="42">
        <v>20020</v>
      </c>
      <c r="E235" s="42" t="s">
        <v>10</v>
      </c>
      <c r="F235" s="42" t="s">
        <v>28</v>
      </c>
      <c r="G235" s="42" t="s">
        <v>28</v>
      </c>
      <c r="H235" s="42">
        <v>2399.3664798976401</v>
      </c>
      <c r="I235" s="42">
        <v>542.54</v>
      </c>
    </row>
    <row r="236" spans="1:9" ht="18" customHeight="1">
      <c r="A236" s="41" t="str">
        <f t="shared" si="6"/>
        <v>888JPY</v>
      </c>
      <c r="B236" s="42" t="s">
        <v>212</v>
      </c>
      <c r="C236" s="42">
        <v>888</v>
      </c>
      <c r="D236" s="42">
        <v>20020</v>
      </c>
      <c r="E236" s="42" t="s">
        <v>10</v>
      </c>
      <c r="F236" s="42" t="s">
        <v>28</v>
      </c>
      <c r="G236" s="42" t="s">
        <v>10</v>
      </c>
      <c r="H236" s="42">
        <v>-78447.626359999995</v>
      </c>
      <c r="I236" s="42">
        <v>-706.14</v>
      </c>
    </row>
    <row r="237" spans="1:9" ht="18" customHeight="1">
      <c r="A237" s="41" t="str">
        <f t="shared" si="6"/>
        <v>888MYR</v>
      </c>
      <c r="B237" s="42" t="s">
        <v>212</v>
      </c>
      <c r="C237" s="42">
        <v>888</v>
      </c>
      <c r="D237" s="42">
        <v>20020</v>
      </c>
      <c r="E237" s="42" t="s">
        <v>10</v>
      </c>
      <c r="F237" s="42" t="s">
        <v>28</v>
      </c>
      <c r="G237" s="42" t="s">
        <v>28</v>
      </c>
      <c r="H237" s="42">
        <v>2447.5817963094401</v>
      </c>
      <c r="I237" s="42">
        <v>553.44000000000005</v>
      </c>
    </row>
    <row r="238" spans="1:9" ht="18" customHeight="1">
      <c r="A238" s="41" t="str">
        <f t="shared" si="6"/>
        <v>888JPY</v>
      </c>
      <c r="B238" s="42" t="s">
        <v>213</v>
      </c>
      <c r="C238" s="42">
        <v>888</v>
      </c>
      <c r="D238" s="42">
        <v>20020</v>
      </c>
      <c r="E238" s="42" t="s">
        <v>10</v>
      </c>
      <c r="F238" s="42" t="s">
        <v>28</v>
      </c>
      <c r="G238" s="42" t="s">
        <v>10</v>
      </c>
      <c r="H238" s="42">
        <v>-79923.691990000007</v>
      </c>
      <c r="I238" s="42">
        <v>-719.42</v>
      </c>
    </row>
    <row r="239" spans="1:9" ht="18" customHeight="1">
      <c r="A239" s="41" t="str">
        <f t="shared" si="6"/>
        <v>888MYR</v>
      </c>
      <c r="B239" s="42" t="s">
        <v>213</v>
      </c>
      <c r="C239" s="42">
        <v>888</v>
      </c>
      <c r="D239" s="42">
        <v>20020</v>
      </c>
      <c r="E239" s="42" t="s">
        <v>10</v>
      </c>
      <c r="F239" s="42" t="s">
        <v>28</v>
      </c>
      <c r="G239" s="42" t="s">
        <v>28</v>
      </c>
      <c r="H239" s="42">
        <v>2488.5720909463698</v>
      </c>
      <c r="I239" s="42">
        <v>562.71</v>
      </c>
    </row>
    <row r="240" spans="1:9" ht="18" customHeight="1">
      <c r="A240" s="41" t="str">
        <f t="shared" si="6"/>
        <v>888MYR</v>
      </c>
      <c r="B240" s="42" t="s">
        <v>214</v>
      </c>
      <c r="C240" s="42">
        <v>888</v>
      </c>
      <c r="D240" s="42">
        <v>20020</v>
      </c>
      <c r="E240" s="42" t="s">
        <v>28</v>
      </c>
      <c r="F240" s="42" t="s">
        <v>10</v>
      </c>
      <c r="G240" s="42" t="s">
        <v>28</v>
      </c>
      <c r="H240" s="42">
        <v>-2202.6799917226599</v>
      </c>
      <c r="I240" s="42">
        <v>-498.06</v>
      </c>
    </row>
    <row r="241" spans="1:9" ht="18" customHeight="1">
      <c r="A241" s="41" t="str">
        <f t="shared" si="6"/>
        <v>888JPY</v>
      </c>
      <c r="B241" s="42" t="s">
        <v>214</v>
      </c>
      <c r="C241" s="42">
        <v>888</v>
      </c>
      <c r="D241" s="42">
        <v>20020</v>
      </c>
      <c r="E241" s="42" t="s">
        <v>28</v>
      </c>
      <c r="F241" s="42" t="s">
        <v>10</v>
      </c>
      <c r="G241" s="42" t="s">
        <v>10</v>
      </c>
      <c r="H241" s="42">
        <v>68422.077539999998</v>
      </c>
      <c r="I241" s="42">
        <v>615.89</v>
      </c>
    </row>
    <row r="242" spans="1:9" ht="18" customHeight="1">
      <c r="A242" s="41" t="str">
        <f t="shared" si="6"/>
        <v>888MYR</v>
      </c>
      <c r="B242" s="42" t="s">
        <v>215</v>
      </c>
      <c r="C242" s="42">
        <v>888</v>
      </c>
      <c r="D242" s="42">
        <v>20020</v>
      </c>
      <c r="E242" s="42" t="s">
        <v>28</v>
      </c>
      <c r="F242" s="42" t="s">
        <v>10</v>
      </c>
      <c r="G242" s="42" t="s">
        <v>28</v>
      </c>
      <c r="H242" s="42">
        <v>-2248.4486763435202</v>
      </c>
      <c r="I242" s="42">
        <v>-508.41</v>
      </c>
    </row>
    <row r="243" spans="1:9" ht="18" customHeight="1">
      <c r="A243" s="41" t="str">
        <f t="shared" si="6"/>
        <v>888JPY</v>
      </c>
      <c r="B243" s="42" t="s">
        <v>215</v>
      </c>
      <c r="C243" s="42">
        <v>888</v>
      </c>
      <c r="D243" s="42">
        <v>20020</v>
      </c>
      <c r="E243" s="42" t="s">
        <v>28</v>
      </c>
      <c r="F243" s="42" t="s">
        <v>10</v>
      </c>
      <c r="G243" s="42" t="s">
        <v>10</v>
      </c>
      <c r="H243" s="42">
        <v>70013.180940000006</v>
      </c>
      <c r="I243" s="42">
        <v>630.21</v>
      </c>
    </row>
    <row r="244" spans="1:9" ht="18" customHeight="1">
      <c r="A244" s="41" t="str">
        <f t="shared" si="6"/>
        <v>888JPY</v>
      </c>
      <c r="B244" s="42" t="s">
        <v>216</v>
      </c>
      <c r="C244" s="42">
        <v>888</v>
      </c>
      <c r="D244" s="42">
        <v>20020</v>
      </c>
      <c r="E244" s="42" t="s">
        <v>10</v>
      </c>
      <c r="F244" s="42" t="s">
        <v>28</v>
      </c>
      <c r="G244" s="42" t="s">
        <v>10</v>
      </c>
      <c r="H244" s="42">
        <v>-66610.486040000003</v>
      </c>
      <c r="I244" s="42">
        <v>-599.58000000000004</v>
      </c>
    </row>
    <row r="245" spans="1:9" ht="18" customHeight="1">
      <c r="A245" s="41" t="str">
        <f t="shared" si="6"/>
        <v>888MYR</v>
      </c>
      <c r="B245" s="42" t="s">
        <v>216</v>
      </c>
      <c r="C245" s="42">
        <v>888</v>
      </c>
      <c r="D245" s="42">
        <v>20020</v>
      </c>
      <c r="E245" s="42" t="s">
        <v>10</v>
      </c>
      <c r="F245" s="42" t="s">
        <v>28</v>
      </c>
      <c r="G245" s="42" t="s">
        <v>28</v>
      </c>
      <c r="H245" s="42">
        <v>2125.6539644961999</v>
      </c>
      <c r="I245" s="42">
        <v>480.65</v>
      </c>
    </row>
    <row r="246" spans="1:9" ht="18" customHeight="1">
      <c r="A246" s="41" t="str">
        <f t="shared" si="6"/>
        <v>888MYR</v>
      </c>
      <c r="B246" s="42" t="s">
        <v>217</v>
      </c>
      <c r="C246" s="42">
        <v>888</v>
      </c>
      <c r="D246" s="42">
        <v>20020</v>
      </c>
      <c r="E246" s="42" t="s">
        <v>28</v>
      </c>
      <c r="F246" s="42" t="s">
        <v>10</v>
      </c>
      <c r="G246" s="42" t="s">
        <v>28</v>
      </c>
      <c r="H246" s="42">
        <v>-2295.5293241656</v>
      </c>
      <c r="I246" s="42">
        <v>-519.05999999999995</v>
      </c>
    </row>
    <row r="247" spans="1:9" ht="18" customHeight="1">
      <c r="A247" s="41" t="str">
        <f t="shared" si="6"/>
        <v>888JPY</v>
      </c>
      <c r="B247" s="42" t="s">
        <v>217</v>
      </c>
      <c r="C247" s="42">
        <v>888</v>
      </c>
      <c r="D247" s="42">
        <v>20020</v>
      </c>
      <c r="E247" s="42" t="s">
        <v>28</v>
      </c>
      <c r="F247" s="42" t="s">
        <v>10</v>
      </c>
      <c r="G247" s="42" t="s">
        <v>10</v>
      </c>
      <c r="H247" s="42">
        <v>71658.243000000002</v>
      </c>
      <c r="I247" s="42">
        <v>645.02</v>
      </c>
    </row>
    <row r="248" spans="1:9" ht="18" customHeight="1">
      <c r="A248" s="41" t="str">
        <f t="shared" si="6"/>
        <v>888JPY</v>
      </c>
      <c r="B248" s="42" t="s">
        <v>218</v>
      </c>
      <c r="C248" s="42">
        <v>888</v>
      </c>
      <c r="D248" s="42">
        <v>20020</v>
      </c>
      <c r="E248" s="42" t="s">
        <v>10</v>
      </c>
      <c r="F248" s="42" t="s">
        <v>28</v>
      </c>
      <c r="G248" s="42" t="s">
        <v>10</v>
      </c>
      <c r="H248" s="42">
        <v>-68422.077539999998</v>
      </c>
      <c r="I248" s="42">
        <v>-615.89</v>
      </c>
    </row>
    <row r="249" spans="1:9" ht="18" customHeight="1">
      <c r="A249" s="41" t="str">
        <f t="shared" si="6"/>
        <v>888MYR</v>
      </c>
      <c r="B249" s="42" t="s">
        <v>218</v>
      </c>
      <c r="C249" s="42">
        <v>888</v>
      </c>
      <c r="D249" s="42">
        <v>20020</v>
      </c>
      <c r="E249" s="42" t="s">
        <v>10</v>
      </c>
      <c r="F249" s="42" t="s">
        <v>28</v>
      </c>
      <c r="G249" s="42" t="s">
        <v>28</v>
      </c>
      <c r="H249" s="42">
        <v>2177.45461389716</v>
      </c>
      <c r="I249" s="42">
        <v>492.36</v>
      </c>
    </row>
    <row r="250" spans="1:9" ht="18" customHeight="1">
      <c r="A250" s="41" t="str">
        <f t="shared" si="6"/>
        <v>888MYR</v>
      </c>
      <c r="B250" s="42" t="s">
        <v>219</v>
      </c>
      <c r="C250" s="42">
        <v>888</v>
      </c>
      <c r="D250" s="42">
        <v>20020</v>
      </c>
      <c r="E250" s="42" t="s">
        <v>28</v>
      </c>
      <c r="F250" s="42" t="s">
        <v>10</v>
      </c>
      <c r="G250" s="42" t="s">
        <v>28</v>
      </c>
      <c r="H250" s="42">
        <v>-2345.4734863773001</v>
      </c>
      <c r="I250" s="42">
        <v>-530.35</v>
      </c>
    </row>
    <row r="251" spans="1:9" ht="18" customHeight="1">
      <c r="A251" s="41" t="str">
        <f t="shared" si="6"/>
        <v>888JPY</v>
      </c>
      <c r="B251" s="42" t="s">
        <v>219</v>
      </c>
      <c r="C251" s="42">
        <v>888</v>
      </c>
      <c r="D251" s="42">
        <v>20020</v>
      </c>
      <c r="E251" s="42" t="s">
        <v>28</v>
      </c>
      <c r="F251" s="42" t="s">
        <v>10</v>
      </c>
      <c r="G251" s="42" t="s">
        <v>10</v>
      </c>
      <c r="H251" s="42">
        <v>73411.937439999994</v>
      </c>
      <c r="I251" s="42">
        <v>660.81</v>
      </c>
    </row>
    <row r="252" spans="1:9" ht="18" customHeight="1">
      <c r="A252" s="41" t="str">
        <f t="shared" si="6"/>
        <v>888MYR</v>
      </c>
      <c r="B252" s="42" t="s">
        <v>220</v>
      </c>
      <c r="C252" s="42">
        <v>888</v>
      </c>
      <c r="D252" s="42">
        <v>20020</v>
      </c>
      <c r="E252" s="42" t="s">
        <v>28</v>
      </c>
      <c r="F252" s="42" t="s">
        <v>10</v>
      </c>
      <c r="G252" s="42" t="s">
        <v>28</v>
      </c>
      <c r="H252" s="42">
        <v>-2390.48392598911</v>
      </c>
      <c r="I252" s="42">
        <v>-540.53</v>
      </c>
    </row>
    <row r="253" spans="1:9" ht="18" customHeight="1">
      <c r="A253" s="41" t="str">
        <f t="shared" si="6"/>
        <v>888JPY</v>
      </c>
      <c r="B253" s="42" t="s">
        <v>220</v>
      </c>
      <c r="C253" s="42">
        <v>888</v>
      </c>
      <c r="D253" s="42">
        <v>20020</v>
      </c>
      <c r="E253" s="42" t="s">
        <v>28</v>
      </c>
      <c r="F253" s="42" t="s">
        <v>10</v>
      </c>
      <c r="G253" s="42" t="s">
        <v>10</v>
      </c>
      <c r="H253" s="42">
        <v>75000.277740000005</v>
      </c>
      <c r="I253" s="42">
        <v>675.1</v>
      </c>
    </row>
    <row r="254" spans="1:9" ht="18" customHeight="1">
      <c r="A254" s="41" t="str">
        <f t="shared" si="6"/>
        <v>888JPY</v>
      </c>
      <c r="B254" s="42" t="s">
        <v>221</v>
      </c>
      <c r="C254" s="42">
        <v>888</v>
      </c>
      <c r="D254" s="42">
        <v>20020</v>
      </c>
      <c r="E254" s="42" t="s">
        <v>10</v>
      </c>
      <c r="F254" s="42" t="s">
        <v>28</v>
      </c>
      <c r="G254" s="42" t="s">
        <v>10</v>
      </c>
      <c r="H254" s="42">
        <v>-70013.180940000006</v>
      </c>
      <c r="I254" s="42">
        <v>-630.21</v>
      </c>
    </row>
    <row r="255" spans="1:9" ht="18" customHeight="1">
      <c r="A255" s="41" t="str">
        <f t="shared" si="6"/>
        <v>888MYR</v>
      </c>
      <c r="B255" s="42" t="s">
        <v>221</v>
      </c>
      <c r="C255" s="42">
        <v>888</v>
      </c>
      <c r="D255" s="42">
        <v>20020</v>
      </c>
      <c r="E255" s="42" t="s">
        <v>10</v>
      </c>
      <c r="F255" s="42" t="s">
        <v>28</v>
      </c>
      <c r="G255" s="42" t="s">
        <v>28</v>
      </c>
      <c r="H255" s="42">
        <v>2222.7802202470202</v>
      </c>
      <c r="I255" s="42">
        <v>502.61</v>
      </c>
    </row>
    <row r="256" spans="1:9" ht="18" customHeight="1">
      <c r="A256" s="41" t="str">
        <f t="shared" si="6"/>
        <v>888JPY</v>
      </c>
      <c r="B256" s="42" t="s">
        <v>222</v>
      </c>
      <c r="C256" s="42">
        <v>888</v>
      </c>
      <c r="D256" s="42">
        <v>20020</v>
      </c>
      <c r="E256" s="42" t="s">
        <v>10</v>
      </c>
      <c r="F256" s="42" t="s">
        <v>28</v>
      </c>
      <c r="G256" s="42" t="s">
        <v>10</v>
      </c>
      <c r="H256" s="42">
        <v>-36457.534030000003</v>
      </c>
      <c r="I256" s="42">
        <v>-328.17</v>
      </c>
    </row>
    <row r="257" spans="1:9" ht="18" customHeight="1">
      <c r="A257" s="41" t="str">
        <f t="shared" si="6"/>
        <v>888MYR</v>
      </c>
      <c r="B257" s="42" t="s">
        <v>222</v>
      </c>
      <c r="C257" s="42">
        <v>888</v>
      </c>
      <c r="D257" s="42">
        <v>20020</v>
      </c>
      <c r="E257" s="42" t="s">
        <v>10</v>
      </c>
      <c r="F257" s="42" t="s">
        <v>28</v>
      </c>
      <c r="G257" s="42" t="s">
        <v>28</v>
      </c>
      <c r="H257" s="42">
        <v>1230.0027782561999</v>
      </c>
      <c r="I257" s="42">
        <v>278.12</v>
      </c>
    </row>
    <row r="258" spans="1:9" ht="18" customHeight="1">
      <c r="A258" s="41" t="str">
        <f t="shared" si="6"/>
        <v>888MYR</v>
      </c>
      <c r="B258" s="42" t="s">
        <v>223</v>
      </c>
      <c r="C258" s="42">
        <v>888</v>
      </c>
      <c r="D258" s="42">
        <v>20020</v>
      </c>
      <c r="E258" s="42" t="s">
        <v>28</v>
      </c>
      <c r="F258" s="42" t="s">
        <v>10</v>
      </c>
      <c r="G258" s="42" t="s">
        <v>28</v>
      </c>
      <c r="H258" s="42">
        <v>-1955.6295561909601</v>
      </c>
      <c r="I258" s="42">
        <v>-442.2</v>
      </c>
    </row>
    <row r="259" spans="1:9" ht="18" customHeight="1">
      <c r="A259" s="41" t="str">
        <f t="shared" ref="A259:A322" si="7">CONCATENATE(C259,G259)</f>
        <v>888JPY</v>
      </c>
      <c r="B259" s="42" t="s">
        <v>223</v>
      </c>
      <c r="C259" s="42">
        <v>888</v>
      </c>
      <c r="D259" s="42">
        <v>20020</v>
      </c>
      <c r="E259" s="42" t="s">
        <v>28</v>
      </c>
      <c r="F259" s="42" t="s">
        <v>10</v>
      </c>
      <c r="G259" s="42" t="s">
        <v>10</v>
      </c>
      <c r="H259" s="42">
        <v>59958.115709999998</v>
      </c>
      <c r="I259" s="42">
        <v>539.70000000000005</v>
      </c>
    </row>
    <row r="260" spans="1:9" ht="18" customHeight="1">
      <c r="A260" s="41" t="str">
        <f t="shared" si="7"/>
        <v>888JPY</v>
      </c>
      <c r="B260" s="42" t="s">
        <v>224</v>
      </c>
      <c r="C260" s="42">
        <v>888</v>
      </c>
      <c r="D260" s="42">
        <v>20020</v>
      </c>
      <c r="E260" s="42" t="s">
        <v>10</v>
      </c>
      <c r="F260" s="42" t="s">
        <v>28</v>
      </c>
      <c r="G260" s="42" t="s">
        <v>10</v>
      </c>
      <c r="H260" s="42">
        <v>-61609.438439999998</v>
      </c>
      <c r="I260" s="42">
        <v>-554.57000000000005</v>
      </c>
    </row>
    <row r="261" spans="1:9" ht="18" customHeight="1">
      <c r="A261" s="41" t="str">
        <f t="shared" si="7"/>
        <v>888MYR</v>
      </c>
      <c r="B261" s="42" t="s">
        <v>224</v>
      </c>
      <c r="C261" s="42">
        <v>888</v>
      </c>
      <c r="D261" s="42">
        <v>20020</v>
      </c>
      <c r="E261" s="42" t="s">
        <v>10</v>
      </c>
      <c r="F261" s="42" t="s">
        <v>28</v>
      </c>
      <c r="G261" s="42" t="s">
        <v>28</v>
      </c>
      <c r="H261" s="42">
        <v>1986.12508569545</v>
      </c>
      <c r="I261" s="42">
        <v>449.1</v>
      </c>
    </row>
    <row r="262" spans="1:9" ht="18" customHeight="1">
      <c r="A262" s="41" t="str">
        <f t="shared" si="7"/>
        <v>888MYR</v>
      </c>
      <c r="B262" s="42" t="s">
        <v>225</v>
      </c>
      <c r="C262" s="42">
        <v>888</v>
      </c>
      <c r="D262" s="42">
        <v>20020</v>
      </c>
      <c r="E262" s="42" t="s">
        <v>28</v>
      </c>
      <c r="F262" s="42" t="s">
        <v>10</v>
      </c>
      <c r="G262" s="42" t="s">
        <v>28</v>
      </c>
      <c r="H262" s="42">
        <v>-2004.4901925167001</v>
      </c>
      <c r="I262" s="42">
        <v>-453.25</v>
      </c>
    </row>
    <row r="263" spans="1:9" ht="18" customHeight="1">
      <c r="A263" s="41" t="str">
        <f t="shared" si="7"/>
        <v>888JPY</v>
      </c>
      <c r="B263" s="42" t="s">
        <v>225</v>
      </c>
      <c r="C263" s="42">
        <v>888</v>
      </c>
      <c r="D263" s="42">
        <v>20020</v>
      </c>
      <c r="E263" s="42" t="s">
        <v>28</v>
      </c>
      <c r="F263" s="42" t="s">
        <v>10</v>
      </c>
      <c r="G263" s="42" t="s">
        <v>10</v>
      </c>
      <c r="H263" s="42">
        <v>61609.438439999998</v>
      </c>
      <c r="I263" s="42">
        <v>554.57000000000005</v>
      </c>
    </row>
    <row r="264" spans="1:9" ht="18" customHeight="1">
      <c r="A264" s="41" t="str">
        <f t="shared" si="7"/>
        <v>888MYR</v>
      </c>
      <c r="B264" s="42" t="s">
        <v>226</v>
      </c>
      <c r="C264" s="42">
        <v>888</v>
      </c>
      <c r="D264" s="42">
        <v>20020</v>
      </c>
      <c r="E264" s="42" t="s">
        <v>28</v>
      </c>
      <c r="F264" s="42" t="s">
        <v>10</v>
      </c>
      <c r="G264" s="42" t="s">
        <v>28</v>
      </c>
      <c r="H264" s="42">
        <v>-2052.9974994542399</v>
      </c>
      <c r="I264" s="42">
        <v>-464.22</v>
      </c>
    </row>
    <row r="265" spans="1:9" ht="18" customHeight="1">
      <c r="A265" s="41" t="str">
        <f t="shared" si="7"/>
        <v>888JPY</v>
      </c>
      <c r="B265" s="42" t="s">
        <v>226</v>
      </c>
      <c r="C265" s="42">
        <v>888</v>
      </c>
      <c r="D265" s="42">
        <v>20020</v>
      </c>
      <c r="E265" s="42" t="s">
        <v>28</v>
      </c>
      <c r="F265" s="42" t="s">
        <v>10</v>
      </c>
      <c r="G265" s="42" t="s">
        <v>10</v>
      </c>
      <c r="H265" s="42">
        <v>63258.997860000003</v>
      </c>
      <c r="I265" s="42">
        <v>569.41999999999996</v>
      </c>
    </row>
    <row r="266" spans="1:9" ht="18" customHeight="1">
      <c r="A266" s="41" t="str">
        <f t="shared" si="7"/>
        <v>888JPY</v>
      </c>
      <c r="B266" s="42" t="s">
        <v>227</v>
      </c>
      <c r="C266" s="42">
        <v>888</v>
      </c>
      <c r="D266" s="42">
        <v>20020</v>
      </c>
      <c r="E266" s="42" t="s">
        <v>10</v>
      </c>
      <c r="F266" s="42" t="s">
        <v>28</v>
      </c>
      <c r="G266" s="42" t="s">
        <v>10</v>
      </c>
      <c r="H266" s="42">
        <v>-63258.997860000003</v>
      </c>
      <c r="I266" s="42">
        <v>-569.41999999999996</v>
      </c>
    </row>
    <row r="267" spans="1:9" ht="18" customHeight="1">
      <c r="A267" s="41" t="str">
        <f t="shared" si="7"/>
        <v>888MYR</v>
      </c>
      <c r="B267" s="42" t="s">
        <v>227</v>
      </c>
      <c r="C267" s="42">
        <v>888</v>
      </c>
      <c r="D267" s="42">
        <v>20020</v>
      </c>
      <c r="E267" s="42" t="s">
        <v>10</v>
      </c>
      <c r="F267" s="42" t="s">
        <v>28</v>
      </c>
      <c r="G267" s="42" t="s">
        <v>28</v>
      </c>
      <c r="H267" s="42">
        <v>2034.24934870674</v>
      </c>
      <c r="I267" s="42">
        <v>459.98</v>
      </c>
    </row>
    <row r="268" spans="1:9" ht="18" customHeight="1">
      <c r="A268" s="41" t="str">
        <f t="shared" si="7"/>
        <v>888MYR</v>
      </c>
      <c r="B268" s="42" t="s">
        <v>228</v>
      </c>
      <c r="C268" s="42">
        <v>888</v>
      </c>
      <c r="D268" s="42">
        <v>20020</v>
      </c>
      <c r="E268" s="42" t="s">
        <v>28</v>
      </c>
      <c r="F268" s="42" t="s">
        <v>10</v>
      </c>
      <c r="G268" s="42" t="s">
        <v>28</v>
      </c>
      <c r="H268" s="42">
        <v>-2102.4767749774801</v>
      </c>
      <c r="I268" s="42">
        <v>-475.4</v>
      </c>
    </row>
    <row r="269" spans="1:9" ht="18" customHeight="1">
      <c r="A269" s="41" t="str">
        <f t="shared" si="7"/>
        <v>888JPY</v>
      </c>
      <c r="B269" s="42" t="s">
        <v>228</v>
      </c>
      <c r="C269" s="42">
        <v>888</v>
      </c>
      <c r="D269" s="42">
        <v>20020</v>
      </c>
      <c r="E269" s="42" t="s">
        <v>28</v>
      </c>
      <c r="F269" s="42" t="s">
        <v>10</v>
      </c>
      <c r="G269" s="42" t="s">
        <v>10</v>
      </c>
      <c r="H269" s="42">
        <v>64962.658340000002</v>
      </c>
      <c r="I269" s="42">
        <v>584.75</v>
      </c>
    </row>
    <row r="270" spans="1:9" ht="18" customHeight="1">
      <c r="A270" s="41" t="str">
        <f t="shared" si="7"/>
        <v>888MYR</v>
      </c>
      <c r="B270" s="42" t="s">
        <v>229</v>
      </c>
      <c r="C270" s="42">
        <v>888</v>
      </c>
      <c r="D270" s="42">
        <v>20020</v>
      </c>
      <c r="E270" s="42" t="s">
        <v>28</v>
      </c>
      <c r="F270" s="42" t="s">
        <v>10</v>
      </c>
      <c r="G270" s="42" t="s">
        <v>28</v>
      </c>
      <c r="H270" s="42">
        <v>-219.86266900730001</v>
      </c>
      <c r="I270" s="42">
        <v>-49.71</v>
      </c>
    </row>
    <row r="271" spans="1:9" ht="18" customHeight="1">
      <c r="A271" s="41" t="str">
        <f t="shared" si="7"/>
        <v>888JPY</v>
      </c>
      <c r="B271" s="42" t="s">
        <v>229</v>
      </c>
      <c r="C271" s="42">
        <v>888</v>
      </c>
      <c r="D271" s="42">
        <v>20020</v>
      </c>
      <c r="E271" s="42" t="s">
        <v>28</v>
      </c>
      <c r="F271" s="42" t="s">
        <v>10</v>
      </c>
      <c r="G271" s="42" t="s">
        <v>10</v>
      </c>
      <c r="H271" s="42">
        <v>6170.4917299999997</v>
      </c>
      <c r="I271" s="42">
        <v>55.54</v>
      </c>
    </row>
    <row r="272" spans="1:9" ht="18" customHeight="1">
      <c r="A272" s="41" t="str">
        <f t="shared" si="7"/>
        <v>888MYR</v>
      </c>
      <c r="B272" s="42" t="s">
        <v>230</v>
      </c>
      <c r="C272" s="42">
        <v>888</v>
      </c>
      <c r="D272" s="42">
        <v>20020</v>
      </c>
      <c r="E272" s="42" t="s">
        <v>28</v>
      </c>
      <c r="F272" s="42" t="s">
        <v>10</v>
      </c>
      <c r="G272" s="42" t="s">
        <v>28</v>
      </c>
      <c r="H272" s="42">
        <v>-2150.3678461052</v>
      </c>
      <c r="I272" s="42">
        <v>-486.23</v>
      </c>
    </row>
    <row r="273" spans="1:9" ht="18" customHeight="1">
      <c r="A273" s="41" t="str">
        <f t="shared" si="7"/>
        <v>888JPY</v>
      </c>
      <c r="B273" s="42" t="s">
        <v>230</v>
      </c>
      <c r="C273" s="42">
        <v>888</v>
      </c>
      <c r="D273" s="42">
        <v>20020</v>
      </c>
      <c r="E273" s="42" t="s">
        <v>28</v>
      </c>
      <c r="F273" s="42" t="s">
        <v>10</v>
      </c>
      <c r="G273" s="42" t="s">
        <v>10</v>
      </c>
      <c r="H273" s="42">
        <v>66610.486040000003</v>
      </c>
      <c r="I273" s="42">
        <v>599.58000000000004</v>
      </c>
    </row>
    <row r="274" spans="1:9" ht="18" customHeight="1">
      <c r="A274" s="41" t="str">
        <f t="shared" si="7"/>
        <v>888JPY</v>
      </c>
      <c r="B274" s="42" t="s">
        <v>231</v>
      </c>
      <c r="C274" s="42">
        <v>888</v>
      </c>
      <c r="D274" s="42">
        <v>20020</v>
      </c>
      <c r="E274" s="42" t="s">
        <v>10</v>
      </c>
      <c r="F274" s="42" t="s">
        <v>28</v>
      </c>
      <c r="G274" s="42" t="s">
        <v>10</v>
      </c>
      <c r="H274" s="42">
        <v>-64962.658340000002</v>
      </c>
      <c r="I274" s="42">
        <v>-584.75</v>
      </c>
    </row>
    <row r="275" spans="1:9" ht="18" customHeight="1">
      <c r="A275" s="41" t="str">
        <f t="shared" si="7"/>
        <v>888MYR</v>
      </c>
      <c r="B275" s="42" t="s">
        <v>231</v>
      </c>
      <c r="C275" s="42">
        <v>888</v>
      </c>
      <c r="D275" s="42">
        <v>20020</v>
      </c>
      <c r="E275" s="42" t="s">
        <v>10</v>
      </c>
      <c r="F275" s="42" t="s">
        <v>28</v>
      </c>
      <c r="G275" s="42" t="s">
        <v>28</v>
      </c>
      <c r="H275" s="42">
        <v>2078.2347012782302</v>
      </c>
      <c r="I275" s="42">
        <v>469.92</v>
      </c>
    </row>
    <row r="276" spans="1:9" ht="18" customHeight="1">
      <c r="A276" s="41" t="str">
        <f t="shared" si="7"/>
        <v>888JPY</v>
      </c>
      <c r="B276" s="42" t="s">
        <v>232</v>
      </c>
      <c r="C276" s="42">
        <v>888</v>
      </c>
      <c r="D276" s="42">
        <v>20020</v>
      </c>
      <c r="E276" s="42" t="s">
        <v>10</v>
      </c>
      <c r="F276" s="42" t="s">
        <v>28</v>
      </c>
      <c r="G276" s="42" t="s">
        <v>10</v>
      </c>
      <c r="H276" s="42">
        <v>-56596.336589999999</v>
      </c>
      <c r="I276" s="42">
        <v>-509.44</v>
      </c>
    </row>
    <row r="277" spans="1:9" ht="18" customHeight="1">
      <c r="A277" s="41" t="str">
        <f t="shared" si="7"/>
        <v>888MYR</v>
      </c>
      <c r="B277" s="42" t="s">
        <v>232</v>
      </c>
      <c r="C277" s="42">
        <v>888</v>
      </c>
      <c r="D277" s="42">
        <v>20020</v>
      </c>
      <c r="E277" s="42" t="s">
        <v>10</v>
      </c>
      <c r="F277" s="42" t="s">
        <v>28</v>
      </c>
      <c r="G277" s="42" t="s">
        <v>28</v>
      </c>
      <c r="H277" s="42">
        <v>1842.9688735264499</v>
      </c>
      <c r="I277" s="42">
        <v>416.73</v>
      </c>
    </row>
    <row r="278" spans="1:9" ht="18" customHeight="1">
      <c r="A278" s="41" t="str">
        <f t="shared" si="7"/>
        <v>888MYR</v>
      </c>
      <c r="B278" s="42" t="s">
        <v>233</v>
      </c>
      <c r="C278" s="42">
        <v>888</v>
      </c>
      <c r="D278" s="42">
        <v>20020</v>
      </c>
      <c r="E278" s="42" t="s">
        <v>28</v>
      </c>
      <c r="F278" s="42" t="s">
        <v>10</v>
      </c>
      <c r="G278" s="42" t="s">
        <v>28</v>
      </c>
      <c r="H278" s="42">
        <v>-1754.4525100268099</v>
      </c>
      <c r="I278" s="42">
        <v>-396.71</v>
      </c>
    </row>
    <row r="279" spans="1:9" ht="18" customHeight="1">
      <c r="A279" s="41" t="str">
        <f t="shared" si="7"/>
        <v>888JPY</v>
      </c>
      <c r="B279" s="42" t="s">
        <v>233</v>
      </c>
      <c r="C279" s="42">
        <v>888</v>
      </c>
      <c r="D279" s="42">
        <v>20020</v>
      </c>
      <c r="E279" s="42" t="s">
        <v>28</v>
      </c>
      <c r="F279" s="42" t="s">
        <v>10</v>
      </c>
      <c r="G279" s="42" t="s">
        <v>10</v>
      </c>
      <c r="H279" s="42">
        <v>53232.246709999999</v>
      </c>
      <c r="I279" s="42">
        <v>479.16</v>
      </c>
    </row>
    <row r="280" spans="1:9" ht="18" customHeight="1">
      <c r="A280" s="41" t="str">
        <f t="shared" si="7"/>
        <v>888JPY</v>
      </c>
      <c r="B280" s="42" t="s">
        <v>234</v>
      </c>
      <c r="C280" s="42">
        <v>888</v>
      </c>
      <c r="D280" s="42">
        <v>20020</v>
      </c>
      <c r="E280" s="42" t="s">
        <v>10</v>
      </c>
      <c r="F280" s="42" t="s">
        <v>28</v>
      </c>
      <c r="G280" s="42" t="s">
        <v>10</v>
      </c>
      <c r="H280" s="42">
        <v>-58470.405899999998</v>
      </c>
      <c r="I280" s="42">
        <v>-526.30999999999995</v>
      </c>
    </row>
    <row r="281" spans="1:9" ht="18" customHeight="1">
      <c r="A281" s="41" t="str">
        <f t="shared" si="7"/>
        <v>888MYR</v>
      </c>
      <c r="B281" s="42" t="s">
        <v>234</v>
      </c>
      <c r="C281" s="42">
        <v>888</v>
      </c>
      <c r="D281" s="42">
        <v>20020</v>
      </c>
      <c r="E281" s="42" t="s">
        <v>10</v>
      </c>
      <c r="F281" s="42" t="s">
        <v>28</v>
      </c>
      <c r="G281" s="42" t="s">
        <v>28</v>
      </c>
      <c r="H281" s="42">
        <v>1893.6475539329699</v>
      </c>
      <c r="I281" s="42">
        <v>428.18</v>
      </c>
    </row>
    <row r="282" spans="1:9" ht="18" customHeight="1">
      <c r="A282" s="41" t="str">
        <f t="shared" si="7"/>
        <v>888MYR</v>
      </c>
      <c r="B282" s="42" t="s">
        <v>235</v>
      </c>
      <c r="C282" s="42">
        <v>888</v>
      </c>
      <c r="D282" s="42">
        <v>20020</v>
      </c>
      <c r="E282" s="42" t="s">
        <v>28</v>
      </c>
      <c r="F282" s="42" t="s">
        <v>10</v>
      </c>
      <c r="G282" s="42" t="s">
        <v>28</v>
      </c>
      <c r="H282" s="42">
        <v>-155.02269391056001</v>
      </c>
      <c r="I282" s="42">
        <v>-35.049999999999997</v>
      </c>
    </row>
    <row r="283" spans="1:9" ht="18" customHeight="1">
      <c r="A283" s="41" t="str">
        <f t="shared" si="7"/>
        <v>888JPY</v>
      </c>
      <c r="B283" s="42" t="s">
        <v>235</v>
      </c>
      <c r="C283" s="42">
        <v>888</v>
      </c>
      <c r="D283" s="42">
        <v>20020</v>
      </c>
      <c r="E283" s="42" t="s">
        <v>28</v>
      </c>
      <c r="F283" s="42" t="s">
        <v>10</v>
      </c>
      <c r="G283" s="42" t="s">
        <v>10</v>
      </c>
      <c r="H283" s="42">
        <v>4335.3092999999999</v>
      </c>
      <c r="I283" s="42">
        <v>39.020000000000003</v>
      </c>
    </row>
    <row r="284" spans="1:9" ht="18" customHeight="1">
      <c r="A284" s="41" t="str">
        <f t="shared" si="7"/>
        <v>888MYR</v>
      </c>
      <c r="B284" s="42" t="s">
        <v>236</v>
      </c>
      <c r="C284" s="42">
        <v>888</v>
      </c>
      <c r="D284" s="42">
        <v>20020</v>
      </c>
      <c r="E284" s="42" t="s">
        <v>28</v>
      </c>
      <c r="F284" s="42" t="s">
        <v>10</v>
      </c>
      <c r="G284" s="42" t="s">
        <v>28</v>
      </c>
      <c r="H284" s="42">
        <v>-1805.96441152532</v>
      </c>
      <c r="I284" s="42">
        <v>-408.36</v>
      </c>
    </row>
    <row r="285" spans="1:9" ht="18" customHeight="1">
      <c r="A285" s="41" t="str">
        <f t="shared" si="7"/>
        <v>888JPY</v>
      </c>
      <c r="B285" s="42" t="s">
        <v>236</v>
      </c>
      <c r="C285" s="42">
        <v>888</v>
      </c>
      <c r="D285" s="42">
        <v>20020</v>
      </c>
      <c r="E285" s="42" t="s">
        <v>28</v>
      </c>
      <c r="F285" s="42" t="s">
        <v>10</v>
      </c>
      <c r="G285" s="42" t="s">
        <v>10</v>
      </c>
      <c r="H285" s="42">
        <v>54942.14933</v>
      </c>
      <c r="I285" s="42">
        <v>494.55</v>
      </c>
    </row>
    <row r="286" spans="1:9" ht="18" customHeight="1">
      <c r="A286" s="41" t="str">
        <f t="shared" si="7"/>
        <v>888MYR</v>
      </c>
      <c r="B286" s="42" t="s">
        <v>237</v>
      </c>
      <c r="C286" s="42">
        <v>888</v>
      </c>
      <c r="D286" s="42">
        <v>20020</v>
      </c>
      <c r="E286" s="42" t="s">
        <v>28</v>
      </c>
      <c r="F286" s="42" t="s">
        <v>10</v>
      </c>
      <c r="G286" s="42" t="s">
        <v>28</v>
      </c>
      <c r="H286" s="42">
        <v>-1855.5621507092001</v>
      </c>
      <c r="I286" s="42">
        <v>-419.57</v>
      </c>
    </row>
    <row r="287" spans="1:9" ht="18" customHeight="1">
      <c r="A287" s="41" t="str">
        <f t="shared" si="7"/>
        <v>888JPY</v>
      </c>
      <c r="B287" s="42" t="s">
        <v>237</v>
      </c>
      <c r="C287" s="42">
        <v>888</v>
      </c>
      <c r="D287" s="42">
        <v>20020</v>
      </c>
      <c r="E287" s="42" t="s">
        <v>28</v>
      </c>
      <c r="F287" s="42" t="s">
        <v>10</v>
      </c>
      <c r="G287" s="42" t="s">
        <v>10</v>
      </c>
      <c r="H287" s="42">
        <v>56596.336589999999</v>
      </c>
      <c r="I287" s="42">
        <v>509.44</v>
      </c>
    </row>
    <row r="288" spans="1:9" ht="18" customHeight="1">
      <c r="A288" s="41" t="str">
        <f t="shared" si="7"/>
        <v>888JPY</v>
      </c>
      <c r="B288" s="42" t="s">
        <v>238</v>
      </c>
      <c r="C288" s="42">
        <v>888</v>
      </c>
      <c r="D288" s="42">
        <v>20020</v>
      </c>
      <c r="E288" s="42" t="s">
        <v>10</v>
      </c>
      <c r="F288" s="42" t="s">
        <v>28</v>
      </c>
      <c r="G288" s="42" t="s">
        <v>10</v>
      </c>
      <c r="H288" s="42">
        <v>-59958.115709999998</v>
      </c>
      <c r="I288" s="42">
        <v>-539.70000000000005</v>
      </c>
    </row>
    <row r="289" spans="1:9" ht="18" customHeight="1">
      <c r="A289" s="41" t="str">
        <f t="shared" si="7"/>
        <v>888MYR</v>
      </c>
      <c r="B289" s="42" t="s">
        <v>238</v>
      </c>
      <c r="C289" s="42">
        <v>888</v>
      </c>
      <c r="D289" s="42">
        <v>20020</v>
      </c>
      <c r="E289" s="42" t="s">
        <v>10</v>
      </c>
      <c r="F289" s="42" t="s">
        <v>28</v>
      </c>
      <c r="G289" s="42" t="s">
        <v>28</v>
      </c>
      <c r="H289" s="42">
        <v>1937.65237612596</v>
      </c>
      <c r="I289" s="42">
        <v>438.14</v>
      </c>
    </row>
    <row r="290" spans="1:9" ht="18" customHeight="1">
      <c r="A290" s="41" t="str">
        <f t="shared" si="7"/>
        <v>888MYR</v>
      </c>
      <c r="B290" s="42" t="s">
        <v>239</v>
      </c>
      <c r="C290" s="42">
        <v>888</v>
      </c>
      <c r="D290" s="42">
        <v>20020</v>
      </c>
      <c r="E290" s="42" t="s">
        <v>28</v>
      </c>
      <c r="F290" s="42" t="s">
        <v>10</v>
      </c>
      <c r="G290" s="42" t="s">
        <v>28</v>
      </c>
      <c r="H290" s="42">
        <v>-1911.2714050417201</v>
      </c>
      <c r="I290" s="42">
        <v>-432.17</v>
      </c>
    </row>
    <row r="291" spans="1:9" ht="18" customHeight="1">
      <c r="A291" s="41" t="str">
        <f t="shared" si="7"/>
        <v>888JPY</v>
      </c>
      <c r="B291" s="42" t="s">
        <v>239</v>
      </c>
      <c r="C291" s="42">
        <v>888</v>
      </c>
      <c r="D291" s="42">
        <v>20020</v>
      </c>
      <c r="E291" s="42" t="s">
        <v>28</v>
      </c>
      <c r="F291" s="42" t="s">
        <v>10</v>
      </c>
      <c r="G291" s="42" t="s">
        <v>10</v>
      </c>
      <c r="H291" s="42">
        <v>58470.405899999998</v>
      </c>
      <c r="I291" s="42">
        <v>526.30999999999995</v>
      </c>
    </row>
    <row r="292" spans="1:9" ht="18" customHeight="1">
      <c r="A292" s="41" t="str">
        <f t="shared" si="7"/>
        <v>888JPY</v>
      </c>
      <c r="B292" s="42" t="s">
        <v>27</v>
      </c>
      <c r="C292" s="42">
        <v>888</v>
      </c>
      <c r="D292" s="42">
        <v>20020</v>
      </c>
      <c r="E292" s="42" t="s">
        <v>10</v>
      </c>
      <c r="F292" s="42" t="s">
        <v>28</v>
      </c>
      <c r="G292" s="42" t="s">
        <v>10</v>
      </c>
      <c r="H292" s="42">
        <v>-34858.609329999999</v>
      </c>
      <c r="I292" s="42">
        <v>-313.77</v>
      </c>
    </row>
    <row r="293" spans="1:9" ht="18" customHeight="1">
      <c r="A293" s="41" t="str">
        <f t="shared" si="7"/>
        <v>888MYR</v>
      </c>
      <c r="B293" s="42" t="s">
        <v>27</v>
      </c>
      <c r="C293" s="42">
        <v>888</v>
      </c>
      <c r="D293" s="42">
        <v>20020</v>
      </c>
      <c r="E293" s="42" t="s">
        <v>10</v>
      </c>
      <c r="F293" s="42" t="s">
        <v>28</v>
      </c>
      <c r="G293" s="42" t="s">
        <v>28</v>
      </c>
      <c r="H293" s="42">
        <v>1179.0725104109599</v>
      </c>
      <c r="I293" s="42">
        <v>266.61</v>
      </c>
    </row>
    <row r="294" spans="1:9" ht="18" customHeight="1">
      <c r="A294" s="41" t="str">
        <f t="shared" si="7"/>
        <v>888MYR</v>
      </c>
      <c r="B294" s="42" t="s">
        <v>240</v>
      </c>
      <c r="C294" s="42">
        <v>888</v>
      </c>
      <c r="D294" s="42">
        <v>20020</v>
      </c>
      <c r="E294" s="42" t="s">
        <v>28</v>
      </c>
      <c r="F294" s="42" t="s">
        <v>10</v>
      </c>
      <c r="G294" s="42" t="s">
        <v>28</v>
      </c>
      <c r="H294" s="42">
        <v>-1499.3693431740601</v>
      </c>
      <c r="I294" s="42">
        <v>-339.03</v>
      </c>
    </row>
    <row r="295" spans="1:9" ht="18" customHeight="1">
      <c r="A295" s="41" t="str">
        <f t="shared" si="7"/>
        <v>888JPY</v>
      </c>
      <c r="B295" s="42" t="s">
        <v>240</v>
      </c>
      <c r="C295" s="42">
        <v>888</v>
      </c>
      <c r="D295" s="42">
        <v>20020</v>
      </c>
      <c r="E295" s="42" t="s">
        <v>28</v>
      </c>
      <c r="F295" s="42" t="s">
        <v>10</v>
      </c>
      <c r="G295" s="42" t="s">
        <v>10</v>
      </c>
      <c r="H295" s="42">
        <v>44895.384019999998</v>
      </c>
      <c r="I295" s="42">
        <v>404.12</v>
      </c>
    </row>
    <row r="296" spans="1:9" ht="18" customHeight="1">
      <c r="A296" s="41" t="str">
        <f t="shared" si="7"/>
        <v>888JPY</v>
      </c>
      <c r="B296" s="42" t="s">
        <v>241</v>
      </c>
      <c r="C296" s="42">
        <v>888</v>
      </c>
      <c r="D296" s="42">
        <v>20020</v>
      </c>
      <c r="E296" s="42" t="s">
        <v>10</v>
      </c>
      <c r="F296" s="42" t="s">
        <v>28</v>
      </c>
      <c r="G296" s="42" t="s">
        <v>10</v>
      </c>
      <c r="H296" s="42">
        <v>-53232.246709999999</v>
      </c>
      <c r="I296" s="42">
        <v>-479.16</v>
      </c>
    </row>
    <row r="297" spans="1:9" ht="18" customHeight="1">
      <c r="A297" s="41" t="str">
        <f t="shared" si="7"/>
        <v>888MYR</v>
      </c>
      <c r="B297" s="42" t="s">
        <v>241</v>
      </c>
      <c r="C297" s="42">
        <v>888</v>
      </c>
      <c r="D297" s="42">
        <v>20020</v>
      </c>
      <c r="E297" s="42" t="s">
        <v>10</v>
      </c>
      <c r="F297" s="42" t="s">
        <v>28</v>
      </c>
      <c r="G297" s="42" t="s">
        <v>28</v>
      </c>
      <c r="H297" s="42">
        <v>1742.4658652165599</v>
      </c>
      <c r="I297" s="42">
        <v>394</v>
      </c>
    </row>
    <row r="298" spans="1:9" ht="18" customHeight="1">
      <c r="A298" s="41" t="str">
        <f t="shared" si="7"/>
        <v>888MYR</v>
      </c>
      <c r="B298" s="42" t="s">
        <v>242</v>
      </c>
      <c r="C298" s="42">
        <v>888</v>
      </c>
      <c r="D298" s="42">
        <v>20020</v>
      </c>
      <c r="E298" s="42" t="s">
        <v>28</v>
      </c>
      <c r="F298" s="42" t="s">
        <v>10</v>
      </c>
      <c r="G298" s="42" t="s">
        <v>28</v>
      </c>
      <c r="H298" s="42">
        <v>-1548.7249609274299</v>
      </c>
      <c r="I298" s="42">
        <v>-350.19</v>
      </c>
    </row>
    <row r="299" spans="1:9" ht="18" customHeight="1">
      <c r="A299" s="41" t="str">
        <f t="shared" si="7"/>
        <v>888JPY</v>
      </c>
      <c r="B299" s="42" t="s">
        <v>242</v>
      </c>
      <c r="C299" s="42">
        <v>888</v>
      </c>
      <c r="D299" s="42">
        <v>20020</v>
      </c>
      <c r="E299" s="42" t="s">
        <v>28</v>
      </c>
      <c r="F299" s="42" t="s">
        <v>10</v>
      </c>
      <c r="G299" s="42" t="s">
        <v>10</v>
      </c>
      <c r="H299" s="42">
        <v>46497.495029999998</v>
      </c>
      <c r="I299" s="42">
        <v>418.54</v>
      </c>
    </row>
    <row r="300" spans="1:9" ht="18" customHeight="1">
      <c r="A300" s="41" t="str">
        <f t="shared" si="7"/>
        <v>888JPY</v>
      </c>
      <c r="B300" s="42" t="s">
        <v>243</v>
      </c>
      <c r="C300" s="42">
        <v>888</v>
      </c>
      <c r="D300" s="42">
        <v>20020</v>
      </c>
      <c r="E300" s="42" t="s">
        <v>10</v>
      </c>
      <c r="F300" s="42" t="s">
        <v>28</v>
      </c>
      <c r="G300" s="42" t="s">
        <v>10</v>
      </c>
      <c r="H300" s="42">
        <v>-54942.14933</v>
      </c>
      <c r="I300" s="42">
        <v>-494.55</v>
      </c>
    </row>
    <row r="301" spans="1:9" ht="18" customHeight="1">
      <c r="A301" s="41" t="str">
        <f t="shared" si="7"/>
        <v>888MYR</v>
      </c>
      <c r="B301" s="42" t="s">
        <v>243</v>
      </c>
      <c r="C301" s="42">
        <v>888</v>
      </c>
      <c r="D301" s="42">
        <v>20020</v>
      </c>
      <c r="E301" s="42" t="s">
        <v>10</v>
      </c>
      <c r="F301" s="42" t="s">
        <v>28</v>
      </c>
      <c r="G301" s="42" t="s">
        <v>28</v>
      </c>
      <c r="H301" s="42">
        <v>1793.66737997632</v>
      </c>
      <c r="I301" s="42">
        <v>405.58</v>
      </c>
    </row>
    <row r="302" spans="1:9" ht="18" customHeight="1">
      <c r="A302" s="41" t="str">
        <f t="shared" si="7"/>
        <v>888MYR</v>
      </c>
      <c r="B302" s="42" t="s">
        <v>244</v>
      </c>
      <c r="C302" s="42">
        <v>888</v>
      </c>
      <c r="D302" s="42">
        <v>20020</v>
      </c>
      <c r="E302" s="42" t="s">
        <v>28</v>
      </c>
      <c r="F302" s="42" t="s">
        <v>10</v>
      </c>
      <c r="G302" s="42" t="s">
        <v>28</v>
      </c>
      <c r="H302" s="42">
        <v>-1599.8578233205701</v>
      </c>
      <c r="I302" s="42">
        <v>-361.75</v>
      </c>
    </row>
    <row r="303" spans="1:9" ht="18" customHeight="1">
      <c r="A303" s="41" t="str">
        <f t="shared" si="7"/>
        <v>888JPY</v>
      </c>
      <c r="B303" s="42" t="s">
        <v>244</v>
      </c>
      <c r="C303" s="42">
        <v>888</v>
      </c>
      <c r="D303" s="42">
        <v>20020</v>
      </c>
      <c r="E303" s="42" t="s">
        <v>28</v>
      </c>
      <c r="F303" s="42" t="s">
        <v>10</v>
      </c>
      <c r="G303" s="42" t="s">
        <v>10</v>
      </c>
      <c r="H303" s="42">
        <v>48154.365960000003</v>
      </c>
      <c r="I303" s="42">
        <v>433.45</v>
      </c>
    </row>
    <row r="304" spans="1:9" ht="18" customHeight="1">
      <c r="A304" s="41" t="str">
        <f t="shared" si="7"/>
        <v>888MYR</v>
      </c>
      <c r="B304" s="42" t="s">
        <v>245</v>
      </c>
      <c r="C304" s="42">
        <v>888</v>
      </c>
      <c r="D304" s="42">
        <v>20020</v>
      </c>
      <c r="E304" s="42" t="s">
        <v>28</v>
      </c>
      <c r="F304" s="42" t="s">
        <v>10</v>
      </c>
      <c r="G304" s="42" t="s">
        <v>28</v>
      </c>
      <c r="H304" s="42">
        <v>-1655.4516359558099</v>
      </c>
      <c r="I304" s="42">
        <v>-374.32</v>
      </c>
    </row>
    <row r="305" spans="1:9" ht="18" customHeight="1">
      <c r="A305" s="41" t="str">
        <f t="shared" si="7"/>
        <v>888JPY</v>
      </c>
      <c r="B305" s="42" t="s">
        <v>245</v>
      </c>
      <c r="C305" s="42">
        <v>888</v>
      </c>
      <c r="D305" s="42">
        <v>20020</v>
      </c>
      <c r="E305" s="42" t="s">
        <v>28</v>
      </c>
      <c r="F305" s="42" t="s">
        <v>10</v>
      </c>
      <c r="G305" s="42" t="s">
        <v>10</v>
      </c>
      <c r="H305" s="42">
        <v>49976.341220000002</v>
      </c>
      <c r="I305" s="42">
        <v>449.85</v>
      </c>
    </row>
    <row r="306" spans="1:9" ht="18" customHeight="1">
      <c r="A306" s="41" t="str">
        <f t="shared" si="7"/>
        <v>888MYR</v>
      </c>
      <c r="B306" s="42" t="s">
        <v>246</v>
      </c>
      <c r="C306" s="42">
        <v>888</v>
      </c>
      <c r="D306" s="42">
        <v>20020</v>
      </c>
      <c r="E306" s="42" t="s">
        <v>28</v>
      </c>
      <c r="F306" s="42" t="s">
        <v>10</v>
      </c>
      <c r="G306" s="42" t="s">
        <v>28</v>
      </c>
      <c r="H306" s="42">
        <v>-1702.6519531671599</v>
      </c>
      <c r="I306" s="42">
        <v>-385</v>
      </c>
    </row>
    <row r="307" spans="1:9" ht="18" customHeight="1">
      <c r="A307" s="41" t="str">
        <f t="shared" si="7"/>
        <v>888JPY</v>
      </c>
      <c r="B307" s="42" t="s">
        <v>246</v>
      </c>
      <c r="C307" s="42">
        <v>888</v>
      </c>
      <c r="D307" s="42">
        <v>20020</v>
      </c>
      <c r="E307" s="42" t="s">
        <v>28</v>
      </c>
      <c r="F307" s="42" t="s">
        <v>10</v>
      </c>
      <c r="G307" s="42" t="s">
        <v>10</v>
      </c>
      <c r="H307" s="42">
        <v>51521.770559999997</v>
      </c>
      <c r="I307" s="42">
        <v>463.77</v>
      </c>
    </row>
    <row r="308" spans="1:9" ht="18" customHeight="1">
      <c r="A308" s="41" t="str">
        <f t="shared" si="7"/>
        <v>888MYR</v>
      </c>
      <c r="B308" s="42" t="s">
        <v>247</v>
      </c>
      <c r="C308" s="42">
        <v>888</v>
      </c>
      <c r="D308" s="42">
        <v>20020</v>
      </c>
      <c r="E308" s="42" t="s">
        <v>28</v>
      </c>
      <c r="F308" s="42" t="s">
        <v>10</v>
      </c>
      <c r="G308" s="42" t="s">
        <v>28</v>
      </c>
      <c r="H308" s="42">
        <v>-1337.3006956940201</v>
      </c>
      <c r="I308" s="42">
        <v>-302.39</v>
      </c>
    </row>
    <row r="309" spans="1:9" ht="18" customHeight="1">
      <c r="A309" s="41" t="str">
        <f t="shared" si="7"/>
        <v>888JPY</v>
      </c>
      <c r="B309" s="42" t="s">
        <v>247</v>
      </c>
      <c r="C309" s="42">
        <v>888</v>
      </c>
      <c r="D309" s="42">
        <v>20020</v>
      </c>
      <c r="E309" s="42" t="s">
        <v>28</v>
      </c>
      <c r="F309" s="42" t="s">
        <v>10</v>
      </c>
      <c r="G309" s="42" t="s">
        <v>10</v>
      </c>
      <c r="H309" s="42">
        <v>39704.829310000001</v>
      </c>
      <c r="I309" s="42">
        <v>357.4</v>
      </c>
    </row>
    <row r="310" spans="1:9" ht="18" customHeight="1">
      <c r="A310" s="41" t="str">
        <f t="shared" si="7"/>
        <v>888JPY</v>
      </c>
      <c r="B310" s="42" t="s">
        <v>248</v>
      </c>
      <c r="C310" s="42">
        <v>888</v>
      </c>
      <c r="D310" s="42">
        <v>20020</v>
      </c>
      <c r="E310" s="42" t="s">
        <v>10</v>
      </c>
      <c r="F310" s="42" t="s">
        <v>28</v>
      </c>
      <c r="G310" s="42" t="s">
        <v>10</v>
      </c>
      <c r="H310" s="42">
        <v>-51521.770559999997</v>
      </c>
      <c r="I310" s="42">
        <v>-463.77</v>
      </c>
    </row>
    <row r="311" spans="1:9" ht="18" customHeight="1">
      <c r="A311" s="41" t="str">
        <f t="shared" si="7"/>
        <v>888MYR</v>
      </c>
      <c r="B311" s="42" t="s">
        <v>248</v>
      </c>
      <c r="C311" s="42">
        <v>888</v>
      </c>
      <c r="D311" s="42">
        <v>20020</v>
      </c>
      <c r="E311" s="42" t="s">
        <v>10</v>
      </c>
      <c r="F311" s="42" t="s">
        <v>28</v>
      </c>
      <c r="G311" s="42" t="s">
        <v>28</v>
      </c>
      <c r="H311" s="42">
        <v>1693.1022301274099</v>
      </c>
      <c r="I311" s="42">
        <v>382.84</v>
      </c>
    </row>
    <row r="312" spans="1:9" ht="18" customHeight="1">
      <c r="A312" s="41" t="str">
        <f t="shared" si="7"/>
        <v>888MYR</v>
      </c>
      <c r="B312" s="42" t="s">
        <v>249</v>
      </c>
      <c r="C312" s="42">
        <v>888</v>
      </c>
      <c r="D312" s="42">
        <v>20020</v>
      </c>
      <c r="E312" s="42" t="s">
        <v>28</v>
      </c>
      <c r="F312" s="42" t="s">
        <v>10</v>
      </c>
      <c r="G312" s="42" t="s">
        <v>28</v>
      </c>
      <c r="H312" s="42">
        <v>-1391.0336688021</v>
      </c>
      <c r="I312" s="42">
        <v>-314.54000000000002</v>
      </c>
    </row>
    <row r="313" spans="1:9" ht="18" customHeight="1">
      <c r="A313" s="41" t="str">
        <f t="shared" si="7"/>
        <v>888JPY</v>
      </c>
      <c r="B313" s="42" t="s">
        <v>249</v>
      </c>
      <c r="C313" s="42">
        <v>888</v>
      </c>
      <c r="D313" s="42">
        <v>20020</v>
      </c>
      <c r="E313" s="42" t="s">
        <v>28</v>
      </c>
      <c r="F313" s="42" t="s">
        <v>10</v>
      </c>
      <c r="G313" s="42" t="s">
        <v>10</v>
      </c>
      <c r="H313" s="42">
        <v>41413.393889999999</v>
      </c>
      <c r="I313" s="42">
        <v>372.78</v>
      </c>
    </row>
    <row r="314" spans="1:9" ht="18" customHeight="1">
      <c r="A314" s="41" t="str">
        <f t="shared" si="7"/>
        <v>888JPY</v>
      </c>
      <c r="B314" s="42" t="s">
        <v>250</v>
      </c>
      <c r="C314" s="42">
        <v>888</v>
      </c>
      <c r="D314" s="42">
        <v>20020</v>
      </c>
      <c r="E314" s="42" t="s">
        <v>10</v>
      </c>
      <c r="F314" s="42" t="s">
        <v>28</v>
      </c>
      <c r="G314" s="42" t="s">
        <v>10</v>
      </c>
      <c r="H314" s="42">
        <v>-26397.438529999999</v>
      </c>
      <c r="I314" s="42">
        <v>-237.61</v>
      </c>
    </row>
    <row r="315" spans="1:9" ht="18" customHeight="1">
      <c r="A315" s="41" t="str">
        <f t="shared" si="7"/>
        <v>888MYR</v>
      </c>
      <c r="B315" s="42" t="s">
        <v>250</v>
      </c>
      <c r="C315" s="42">
        <v>888</v>
      </c>
      <c r="D315" s="42">
        <v>20020</v>
      </c>
      <c r="E315" s="42" t="s">
        <v>10</v>
      </c>
      <c r="F315" s="42" t="s">
        <v>28</v>
      </c>
      <c r="G315" s="42" t="s">
        <v>28</v>
      </c>
      <c r="H315" s="42">
        <v>905.40574440169996</v>
      </c>
      <c r="I315" s="42">
        <v>204.73</v>
      </c>
    </row>
    <row r="316" spans="1:9" ht="18" customHeight="1">
      <c r="A316" s="41" t="str">
        <f t="shared" si="7"/>
        <v>888JPY</v>
      </c>
      <c r="B316" s="42" t="s">
        <v>251</v>
      </c>
      <c r="C316" s="42">
        <v>888</v>
      </c>
      <c r="D316" s="42">
        <v>20020</v>
      </c>
      <c r="E316" s="42" t="s">
        <v>10</v>
      </c>
      <c r="F316" s="42" t="s">
        <v>28</v>
      </c>
      <c r="G316" s="42" t="s">
        <v>10</v>
      </c>
      <c r="H316" s="42">
        <v>-29886.116000000002</v>
      </c>
      <c r="I316" s="42">
        <v>-269.02</v>
      </c>
    </row>
    <row r="317" spans="1:9" ht="18" customHeight="1">
      <c r="A317" s="41" t="str">
        <f t="shared" si="7"/>
        <v>888MYR</v>
      </c>
      <c r="B317" s="42" t="s">
        <v>251</v>
      </c>
      <c r="C317" s="42">
        <v>888</v>
      </c>
      <c r="D317" s="42">
        <v>20020</v>
      </c>
      <c r="E317" s="42" t="s">
        <v>10</v>
      </c>
      <c r="F317" s="42" t="s">
        <v>28</v>
      </c>
      <c r="G317" s="42" t="s">
        <v>28</v>
      </c>
      <c r="H317" s="42">
        <v>1019.1935061845199</v>
      </c>
      <c r="I317" s="42">
        <v>230.46</v>
      </c>
    </row>
    <row r="318" spans="1:9" ht="18" customHeight="1">
      <c r="A318" s="41" t="str">
        <f t="shared" si="7"/>
        <v>888MYR</v>
      </c>
      <c r="B318" s="42" t="s">
        <v>252</v>
      </c>
      <c r="C318" s="42">
        <v>888</v>
      </c>
      <c r="D318" s="42">
        <v>20020</v>
      </c>
      <c r="E318" s="42" t="s">
        <v>28</v>
      </c>
      <c r="F318" s="42" t="s">
        <v>10</v>
      </c>
      <c r="G318" s="42" t="s">
        <v>28</v>
      </c>
      <c r="H318" s="42">
        <v>-1442.6602383968</v>
      </c>
      <c r="I318" s="42">
        <v>-326.20999999999998</v>
      </c>
    </row>
    <row r="319" spans="1:9" ht="18" customHeight="1">
      <c r="A319" s="41" t="str">
        <f t="shared" si="7"/>
        <v>888JPY</v>
      </c>
      <c r="B319" s="42" t="s">
        <v>252</v>
      </c>
      <c r="C319" s="42">
        <v>888</v>
      </c>
      <c r="D319" s="42">
        <v>20020</v>
      </c>
      <c r="E319" s="42" t="s">
        <v>28</v>
      </c>
      <c r="F319" s="42" t="s">
        <v>10</v>
      </c>
      <c r="G319" s="42" t="s">
        <v>10</v>
      </c>
      <c r="H319" s="42">
        <v>43071.743730000002</v>
      </c>
      <c r="I319" s="42">
        <v>387.7</v>
      </c>
    </row>
    <row r="320" spans="1:9" ht="18" customHeight="1">
      <c r="A320" s="41" t="str">
        <f t="shared" si="7"/>
        <v>888JPY</v>
      </c>
      <c r="B320" s="42" t="s">
        <v>253</v>
      </c>
      <c r="C320" s="42">
        <v>888</v>
      </c>
      <c r="D320" s="42">
        <v>20020</v>
      </c>
      <c r="E320" s="42" t="s">
        <v>10</v>
      </c>
      <c r="F320" s="42" t="s">
        <v>28</v>
      </c>
      <c r="G320" s="42" t="s">
        <v>10</v>
      </c>
      <c r="H320" s="42">
        <v>-46497.495029999998</v>
      </c>
      <c r="I320" s="42">
        <v>-418.54</v>
      </c>
    </row>
    <row r="321" spans="1:9" ht="18" customHeight="1">
      <c r="A321" s="41" t="str">
        <f t="shared" si="7"/>
        <v>888MYR</v>
      </c>
      <c r="B321" s="42" t="s">
        <v>253</v>
      </c>
      <c r="C321" s="42">
        <v>888</v>
      </c>
      <c r="D321" s="42">
        <v>20020</v>
      </c>
      <c r="E321" s="42" t="s">
        <v>10</v>
      </c>
      <c r="F321" s="42" t="s">
        <v>28</v>
      </c>
      <c r="G321" s="42" t="s">
        <v>28</v>
      </c>
      <c r="H321" s="42">
        <v>1541.9016969571801</v>
      </c>
      <c r="I321" s="42">
        <v>348.65</v>
      </c>
    </row>
    <row r="322" spans="1:9" ht="18" customHeight="1">
      <c r="A322" s="41" t="str">
        <f t="shared" si="7"/>
        <v>888JPY</v>
      </c>
      <c r="B322" s="42" t="s">
        <v>254</v>
      </c>
      <c r="C322" s="42">
        <v>888</v>
      </c>
      <c r="D322" s="42">
        <v>20020</v>
      </c>
      <c r="E322" s="42" t="s">
        <v>10</v>
      </c>
      <c r="F322" s="42" t="s">
        <v>28</v>
      </c>
      <c r="G322" s="42" t="s">
        <v>10</v>
      </c>
      <c r="H322" s="42">
        <v>-19516.069149999999</v>
      </c>
      <c r="I322" s="42">
        <v>-175.67</v>
      </c>
    </row>
    <row r="323" spans="1:9" ht="18" customHeight="1">
      <c r="A323" s="41" t="str">
        <f t="shared" ref="A323:A386" si="8">CONCATENATE(C323,G323)</f>
        <v>888MYR</v>
      </c>
      <c r="B323" s="42" t="s">
        <v>254</v>
      </c>
      <c r="C323" s="42">
        <v>888</v>
      </c>
      <c r="D323" s="42">
        <v>20020</v>
      </c>
      <c r="E323" s="42" t="s">
        <v>10</v>
      </c>
      <c r="F323" s="42" t="s">
        <v>28</v>
      </c>
      <c r="G323" s="42" t="s">
        <v>28</v>
      </c>
      <c r="H323" s="42">
        <v>677.18822262344997</v>
      </c>
      <c r="I323" s="42">
        <v>153.12</v>
      </c>
    </row>
    <row r="324" spans="1:9" ht="18" customHeight="1">
      <c r="A324" s="41" t="str">
        <f t="shared" si="8"/>
        <v>888MYR</v>
      </c>
      <c r="B324" s="42" t="s">
        <v>255</v>
      </c>
      <c r="C324" s="42">
        <v>888</v>
      </c>
      <c r="D324" s="42">
        <v>20020</v>
      </c>
      <c r="E324" s="42" t="s">
        <v>28</v>
      </c>
      <c r="F324" s="42" t="s">
        <v>10</v>
      </c>
      <c r="G324" s="42" t="s">
        <v>28</v>
      </c>
      <c r="H324" s="42">
        <v>-1071.10032547266</v>
      </c>
      <c r="I324" s="42">
        <v>-242.19</v>
      </c>
    </row>
    <row r="325" spans="1:9" ht="18" customHeight="1">
      <c r="A325" s="41" t="str">
        <f t="shared" si="8"/>
        <v>888JPY</v>
      </c>
      <c r="B325" s="42" t="s">
        <v>255</v>
      </c>
      <c r="C325" s="42">
        <v>888</v>
      </c>
      <c r="D325" s="42">
        <v>20020</v>
      </c>
      <c r="E325" s="42" t="s">
        <v>28</v>
      </c>
      <c r="F325" s="42" t="s">
        <v>10</v>
      </c>
      <c r="G325" s="42" t="s">
        <v>10</v>
      </c>
      <c r="H325" s="42">
        <v>31379.373370000001</v>
      </c>
      <c r="I325" s="42">
        <v>282.45999999999998</v>
      </c>
    </row>
    <row r="326" spans="1:9" ht="18" customHeight="1">
      <c r="A326" s="41" t="str">
        <f t="shared" si="8"/>
        <v>888MYR</v>
      </c>
      <c r="B326" s="42" t="s">
        <v>256</v>
      </c>
      <c r="C326" s="42">
        <v>888</v>
      </c>
      <c r="D326" s="42">
        <v>20020</v>
      </c>
      <c r="E326" s="42" t="s">
        <v>28</v>
      </c>
      <c r="F326" s="42" t="s">
        <v>10</v>
      </c>
      <c r="G326" s="42" t="s">
        <v>28</v>
      </c>
      <c r="H326" s="42">
        <v>-1234.2775793854501</v>
      </c>
      <c r="I326" s="42">
        <v>-279.08999999999997</v>
      </c>
    </row>
    <row r="327" spans="1:9" ht="18" customHeight="1">
      <c r="A327" s="41" t="str">
        <f t="shared" si="8"/>
        <v>888JPY</v>
      </c>
      <c r="B327" s="42" t="s">
        <v>256</v>
      </c>
      <c r="C327" s="42">
        <v>888</v>
      </c>
      <c r="D327" s="42">
        <v>20020</v>
      </c>
      <c r="E327" s="42" t="s">
        <v>28</v>
      </c>
      <c r="F327" s="42" t="s">
        <v>10</v>
      </c>
      <c r="G327" s="42" t="s">
        <v>10</v>
      </c>
      <c r="H327" s="42">
        <v>36457.534030000003</v>
      </c>
      <c r="I327" s="42">
        <v>328.17</v>
      </c>
    </row>
    <row r="328" spans="1:9" ht="18" customHeight="1">
      <c r="A328" s="41" t="str">
        <f t="shared" si="8"/>
        <v>888MYR</v>
      </c>
      <c r="B328" s="42" t="s">
        <v>257</v>
      </c>
      <c r="C328" s="42">
        <v>888</v>
      </c>
      <c r="D328" s="42">
        <v>20020</v>
      </c>
      <c r="E328" s="42" t="s">
        <v>28</v>
      </c>
      <c r="F328" s="42" t="s">
        <v>10</v>
      </c>
      <c r="G328" s="42" t="s">
        <v>28</v>
      </c>
      <c r="H328" s="42">
        <v>-93.716308577800007</v>
      </c>
      <c r="I328" s="42">
        <v>-21.19</v>
      </c>
    </row>
    <row r="329" spans="1:9" ht="18" customHeight="1">
      <c r="A329" s="41" t="str">
        <f t="shared" si="8"/>
        <v>888JPY</v>
      </c>
      <c r="B329" s="42" t="s">
        <v>257</v>
      </c>
      <c r="C329" s="42">
        <v>888</v>
      </c>
      <c r="D329" s="42">
        <v>20020</v>
      </c>
      <c r="E329" s="42" t="s">
        <v>28</v>
      </c>
      <c r="F329" s="42" t="s">
        <v>10</v>
      </c>
      <c r="G329" s="42" t="s">
        <v>10</v>
      </c>
      <c r="H329" s="42">
        <v>2611.7350200000001</v>
      </c>
      <c r="I329" s="42">
        <v>23.51</v>
      </c>
    </row>
    <row r="330" spans="1:9" ht="18" customHeight="1">
      <c r="A330" s="41" t="str">
        <f t="shared" si="8"/>
        <v>888JPY</v>
      </c>
      <c r="B330" s="42" t="s">
        <v>258</v>
      </c>
      <c r="C330" s="42">
        <v>888</v>
      </c>
      <c r="D330" s="42">
        <v>20020</v>
      </c>
      <c r="E330" s="42" t="s">
        <v>10</v>
      </c>
      <c r="F330" s="42" t="s">
        <v>28</v>
      </c>
      <c r="G330" s="42" t="s">
        <v>10</v>
      </c>
      <c r="H330" s="42">
        <v>-21293.511569999999</v>
      </c>
      <c r="I330" s="42">
        <v>-191.67</v>
      </c>
    </row>
    <row r="331" spans="1:9" ht="18" customHeight="1">
      <c r="A331" s="41" t="str">
        <f t="shared" si="8"/>
        <v>888MYR</v>
      </c>
      <c r="B331" s="42" t="s">
        <v>258</v>
      </c>
      <c r="C331" s="42">
        <v>888</v>
      </c>
      <c r="D331" s="42">
        <v>20020</v>
      </c>
      <c r="E331" s="42" t="s">
        <v>10</v>
      </c>
      <c r="F331" s="42" t="s">
        <v>28</v>
      </c>
      <c r="G331" s="42" t="s">
        <v>28</v>
      </c>
      <c r="H331" s="42">
        <v>736.66308983727004</v>
      </c>
      <c r="I331" s="42">
        <v>166.57</v>
      </c>
    </row>
    <row r="332" spans="1:9" ht="18" customHeight="1">
      <c r="A332" s="41" t="str">
        <f t="shared" si="8"/>
        <v>888JPY</v>
      </c>
      <c r="B332" s="42" t="s">
        <v>259</v>
      </c>
      <c r="C332" s="42">
        <v>888</v>
      </c>
      <c r="D332" s="42">
        <v>20020</v>
      </c>
      <c r="E332" s="42" t="s">
        <v>10</v>
      </c>
      <c r="F332" s="42" t="s">
        <v>28</v>
      </c>
      <c r="G332" s="42" t="s">
        <v>10</v>
      </c>
      <c r="H332" s="42">
        <v>-31379.373370000001</v>
      </c>
      <c r="I332" s="42">
        <v>-282.45999999999998</v>
      </c>
    </row>
    <row r="333" spans="1:9" ht="18" customHeight="1">
      <c r="A333" s="41" t="str">
        <f t="shared" si="8"/>
        <v>888MYR</v>
      </c>
      <c r="B333" s="42" t="s">
        <v>259</v>
      </c>
      <c r="C333" s="42">
        <v>888</v>
      </c>
      <c r="D333" s="42">
        <v>20020</v>
      </c>
      <c r="E333" s="42" t="s">
        <v>10</v>
      </c>
      <c r="F333" s="42" t="s">
        <v>28</v>
      </c>
      <c r="G333" s="42" t="s">
        <v>28</v>
      </c>
      <c r="H333" s="42">
        <v>1067.63290412016</v>
      </c>
      <c r="I333" s="42">
        <v>241.41</v>
      </c>
    </row>
    <row r="334" spans="1:9" ht="18" customHeight="1">
      <c r="A334" s="41" t="str">
        <f t="shared" si="8"/>
        <v>888MYR</v>
      </c>
      <c r="B334" s="42" t="s">
        <v>260</v>
      </c>
      <c r="C334" s="42">
        <v>888</v>
      </c>
      <c r="D334" s="42">
        <v>20020</v>
      </c>
      <c r="E334" s="42" t="s">
        <v>28</v>
      </c>
      <c r="F334" s="42" t="s">
        <v>10</v>
      </c>
      <c r="G334" s="42" t="s">
        <v>28</v>
      </c>
      <c r="H334" s="42">
        <v>-1288.5606749516801</v>
      </c>
      <c r="I334" s="42">
        <v>-291.36</v>
      </c>
    </row>
    <row r="335" spans="1:9" ht="18" customHeight="1">
      <c r="A335" s="41" t="str">
        <f t="shared" si="8"/>
        <v>888JPY</v>
      </c>
      <c r="B335" s="42" t="s">
        <v>260</v>
      </c>
      <c r="C335" s="42">
        <v>888</v>
      </c>
      <c r="D335" s="42">
        <v>20020</v>
      </c>
      <c r="E335" s="42" t="s">
        <v>28</v>
      </c>
      <c r="F335" s="42" t="s">
        <v>10</v>
      </c>
      <c r="G335" s="42" t="s">
        <v>10</v>
      </c>
      <c r="H335" s="42">
        <v>38164.729249999997</v>
      </c>
      <c r="I335" s="42">
        <v>343.53</v>
      </c>
    </row>
    <row r="336" spans="1:9" ht="18" customHeight="1">
      <c r="A336" s="41" t="str">
        <f t="shared" si="8"/>
        <v>888MYR</v>
      </c>
      <c r="B336" s="42" t="s">
        <v>261</v>
      </c>
      <c r="C336" s="42">
        <v>888</v>
      </c>
      <c r="D336" s="42">
        <v>20020</v>
      </c>
      <c r="E336" s="42" t="s">
        <v>28</v>
      </c>
      <c r="F336" s="42" t="s">
        <v>10</v>
      </c>
      <c r="G336" s="42" t="s">
        <v>28</v>
      </c>
      <c r="H336" s="42">
        <v>-849.91316088220003</v>
      </c>
      <c r="I336" s="42">
        <v>-192.18</v>
      </c>
    </row>
    <row r="337" spans="1:9" ht="18" customHeight="1">
      <c r="A337" s="41" t="str">
        <f t="shared" si="8"/>
        <v>888JPY</v>
      </c>
      <c r="B337" s="42" t="s">
        <v>261</v>
      </c>
      <c r="C337" s="42">
        <v>888</v>
      </c>
      <c r="D337" s="42">
        <v>20020</v>
      </c>
      <c r="E337" s="42" t="s">
        <v>28</v>
      </c>
      <c r="F337" s="42" t="s">
        <v>10</v>
      </c>
      <c r="G337" s="42" t="s">
        <v>10</v>
      </c>
      <c r="H337" s="42">
        <v>24623.28183</v>
      </c>
      <c r="I337" s="42">
        <v>221.64</v>
      </c>
    </row>
    <row r="338" spans="1:9" ht="18" customHeight="1">
      <c r="A338" s="41" t="str">
        <f t="shared" si="8"/>
        <v>888MYR</v>
      </c>
      <c r="B338" s="42" t="s">
        <v>262</v>
      </c>
      <c r="C338" s="42">
        <v>888</v>
      </c>
      <c r="D338" s="42">
        <v>20020</v>
      </c>
      <c r="E338" s="42" t="s">
        <v>28</v>
      </c>
      <c r="F338" s="42" t="s">
        <v>10</v>
      </c>
      <c r="G338" s="42" t="s">
        <v>28</v>
      </c>
      <c r="H338" s="42">
        <v>-908.37358722044996</v>
      </c>
      <c r="I338" s="42">
        <v>-205.4</v>
      </c>
    </row>
    <row r="339" spans="1:9" ht="18" customHeight="1">
      <c r="A339" s="41" t="str">
        <f t="shared" si="8"/>
        <v>888JPY</v>
      </c>
      <c r="B339" s="42" t="s">
        <v>262</v>
      </c>
      <c r="C339" s="42">
        <v>888</v>
      </c>
      <c r="D339" s="42">
        <v>20020</v>
      </c>
      <c r="E339" s="42" t="s">
        <v>28</v>
      </c>
      <c r="F339" s="42" t="s">
        <v>10</v>
      </c>
      <c r="G339" s="42" t="s">
        <v>10</v>
      </c>
      <c r="H339" s="42">
        <v>26397.438529999999</v>
      </c>
      <c r="I339" s="42">
        <v>237.61</v>
      </c>
    </row>
    <row r="340" spans="1:9" ht="18" customHeight="1">
      <c r="A340" s="41" t="str">
        <f t="shared" si="8"/>
        <v>888JPY</v>
      </c>
      <c r="B340" s="42" t="s">
        <v>263</v>
      </c>
      <c r="C340" s="42">
        <v>888</v>
      </c>
      <c r="D340" s="42">
        <v>20020</v>
      </c>
      <c r="E340" s="42" t="s">
        <v>10</v>
      </c>
      <c r="F340" s="42" t="s">
        <v>28</v>
      </c>
      <c r="G340" s="42" t="s">
        <v>10</v>
      </c>
      <c r="H340" s="42">
        <v>-17960.079570000002</v>
      </c>
      <c r="I340" s="42">
        <v>-161.66999999999999</v>
      </c>
    </row>
    <row r="341" spans="1:9" ht="18" customHeight="1">
      <c r="A341" s="41" t="str">
        <f t="shared" si="8"/>
        <v>888MYR</v>
      </c>
      <c r="B341" s="42" t="s">
        <v>263</v>
      </c>
      <c r="C341" s="42">
        <v>888</v>
      </c>
      <c r="D341" s="42">
        <v>20020</v>
      </c>
      <c r="E341" s="42" t="s">
        <v>10</v>
      </c>
      <c r="F341" s="42" t="s">
        <v>28</v>
      </c>
      <c r="G341" s="42" t="s">
        <v>28</v>
      </c>
      <c r="H341" s="42">
        <v>624.83103155514004</v>
      </c>
      <c r="I341" s="42">
        <v>141.28</v>
      </c>
    </row>
    <row r="342" spans="1:9" ht="18" customHeight="1">
      <c r="A342" s="41" t="str">
        <f t="shared" si="8"/>
        <v>888MYR</v>
      </c>
      <c r="B342" s="42" t="s">
        <v>264</v>
      </c>
      <c r="C342" s="42">
        <v>888</v>
      </c>
      <c r="D342" s="42">
        <v>20020</v>
      </c>
      <c r="E342" s="42" t="s">
        <v>28</v>
      </c>
      <c r="F342" s="42" t="s">
        <v>10</v>
      </c>
      <c r="G342" s="42" t="s">
        <v>28</v>
      </c>
      <c r="H342" s="42">
        <v>-961.20015606125003</v>
      </c>
      <c r="I342" s="42">
        <v>-217.34</v>
      </c>
    </row>
    <row r="343" spans="1:9" ht="18" customHeight="1">
      <c r="A343" s="41" t="str">
        <f t="shared" si="8"/>
        <v>888JPY</v>
      </c>
      <c r="B343" s="42" t="s">
        <v>264</v>
      </c>
      <c r="C343" s="42">
        <v>888</v>
      </c>
      <c r="D343" s="42">
        <v>20020</v>
      </c>
      <c r="E343" s="42" t="s">
        <v>28</v>
      </c>
      <c r="F343" s="42" t="s">
        <v>10</v>
      </c>
      <c r="G343" s="42" t="s">
        <v>10</v>
      </c>
      <c r="H343" s="42">
        <v>28004.073540000001</v>
      </c>
      <c r="I343" s="42">
        <v>252.07</v>
      </c>
    </row>
    <row r="344" spans="1:9" ht="18" customHeight="1">
      <c r="A344" s="41" t="str">
        <f t="shared" si="8"/>
        <v>888MYR</v>
      </c>
      <c r="B344" s="42" t="s">
        <v>265</v>
      </c>
      <c r="C344" s="42">
        <v>888</v>
      </c>
      <c r="D344" s="42">
        <v>20020</v>
      </c>
      <c r="E344" s="42" t="s">
        <v>28</v>
      </c>
      <c r="F344" s="42" t="s">
        <v>10</v>
      </c>
      <c r="G344" s="42" t="s">
        <v>28</v>
      </c>
      <c r="H344" s="42">
        <v>-1183.18258035791</v>
      </c>
      <c r="I344" s="42">
        <v>-267.54000000000002</v>
      </c>
    </row>
    <row r="345" spans="1:9" ht="18" customHeight="1">
      <c r="A345" s="41" t="str">
        <f t="shared" si="8"/>
        <v>888JPY</v>
      </c>
      <c r="B345" s="42" t="s">
        <v>265</v>
      </c>
      <c r="C345" s="42">
        <v>888</v>
      </c>
      <c r="D345" s="42">
        <v>20020</v>
      </c>
      <c r="E345" s="42" t="s">
        <v>28</v>
      </c>
      <c r="F345" s="42" t="s">
        <v>10</v>
      </c>
      <c r="G345" s="42" t="s">
        <v>10</v>
      </c>
      <c r="H345" s="42">
        <v>34858.609329999999</v>
      </c>
      <c r="I345" s="42">
        <v>313.77</v>
      </c>
    </row>
    <row r="346" spans="1:9" ht="18" customHeight="1">
      <c r="A346" s="41" t="str">
        <f t="shared" si="8"/>
        <v>888MYR</v>
      </c>
      <c r="B346" s="42" t="s">
        <v>266</v>
      </c>
      <c r="C346" s="42">
        <v>888</v>
      </c>
      <c r="D346" s="42">
        <v>20020</v>
      </c>
      <c r="E346" s="42" t="s">
        <v>28</v>
      </c>
      <c r="F346" s="42" t="s">
        <v>10</v>
      </c>
      <c r="G346" s="42" t="s">
        <v>28</v>
      </c>
      <c r="H346" s="42">
        <v>-1022.51309522702</v>
      </c>
      <c r="I346" s="42">
        <v>-231.21</v>
      </c>
    </row>
    <row r="347" spans="1:9" ht="18" customHeight="1">
      <c r="A347" s="41" t="str">
        <f t="shared" si="8"/>
        <v>888JPY</v>
      </c>
      <c r="B347" s="42" t="s">
        <v>266</v>
      </c>
      <c r="C347" s="42">
        <v>888</v>
      </c>
      <c r="D347" s="42">
        <v>20020</v>
      </c>
      <c r="E347" s="42" t="s">
        <v>28</v>
      </c>
      <c r="F347" s="42" t="s">
        <v>10</v>
      </c>
      <c r="G347" s="42" t="s">
        <v>10</v>
      </c>
      <c r="H347" s="42">
        <v>29886.116000000002</v>
      </c>
      <c r="I347" s="42">
        <v>269.02</v>
      </c>
    </row>
    <row r="348" spans="1:9" ht="18" customHeight="1">
      <c r="A348" s="41" t="str">
        <f t="shared" si="8"/>
        <v>888MYR</v>
      </c>
      <c r="B348" s="42" t="s">
        <v>267</v>
      </c>
      <c r="C348" s="42">
        <v>888</v>
      </c>
      <c r="D348" s="42">
        <v>20020</v>
      </c>
      <c r="E348" s="42" t="s">
        <v>28</v>
      </c>
      <c r="F348" s="42" t="s">
        <v>10</v>
      </c>
      <c r="G348" s="42" t="s">
        <v>28</v>
      </c>
      <c r="H348" s="42">
        <v>-679.43562811469997</v>
      </c>
      <c r="I348" s="42">
        <v>-153.63</v>
      </c>
    </row>
    <row r="349" spans="1:9" ht="18" customHeight="1">
      <c r="A349" s="41" t="str">
        <f t="shared" si="8"/>
        <v>888JPY</v>
      </c>
      <c r="B349" s="42" t="s">
        <v>267</v>
      </c>
      <c r="C349" s="42">
        <v>888</v>
      </c>
      <c r="D349" s="42">
        <v>20020</v>
      </c>
      <c r="E349" s="42" t="s">
        <v>28</v>
      </c>
      <c r="F349" s="42" t="s">
        <v>10</v>
      </c>
      <c r="G349" s="42" t="s">
        <v>10</v>
      </c>
      <c r="H349" s="42">
        <v>19516.069149999999</v>
      </c>
      <c r="I349" s="42">
        <v>175.67</v>
      </c>
    </row>
    <row r="350" spans="1:9" ht="18" customHeight="1">
      <c r="A350" s="41" t="str">
        <f t="shared" si="8"/>
        <v>888MYR</v>
      </c>
      <c r="B350" s="42" t="s">
        <v>268</v>
      </c>
      <c r="C350" s="42">
        <v>888</v>
      </c>
      <c r="D350" s="42">
        <v>20020</v>
      </c>
      <c r="E350" s="42" t="s">
        <v>28</v>
      </c>
      <c r="F350" s="42" t="s">
        <v>10</v>
      </c>
      <c r="G350" s="42" t="s">
        <v>28</v>
      </c>
      <c r="H350" s="42">
        <v>-739.09998311352001</v>
      </c>
      <c r="I350" s="42">
        <v>-167.12</v>
      </c>
    </row>
    <row r="351" spans="1:9" ht="18" customHeight="1">
      <c r="A351" s="41" t="str">
        <f t="shared" si="8"/>
        <v>888JPY</v>
      </c>
      <c r="B351" s="42" t="s">
        <v>268</v>
      </c>
      <c r="C351" s="42">
        <v>888</v>
      </c>
      <c r="D351" s="42">
        <v>20020</v>
      </c>
      <c r="E351" s="42" t="s">
        <v>28</v>
      </c>
      <c r="F351" s="42" t="s">
        <v>10</v>
      </c>
      <c r="G351" s="42" t="s">
        <v>10</v>
      </c>
      <c r="H351" s="42">
        <v>21293.511569999999</v>
      </c>
      <c r="I351" s="42">
        <v>191.67</v>
      </c>
    </row>
    <row r="352" spans="1:9" ht="18" customHeight="1">
      <c r="A352" s="41" t="str">
        <f t="shared" si="8"/>
        <v>888JPY</v>
      </c>
      <c r="B352" s="42" t="s">
        <v>269</v>
      </c>
      <c r="C352" s="42">
        <v>888</v>
      </c>
      <c r="D352" s="42">
        <v>20020</v>
      </c>
      <c r="E352" s="42" t="s">
        <v>10</v>
      </c>
      <c r="F352" s="42" t="s">
        <v>28</v>
      </c>
      <c r="G352" s="42" t="s">
        <v>10</v>
      </c>
      <c r="H352" s="42">
        <v>-16292.43086</v>
      </c>
      <c r="I352" s="42">
        <v>-146.65</v>
      </c>
    </row>
    <row r="353" spans="1:9" ht="18" customHeight="1">
      <c r="A353" s="41" t="str">
        <f t="shared" si="8"/>
        <v>888MYR</v>
      </c>
      <c r="B353" s="42" t="s">
        <v>269</v>
      </c>
      <c r="C353" s="42">
        <v>888</v>
      </c>
      <c r="D353" s="42">
        <v>20020</v>
      </c>
      <c r="E353" s="42" t="s">
        <v>10</v>
      </c>
      <c r="F353" s="42" t="s">
        <v>28</v>
      </c>
      <c r="G353" s="42" t="s">
        <v>28</v>
      </c>
      <c r="H353" s="42">
        <v>568.37860111973998</v>
      </c>
      <c r="I353" s="42">
        <v>128.52000000000001</v>
      </c>
    </row>
    <row r="354" spans="1:9" ht="18" customHeight="1">
      <c r="A354" s="41" t="str">
        <f t="shared" si="8"/>
        <v>888MYR</v>
      </c>
      <c r="B354" s="42" t="s">
        <v>270</v>
      </c>
      <c r="C354" s="42">
        <v>888</v>
      </c>
      <c r="D354" s="42">
        <v>20020</v>
      </c>
      <c r="E354" s="42" t="s">
        <v>28</v>
      </c>
      <c r="F354" s="42" t="s">
        <v>10</v>
      </c>
      <c r="G354" s="42" t="s">
        <v>28</v>
      </c>
      <c r="H354" s="42">
        <v>-792.83110111218002</v>
      </c>
      <c r="I354" s="42">
        <v>-179.27</v>
      </c>
    </row>
    <row r="355" spans="1:9" ht="18" customHeight="1">
      <c r="A355" s="41" t="str">
        <f t="shared" si="8"/>
        <v>888JPY</v>
      </c>
      <c r="B355" s="42" t="s">
        <v>270</v>
      </c>
      <c r="C355" s="42">
        <v>888</v>
      </c>
      <c r="D355" s="42">
        <v>20020</v>
      </c>
      <c r="E355" s="42" t="s">
        <v>28</v>
      </c>
      <c r="F355" s="42" t="s">
        <v>10</v>
      </c>
      <c r="G355" s="42" t="s">
        <v>10</v>
      </c>
      <c r="H355" s="42">
        <v>22903.383440000001</v>
      </c>
      <c r="I355" s="42">
        <v>206.16</v>
      </c>
    </row>
    <row r="356" spans="1:9" ht="18" customHeight="1">
      <c r="A356" s="41" t="str">
        <f t="shared" si="8"/>
        <v>888MYR</v>
      </c>
      <c r="B356" s="42" t="s">
        <v>271</v>
      </c>
      <c r="C356" s="42">
        <v>888</v>
      </c>
      <c r="D356" s="42">
        <v>20020</v>
      </c>
      <c r="E356" s="42" t="s">
        <v>28</v>
      </c>
      <c r="F356" s="42" t="s">
        <v>10</v>
      </c>
      <c r="G356" s="42" t="s">
        <v>28</v>
      </c>
      <c r="H356" s="42">
        <v>-38.036330845750001</v>
      </c>
      <c r="I356" s="42">
        <v>-8.6</v>
      </c>
    </row>
    <row r="357" spans="1:9" ht="18" customHeight="1">
      <c r="A357" s="41" t="str">
        <f t="shared" si="8"/>
        <v>888JPY</v>
      </c>
      <c r="B357" s="42" t="s">
        <v>271</v>
      </c>
      <c r="C357" s="42">
        <v>888</v>
      </c>
      <c r="D357" s="42">
        <v>20020</v>
      </c>
      <c r="E357" s="42" t="s">
        <v>28</v>
      </c>
      <c r="F357" s="42" t="s">
        <v>10</v>
      </c>
      <c r="G357" s="42" t="s">
        <v>10</v>
      </c>
      <c r="H357" s="42">
        <v>1055.6119000000001</v>
      </c>
      <c r="I357" s="42">
        <v>9.5</v>
      </c>
    </row>
    <row r="358" spans="1:9" ht="18" customHeight="1">
      <c r="A358" s="41" t="str">
        <f t="shared" si="8"/>
        <v>888MYR</v>
      </c>
      <c r="B358" s="42" t="s">
        <v>272</v>
      </c>
      <c r="C358" s="42">
        <v>888</v>
      </c>
      <c r="D358" s="42">
        <v>20020</v>
      </c>
      <c r="E358" s="42" t="s">
        <v>28</v>
      </c>
      <c r="F358" s="42" t="s">
        <v>10</v>
      </c>
      <c r="G358" s="42" t="s">
        <v>28</v>
      </c>
      <c r="H358" s="42">
        <v>-1126.4176231445001</v>
      </c>
      <c r="I358" s="42">
        <v>-254.7</v>
      </c>
    </row>
    <row r="359" spans="1:9" ht="18" customHeight="1">
      <c r="A359" s="41" t="str">
        <f t="shared" si="8"/>
        <v>888JPY</v>
      </c>
      <c r="B359" s="42" t="s">
        <v>272</v>
      </c>
      <c r="C359" s="42">
        <v>888</v>
      </c>
      <c r="D359" s="42">
        <v>20020</v>
      </c>
      <c r="E359" s="42" t="s">
        <v>28</v>
      </c>
      <c r="F359" s="42" t="s">
        <v>10</v>
      </c>
      <c r="G359" s="42" t="s">
        <v>10</v>
      </c>
      <c r="H359" s="42">
        <v>33092.311150000001</v>
      </c>
      <c r="I359" s="42">
        <v>297.88</v>
      </c>
    </row>
    <row r="360" spans="1:9" ht="18" customHeight="1">
      <c r="A360" s="41" t="str">
        <f t="shared" si="8"/>
        <v>888JPY</v>
      </c>
      <c r="B360" s="42" t="s">
        <v>273</v>
      </c>
      <c r="C360" s="42">
        <v>888</v>
      </c>
      <c r="D360" s="42">
        <v>20020</v>
      </c>
      <c r="E360" s="42" t="s">
        <v>10</v>
      </c>
      <c r="F360" s="42" t="s">
        <v>28</v>
      </c>
      <c r="G360" s="42" t="s">
        <v>10</v>
      </c>
      <c r="H360" s="42">
        <v>-28004.073540000001</v>
      </c>
      <c r="I360" s="42">
        <v>-252.07</v>
      </c>
    </row>
    <row r="361" spans="1:9" ht="18" customHeight="1">
      <c r="A361" s="41" t="str">
        <f t="shared" si="8"/>
        <v>888MYR</v>
      </c>
      <c r="B361" s="42" t="s">
        <v>273</v>
      </c>
      <c r="C361" s="42">
        <v>888</v>
      </c>
      <c r="D361" s="42">
        <v>20020</v>
      </c>
      <c r="E361" s="42" t="s">
        <v>10</v>
      </c>
      <c r="F361" s="42" t="s">
        <v>28</v>
      </c>
      <c r="G361" s="42" t="s">
        <v>28</v>
      </c>
      <c r="H361" s="42">
        <v>958.06921092749997</v>
      </c>
      <c r="I361" s="42">
        <v>216.64</v>
      </c>
    </row>
    <row r="362" spans="1:9" ht="18" customHeight="1">
      <c r="A362" s="41" t="str">
        <f t="shared" si="8"/>
        <v>888JPY</v>
      </c>
      <c r="B362" s="42" t="s">
        <v>274</v>
      </c>
      <c r="C362" s="42">
        <v>888</v>
      </c>
      <c r="D362" s="42">
        <v>20020</v>
      </c>
      <c r="E362" s="42" t="s">
        <v>10</v>
      </c>
      <c r="F362" s="42" t="s">
        <v>28</v>
      </c>
      <c r="G362" s="42" t="s">
        <v>10</v>
      </c>
      <c r="H362" s="42">
        <v>-14512.294889999999</v>
      </c>
      <c r="I362" s="42">
        <v>-130.63</v>
      </c>
    </row>
    <row r="363" spans="1:9" ht="18" customHeight="1">
      <c r="A363" s="41" t="str">
        <f t="shared" si="8"/>
        <v>888MYR</v>
      </c>
      <c r="B363" s="42" t="s">
        <v>274</v>
      </c>
      <c r="C363" s="42">
        <v>888</v>
      </c>
      <c r="D363" s="42">
        <v>20020</v>
      </c>
      <c r="E363" s="42" t="s">
        <v>10</v>
      </c>
      <c r="F363" s="42" t="s">
        <v>28</v>
      </c>
      <c r="G363" s="42" t="s">
        <v>28</v>
      </c>
      <c r="H363" s="42">
        <v>508.30357053035999</v>
      </c>
      <c r="I363" s="42">
        <v>114.94</v>
      </c>
    </row>
    <row r="364" spans="1:9" ht="18" customHeight="1">
      <c r="A364" s="41" t="str">
        <f t="shared" si="8"/>
        <v>888MYR</v>
      </c>
      <c r="B364" s="42" t="s">
        <v>275</v>
      </c>
      <c r="C364" s="42">
        <v>888</v>
      </c>
      <c r="D364" s="42">
        <v>20020</v>
      </c>
      <c r="E364" s="42" t="s">
        <v>28</v>
      </c>
      <c r="F364" s="42" t="s">
        <v>10</v>
      </c>
      <c r="G364" s="42" t="s">
        <v>28</v>
      </c>
      <c r="H364" s="42">
        <v>-570.27613130349005</v>
      </c>
      <c r="I364" s="42">
        <v>-128.94999999999999</v>
      </c>
    </row>
    <row r="365" spans="1:9" ht="18" customHeight="1">
      <c r="A365" s="41" t="str">
        <f t="shared" si="8"/>
        <v>888JPY</v>
      </c>
      <c r="B365" s="42" t="s">
        <v>275</v>
      </c>
      <c r="C365" s="42">
        <v>888</v>
      </c>
      <c r="D365" s="42">
        <v>20020</v>
      </c>
      <c r="E365" s="42" t="s">
        <v>28</v>
      </c>
      <c r="F365" s="42" t="s">
        <v>10</v>
      </c>
      <c r="G365" s="42" t="s">
        <v>10</v>
      </c>
      <c r="H365" s="42">
        <v>16292.43086</v>
      </c>
      <c r="I365" s="42">
        <v>146.65</v>
      </c>
    </row>
    <row r="366" spans="1:9" ht="18" customHeight="1">
      <c r="A366" s="41" t="str">
        <f t="shared" si="8"/>
        <v>888MYR</v>
      </c>
      <c r="B366" s="42" t="s">
        <v>276</v>
      </c>
      <c r="C366" s="42">
        <v>888</v>
      </c>
      <c r="D366" s="42">
        <v>20020</v>
      </c>
      <c r="E366" s="42" t="s">
        <v>28</v>
      </c>
      <c r="F366" s="42" t="s">
        <v>10</v>
      </c>
      <c r="G366" s="42" t="s">
        <v>28</v>
      </c>
      <c r="H366" s="42">
        <v>-626.91058528388999</v>
      </c>
      <c r="I366" s="42">
        <v>-141.75</v>
      </c>
    </row>
    <row r="367" spans="1:9" ht="18" customHeight="1">
      <c r="A367" s="41" t="str">
        <f t="shared" si="8"/>
        <v>888JPY</v>
      </c>
      <c r="B367" s="42" t="s">
        <v>276</v>
      </c>
      <c r="C367" s="42">
        <v>888</v>
      </c>
      <c r="D367" s="42">
        <v>20020</v>
      </c>
      <c r="E367" s="42" t="s">
        <v>28</v>
      </c>
      <c r="F367" s="42" t="s">
        <v>10</v>
      </c>
      <c r="G367" s="42" t="s">
        <v>10</v>
      </c>
      <c r="H367" s="42">
        <v>17960.079570000002</v>
      </c>
      <c r="I367" s="42">
        <v>161.66999999999999</v>
      </c>
    </row>
    <row r="368" spans="1:9" ht="18" customHeight="1">
      <c r="A368" s="41" t="str">
        <f t="shared" si="8"/>
        <v>888JPY</v>
      </c>
      <c r="B368" s="42" t="s">
        <v>277</v>
      </c>
      <c r="C368" s="42">
        <v>888</v>
      </c>
      <c r="D368" s="42">
        <v>20020</v>
      </c>
      <c r="E368" s="42" t="s">
        <v>10</v>
      </c>
      <c r="F368" s="42" t="s">
        <v>28</v>
      </c>
      <c r="G368" s="42" t="s">
        <v>10</v>
      </c>
      <c r="H368" s="42">
        <v>-49976.341220000002</v>
      </c>
      <c r="I368" s="42">
        <v>-449.85</v>
      </c>
    </row>
    <row r="369" spans="1:9" ht="18" customHeight="1">
      <c r="A369" s="41" t="str">
        <f t="shared" si="8"/>
        <v>888MYR</v>
      </c>
      <c r="B369" s="42" t="s">
        <v>277</v>
      </c>
      <c r="C369" s="42">
        <v>888</v>
      </c>
      <c r="D369" s="42">
        <v>20020</v>
      </c>
      <c r="E369" s="42" t="s">
        <v>10</v>
      </c>
      <c r="F369" s="42" t="s">
        <v>28</v>
      </c>
      <c r="G369" s="42" t="s">
        <v>28</v>
      </c>
      <c r="H369" s="42">
        <v>1646.1376248510601</v>
      </c>
      <c r="I369" s="42">
        <v>372.22</v>
      </c>
    </row>
    <row r="370" spans="1:9" ht="18" customHeight="1">
      <c r="A370" s="41" t="str">
        <f t="shared" si="8"/>
        <v>888JPY</v>
      </c>
      <c r="B370" s="42" t="s">
        <v>278</v>
      </c>
      <c r="C370" s="42">
        <v>888</v>
      </c>
      <c r="D370" s="42">
        <v>20020</v>
      </c>
      <c r="E370" s="42" t="s">
        <v>10</v>
      </c>
      <c r="F370" s="42" t="s">
        <v>28</v>
      </c>
      <c r="G370" s="42" t="s">
        <v>10</v>
      </c>
      <c r="H370" s="42">
        <v>-22903.383440000001</v>
      </c>
      <c r="I370" s="42">
        <v>-206.16</v>
      </c>
    </row>
    <row r="371" spans="1:9" ht="18" customHeight="1">
      <c r="A371" s="41" t="str">
        <f t="shared" si="8"/>
        <v>888MYR</v>
      </c>
      <c r="B371" s="42" t="s">
        <v>278</v>
      </c>
      <c r="C371" s="42">
        <v>888</v>
      </c>
      <c r="D371" s="42">
        <v>20020</v>
      </c>
      <c r="E371" s="42" t="s">
        <v>10</v>
      </c>
      <c r="F371" s="42" t="s">
        <v>28</v>
      </c>
      <c r="G371" s="42" t="s">
        <v>28</v>
      </c>
      <c r="H371" s="42">
        <v>790.22461308843003</v>
      </c>
      <c r="I371" s="42">
        <v>178.68</v>
      </c>
    </row>
    <row r="372" spans="1:9" ht="18" customHeight="1">
      <c r="A372" s="41" t="str">
        <f t="shared" si="8"/>
        <v>888JPY</v>
      </c>
      <c r="B372" s="42" t="s">
        <v>279</v>
      </c>
      <c r="C372" s="42">
        <v>888</v>
      </c>
      <c r="D372" s="42">
        <v>20020</v>
      </c>
      <c r="E372" s="42" t="s">
        <v>10</v>
      </c>
      <c r="F372" s="42" t="s">
        <v>28</v>
      </c>
      <c r="G372" s="42" t="s">
        <v>10</v>
      </c>
      <c r="H372" s="42">
        <v>-11172.907349999999</v>
      </c>
      <c r="I372" s="42">
        <v>-100.57</v>
      </c>
    </row>
    <row r="373" spans="1:9" ht="18" customHeight="1">
      <c r="A373" s="41" t="str">
        <f t="shared" si="8"/>
        <v>888MYR</v>
      </c>
      <c r="B373" s="42" t="s">
        <v>279</v>
      </c>
      <c r="C373" s="42">
        <v>888</v>
      </c>
      <c r="D373" s="42">
        <v>20020</v>
      </c>
      <c r="E373" s="42" t="s">
        <v>10</v>
      </c>
      <c r="F373" s="42" t="s">
        <v>28</v>
      </c>
      <c r="G373" s="42" t="s">
        <v>28</v>
      </c>
      <c r="H373" s="42">
        <v>393.69678335328001</v>
      </c>
      <c r="I373" s="42">
        <v>89.02</v>
      </c>
    </row>
    <row r="374" spans="1:9" ht="18" customHeight="1">
      <c r="A374" s="41" t="str">
        <f t="shared" si="8"/>
        <v>888JPY</v>
      </c>
      <c r="B374" s="42" t="s">
        <v>280</v>
      </c>
      <c r="C374" s="42">
        <v>888</v>
      </c>
      <c r="D374" s="42">
        <v>20020</v>
      </c>
      <c r="E374" s="42" t="s">
        <v>10</v>
      </c>
      <c r="F374" s="42" t="s">
        <v>28</v>
      </c>
      <c r="G374" s="42" t="s">
        <v>10</v>
      </c>
      <c r="H374" s="42">
        <v>-24623.28183</v>
      </c>
      <c r="I374" s="42">
        <v>-221.64</v>
      </c>
    </row>
    <row r="375" spans="1:9" ht="18" customHeight="1">
      <c r="A375" s="41" t="str">
        <f t="shared" si="8"/>
        <v>888MYR</v>
      </c>
      <c r="B375" s="42" t="s">
        <v>280</v>
      </c>
      <c r="C375" s="42">
        <v>888</v>
      </c>
      <c r="D375" s="42">
        <v>20020</v>
      </c>
      <c r="E375" s="42" t="s">
        <v>10</v>
      </c>
      <c r="F375" s="42" t="s">
        <v>28</v>
      </c>
      <c r="G375" s="42" t="s">
        <v>28</v>
      </c>
      <c r="H375" s="42">
        <v>847.12765629094997</v>
      </c>
      <c r="I375" s="42">
        <v>191.55</v>
      </c>
    </row>
    <row r="376" spans="1:9" ht="18" customHeight="1">
      <c r="A376" s="41" t="str">
        <f t="shared" si="8"/>
        <v>888JPY</v>
      </c>
      <c r="B376" s="42" t="s">
        <v>281</v>
      </c>
      <c r="C376" s="42">
        <v>888</v>
      </c>
      <c r="D376" s="42">
        <v>20020</v>
      </c>
      <c r="E376" s="42" t="s">
        <v>10</v>
      </c>
      <c r="F376" s="42" t="s">
        <v>28</v>
      </c>
      <c r="G376" s="42" t="s">
        <v>10</v>
      </c>
      <c r="H376" s="42">
        <v>-33092.311150000001</v>
      </c>
      <c r="I376" s="42">
        <v>-297.88</v>
      </c>
    </row>
    <row r="377" spans="1:9" ht="18" customHeight="1">
      <c r="A377" s="41" t="str">
        <f t="shared" si="8"/>
        <v>888MYR</v>
      </c>
      <c r="B377" s="42" t="s">
        <v>281</v>
      </c>
      <c r="C377" s="42">
        <v>888</v>
      </c>
      <c r="D377" s="42">
        <v>20020</v>
      </c>
      <c r="E377" s="42" t="s">
        <v>10</v>
      </c>
      <c r="F377" s="42" t="s">
        <v>28</v>
      </c>
      <c r="G377" s="42" t="s">
        <v>28</v>
      </c>
      <c r="H377" s="42">
        <v>1122.4918098200001</v>
      </c>
      <c r="I377" s="42">
        <v>253.81</v>
      </c>
    </row>
    <row r="378" spans="1:9" ht="18" customHeight="1">
      <c r="A378" s="41" t="str">
        <f t="shared" si="8"/>
        <v>888JPY</v>
      </c>
      <c r="B378" s="42" t="s">
        <v>282</v>
      </c>
      <c r="C378" s="42">
        <v>888</v>
      </c>
      <c r="D378" s="42">
        <v>20020</v>
      </c>
      <c r="E378" s="42" t="s">
        <v>10</v>
      </c>
      <c r="F378" s="42" t="s">
        <v>28</v>
      </c>
      <c r="G378" s="42" t="s">
        <v>10</v>
      </c>
      <c r="H378" s="42">
        <v>-12842.26996</v>
      </c>
      <c r="I378" s="42">
        <v>-115.6</v>
      </c>
    </row>
    <row r="379" spans="1:9" ht="18" customHeight="1">
      <c r="A379" s="41" t="str">
        <f t="shared" si="8"/>
        <v>888MYR</v>
      </c>
      <c r="B379" s="42" t="s">
        <v>282</v>
      </c>
      <c r="C379" s="42">
        <v>888</v>
      </c>
      <c r="D379" s="42">
        <v>20020</v>
      </c>
      <c r="E379" s="42" t="s">
        <v>10</v>
      </c>
      <c r="F379" s="42" t="s">
        <v>28</v>
      </c>
      <c r="G379" s="42" t="s">
        <v>28</v>
      </c>
      <c r="H379" s="42">
        <v>451.17380691042001</v>
      </c>
      <c r="I379" s="42">
        <v>102.02</v>
      </c>
    </row>
    <row r="380" spans="1:9" ht="18" customHeight="1">
      <c r="A380" s="41" t="str">
        <f t="shared" si="8"/>
        <v>888JPY</v>
      </c>
      <c r="B380" s="42" t="s">
        <v>283</v>
      </c>
      <c r="C380" s="42">
        <v>888</v>
      </c>
      <c r="D380" s="42">
        <v>20020</v>
      </c>
      <c r="E380" s="42" t="s">
        <v>10</v>
      </c>
      <c r="F380" s="42" t="s">
        <v>28</v>
      </c>
      <c r="G380" s="42" t="s">
        <v>10</v>
      </c>
      <c r="H380" s="42">
        <v>-6170.4917299999997</v>
      </c>
      <c r="I380" s="42">
        <v>-55.54</v>
      </c>
    </row>
    <row r="381" spans="1:9" ht="18" customHeight="1">
      <c r="A381" s="41" t="str">
        <f t="shared" si="8"/>
        <v>888MYR</v>
      </c>
      <c r="B381" s="42" t="s">
        <v>283</v>
      </c>
      <c r="C381" s="42">
        <v>888</v>
      </c>
      <c r="D381" s="42">
        <v>20020</v>
      </c>
      <c r="E381" s="42" t="s">
        <v>10</v>
      </c>
      <c r="F381" s="42" t="s">
        <v>28</v>
      </c>
      <c r="G381" s="42" t="s">
        <v>28</v>
      </c>
      <c r="H381" s="42">
        <v>219.29670359459999</v>
      </c>
      <c r="I381" s="42">
        <v>49.59</v>
      </c>
    </row>
    <row r="382" spans="1:9" ht="18" customHeight="1">
      <c r="A382" s="41" t="str">
        <f t="shared" si="8"/>
        <v>888MYR</v>
      </c>
      <c r="B382" s="42" t="s">
        <v>284</v>
      </c>
      <c r="C382" s="42">
        <v>888</v>
      </c>
      <c r="D382" s="42">
        <v>20020</v>
      </c>
      <c r="E382" s="42" t="s">
        <v>28</v>
      </c>
      <c r="F382" s="42" t="s">
        <v>10</v>
      </c>
      <c r="G382" s="42" t="s">
        <v>28</v>
      </c>
      <c r="H382" s="42">
        <v>-509.59623674731</v>
      </c>
      <c r="I382" s="42">
        <v>-115.23</v>
      </c>
    </row>
    <row r="383" spans="1:9" ht="18" customHeight="1">
      <c r="A383" s="41" t="str">
        <f t="shared" si="8"/>
        <v>888JPY</v>
      </c>
      <c r="B383" s="42" t="s">
        <v>284</v>
      </c>
      <c r="C383" s="42">
        <v>888</v>
      </c>
      <c r="D383" s="42">
        <v>20020</v>
      </c>
      <c r="E383" s="42" t="s">
        <v>28</v>
      </c>
      <c r="F383" s="42" t="s">
        <v>10</v>
      </c>
      <c r="G383" s="42" t="s">
        <v>10</v>
      </c>
      <c r="H383" s="42">
        <v>14512.294889999999</v>
      </c>
      <c r="I383" s="42">
        <v>130.63</v>
      </c>
    </row>
    <row r="384" spans="1:9" ht="18" customHeight="1">
      <c r="A384" s="41" t="str">
        <f t="shared" si="8"/>
        <v>888JPY</v>
      </c>
      <c r="B384" s="42" t="s">
        <v>285</v>
      </c>
      <c r="C384" s="42">
        <v>888</v>
      </c>
      <c r="D384" s="42">
        <v>20020</v>
      </c>
      <c r="E384" s="42" t="s">
        <v>10</v>
      </c>
      <c r="F384" s="42" t="s">
        <v>28</v>
      </c>
      <c r="G384" s="42" t="s">
        <v>10</v>
      </c>
      <c r="H384" s="42">
        <v>-7726.9692800000003</v>
      </c>
      <c r="I384" s="42">
        <v>-69.55</v>
      </c>
    </row>
    <row r="385" spans="1:9" ht="18" customHeight="1">
      <c r="A385" s="41" t="str">
        <f t="shared" si="8"/>
        <v>888MYR</v>
      </c>
      <c r="B385" s="42" t="s">
        <v>285</v>
      </c>
      <c r="C385" s="42">
        <v>888</v>
      </c>
      <c r="D385" s="42">
        <v>20020</v>
      </c>
      <c r="E385" s="42" t="s">
        <v>10</v>
      </c>
      <c r="F385" s="42" t="s">
        <v>28</v>
      </c>
      <c r="G385" s="42" t="s">
        <v>28</v>
      </c>
      <c r="H385" s="42">
        <v>273.90433459663001</v>
      </c>
      <c r="I385" s="42">
        <v>61.93</v>
      </c>
    </row>
    <row r="386" spans="1:9" ht="18" customHeight="1">
      <c r="A386" s="41" t="str">
        <f t="shared" si="8"/>
        <v>888JPY</v>
      </c>
      <c r="B386" s="42" t="s">
        <v>286</v>
      </c>
      <c r="C386" s="42">
        <v>888</v>
      </c>
      <c r="D386" s="42">
        <v>20020</v>
      </c>
      <c r="E386" s="42" t="s">
        <v>10</v>
      </c>
      <c r="F386" s="42" t="s">
        <v>28</v>
      </c>
      <c r="G386" s="42" t="s">
        <v>10</v>
      </c>
      <c r="H386" s="42">
        <v>-48154.365960000003</v>
      </c>
      <c r="I386" s="42">
        <v>-433.45</v>
      </c>
    </row>
    <row r="387" spans="1:9" ht="18" customHeight="1">
      <c r="A387" s="41" t="str">
        <f t="shared" ref="A387:A450" si="9">CONCATENATE(C387,G387)</f>
        <v>888MYR</v>
      </c>
      <c r="B387" s="42" t="s">
        <v>286</v>
      </c>
      <c r="C387" s="42">
        <v>888</v>
      </c>
      <c r="D387" s="42">
        <v>20020</v>
      </c>
      <c r="E387" s="42" t="s">
        <v>10</v>
      </c>
      <c r="F387" s="42" t="s">
        <v>28</v>
      </c>
      <c r="G387" s="42" t="s">
        <v>28</v>
      </c>
      <c r="H387" s="42">
        <v>1592.8326277498199</v>
      </c>
      <c r="I387" s="42">
        <v>360.17</v>
      </c>
    </row>
    <row r="388" spans="1:9" ht="18" customHeight="1">
      <c r="A388" s="41" t="str">
        <f t="shared" si="9"/>
        <v>888JPY</v>
      </c>
      <c r="B388" s="42" t="s">
        <v>287</v>
      </c>
      <c r="C388" s="42">
        <v>888</v>
      </c>
      <c r="D388" s="42">
        <v>20020</v>
      </c>
      <c r="E388" s="42" t="s">
        <v>10</v>
      </c>
      <c r="F388" s="42" t="s">
        <v>28</v>
      </c>
      <c r="G388" s="42" t="s">
        <v>10</v>
      </c>
      <c r="H388" s="42">
        <v>-9449.4727600000006</v>
      </c>
      <c r="I388" s="42">
        <v>-85.06</v>
      </c>
    </row>
    <row r="389" spans="1:9" ht="18" customHeight="1">
      <c r="A389" s="41" t="str">
        <f t="shared" si="9"/>
        <v>888MYR</v>
      </c>
      <c r="B389" s="42" t="s">
        <v>287</v>
      </c>
      <c r="C389" s="42">
        <v>888</v>
      </c>
      <c r="D389" s="42">
        <v>20020</v>
      </c>
      <c r="E389" s="42" t="s">
        <v>10</v>
      </c>
      <c r="F389" s="42" t="s">
        <v>28</v>
      </c>
      <c r="G389" s="42" t="s">
        <v>28</v>
      </c>
      <c r="H389" s="42">
        <v>333.97631486751999</v>
      </c>
      <c r="I389" s="42">
        <v>75.52</v>
      </c>
    </row>
    <row r="390" spans="1:9" ht="18" customHeight="1">
      <c r="A390" s="41" t="str">
        <f t="shared" si="9"/>
        <v>888MYR</v>
      </c>
      <c r="B390" s="42" t="s">
        <v>288</v>
      </c>
      <c r="C390" s="42">
        <v>888</v>
      </c>
      <c r="D390" s="42">
        <v>20020</v>
      </c>
      <c r="E390" s="42" t="s">
        <v>28</v>
      </c>
      <c r="F390" s="42" t="s">
        <v>10</v>
      </c>
      <c r="G390" s="42" t="s">
        <v>28</v>
      </c>
      <c r="H390" s="42">
        <v>-334.83326576187</v>
      </c>
      <c r="I390" s="42">
        <v>-75.709999999999994</v>
      </c>
    </row>
    <row r="391" spans="1:9" ht="18" customHeight="1">
      <c r="A391" s="41" t="str">
        <f t="shared" si="9"/>
        <v>888JPY</v>
      </c>
      <c r="B391" s="42" t="s">
        <v>288</v>
      </c>
      <c r="C391" s="42">
        <v>888</v>
      </c>
      <c r="D391" s="42">
        <v>20020</v>
      </c>
      <c r="E391" s="42" t="s">
        <v>28</v>
      </c>
      <c r="F391" s="42" t="s">
        <v>10</v>
      </c>
      <c r="G391" s="42" t="s">
        <v>10</v>
      </c>
      <c r="H391" s="42">
        <v>9449.4727600000006</v>
      </c>
      <c r="I391" s="42">
        <v>85.06</v>
      </c>
    </row>
    <row r="392" spans="1:9" ht="18" customHeight="1">
      <c r="A392" s="41" t="str">
        <f t="shared" si="9"/>
        <v>888USD</v>
      </c>
      <c r="B392" s="42" t="s">
        <v>289</v>
      </c>
      <c r="C392" s="42">
        <v>888</v>
      </c>
      <c r="D392" s="42">
        <v>20020</v>
      </c>
      <c r="E392" s="42" t="s">
        <v>11</v>
      </c>
      <c r="F392" s="42" t="s">
        <v>28</v>
      </c>
      <c r="G392" s="42" t="s">
        <v>11</v>
      </c>
      <c r="H392" s="42">
        <v>-3.7481262000000002</v>
      </c>
      <c r="I392" s="42">
        <v>-3.75</v>
      </c>
    </row>
    <row r="393" spans="1:9" ht="18" customHeight="1">
      <c r="A393" s="41" t="str">
        <f t="shared" si="9"/>
        <v>888MYR</v>
      </c>
      <c r="B393" s="42" t="s">
        <v>289</v>
      </c>
      <c r="C393" s="42">
        <v>888</v>
      </c>
      <c r="D393" s="42">
        <v>20020</v>
      </c>
      <c r="E393" s="42" t="s">
        <v>11</v>
      </c>
      <c r="F393" s="42" t="s">
        <v>28</v>
      </c>
      <c r="G393" s="42" t="s">
        <v>28</v>
      </c>
      <c r="H393" s="42">
        <v>14.649663588225</v>
      </c>
      <c r="I393" s="42">
        <v>3.31</v>
      </c>
    </row>
    <row r="394" spans="1:9" ht="18" customHeight="1">
      <c r="A394" s="41" t="str">
        <f t="shared" si="9"/>
        <v>888MYR</v>
      </c>
      <c r="B394" s="42" t="s">
        <v>290</v>
      </c>
      <c r="C394" s="42">
        <v>888</v>
      </c>
      <c r="D394" s="42">
        <v>20020</v>
      </c>
      <c r="E394" s="42" t="s">
        <v>28</v>
      </c>
      <c r="F394" s="42" t="s">
        <v>10</v>
      </c>
      <c r="G394" s="42" t="s">
        <v>28</v>
      </c>
      <c r="H394" s="42">
        <v>-394.70392452137997</v>
      </c>
      <c r="I394" s="42">
        <v>-89.25</v>
      </c>
    </row>
    <row r="395" spans="1:9" ht="18" customHeight="1">
      <c r="A395" s="41" t="str">
        <f t="shared" si="9"/>
        <v>888JPY</v>
      </c>
      <c r="B395" s="42" t="s">
        <v>290</v>
      </c>
      <c r="C395" s="42">
        <v>888</v>
      </c>
      <c r="D395" s="42">
        <v>20020</v>
      </c>
      <c r="E395" s="42" t="s">
        <v>28</v>
      </c>
      <c r="F395" s="42" t="s">
        <v>10</v>
      </c>
      <c r="G395" s="42" t="s">
        <v>10</v>
      </c>
      <c r="H395" s="42">
        <v>11172.907349999999</v>
      </c>
      <c r="I395" s="42">
        <v>100.57</v>
      </c>
    </row>
    <row r="396" spans="1:9" ht="18" customHeight="1">
      <c r="A396" s="41" t="str">
        <f t="shared" si="9"/>
        <v>888MYR</v>
      </c>
      <c r="B396" s="42" t="s">
        <v>291</v>
      </c>
      <c r="C396" s="42">
        <v>888</v>
      </c>
      <c r="D396" s="42">
        <v>20020</v>
      </c>
      <c r="E396" s="42" t="s">
        <v>28</v>
      </c>
      <c r="F396" s="42" t="s">
        <v>10</v>
      </c>
      <c r="G396" s="42" t="s">
        <v>28</v>
      </c>
      <c r="H396" s="42">
        <v>-452.32457509107002</v>
      </c>
      <c r="I396" s="42">
        <v>-102.28</v>
      </c>
    </row>
    <row r="397" spans="1:9" ht="18" customHeight="1">
      <c r="A397" s="41" t="str">
        <f t="shared" si="9"/>
        <v>888JPY</v>
      </c>
      <c r="B397" s="42" t="s">
        <v>291</v>
      </c>
      <c r="C397" s="42">
        <v>888</v>
      </c>
      <c r="D397" s="42">
        <v>20020</v>
      </c>
      <c r="E397" s="42" t="s">
        <v>28</v>
      </c>
      <c r="F397" s="42" t="s">
        <v>10</v>
      </c>
      <c r="G397" s="42" t="s">
        <v>10</v>
      </c>
      <c r="H397" s="42">
        <v>12842.26996</v>
      </c>
      <c r="I397" s="42">
        <v>115.6</v>
      </c>
    </row>
    <row r="398" spans="1:9" ht="18" customHeight="1">
      <c r="A398" s="41" t="str">
        <f t="shared" si="9"/>
        <v>888JPY</v>
      </c>
      <c r="B398" s="42" t="s">
        <v>292</v>
      </c>
      <c r="C398" s="42">
        <v>888</v>
      </c>
      <c r="D398" s="42">
        <v>20020</v>
      </c>
      <c r="E398" s="42" t="s">
        <v>10</v>
      </c>
      <c r="F398" s="42" t="s">
        <v>28</v>
      </c>
      <c r="G398" s="42" t="s">
        <v>10</v>
      </c>
      <c r="H398" s="42">
        <v>-2611.7350200000001</v>
      </c>
      <c r="I398" s="42">
        <v>-23.51</v>
      </c>
    </row>
    <row r="399" spans="1:9" ht="18" customHeight="1">
      <c r="A399" s="41" t="str">
        <f t="shared" si="9"/>
        <v>888MYR</v>
      </c>
      <c r="B399" s="42" t="s">
        <v>292</v>
      </c>
      <c r="C399" s="42">
        <v>888</v>
      </c>
      <c r="D399" s="42">
        <v>20020</v>
      </c>
      <c r="E399" s="42" t="s">
        <v>10</v>
      </c>
      <c r="F399" s="42" t="s">
        <v>28</v>
      </c>
      <c r="G399" s="42" t="s">
        <v>28</v>
      </c>
      <c r="H399" s="42">
        <v>93.473665786050006</v>
      </c>
      <c r="I399" s="42">
        <v>21.14</v>
      </c>
    </row>
    <row r="400" spans="1:9" ht="18" customHeight="1">
      <c r="A400" s="41" t="str">
        <f t="shared" si="9"/>
        <v>888JPY</v>
      </c>
      <c r="B400" s="42" t="s">
        <v>293</v>
      </c>
      <c r="C400" s="42">
        <v>888</v>
      </c>
      <c r="D400" s="42">
        <v>20020</v>
      </c>
      <c r="E400" s="42" t="s">
        <v>10</v>
      </c>
      <c r="F400" s="42" t="s">
        <v>28</v>
      </c>
      <c r="G400" s="42" t="s">
        <v>10</v>
      </c>
      <c r="H400" s="42">
        <v>-43071.743730000002</v>
      </c>
      <c r="I400" s="42">
        <v>-387.7</v>
      </c>
    </row>
    <row r="401" spans="1:9" ht="18" customHeight="1">
      <c r="A401" s="41" t="str">
        <f t="shared" si="9"/>
        <v>888MYR</v>
      </c>
      <c r="B401" s="42" t="s">
        <v>293</v>
      </c>
      <c r="C401" s="42">
        <v>888</v>
      </c>
      <c r="D401" s="42">
        <v>20020</v>
      </c>
      <c r="E401" s="42" t="s">
        <v>10</v>
      </c>
      <c r="F401" s="42" t="s">
        <v>28</v>
      </c>
      <c r="G401" s="42" t="s">
        <v>28</v>
      </c>
      <c r="H401" s="42">
        <v>1436.2628751868001</v>
      </c>
      <c r="I401" s="42">
        <v>324.76</v>
      </c>
    </row>
    <row r="402" spans="1:9" ht="18" customHeight="1">
      <c r="A402" s="41" t="str">
        <f t="shared" si="9"/>
        <v>888JPY</v>
      </c>
      <c r="B402" s="42" t="s">
        <v>294</v>
      </c>
      <c r="C402" s="42">
        <v>888</v>
      </c>
      <c r="D402" s="42">
        <v>20020</v>
      </c>
      <c r="E402" s="42" t="s">
        <v>10</v>
      </c>
      <c r="F402" s="42" t="s">
        <v>28</v>
      </c>
      <c r="G402" s="42" t="s">
        <v>10</v>
      </c>
      <c r="H402" s="42">
        <v>-4335.3092999999999</v>
      </c>
      <c r="I402" s="42">
        <v>-39.020000000000003</v>
      </c>
    </row>
    <row r="403" spans="1:9" ht="18" customHeight="1">
      <c r="A403" s="41" t="str">
        <f t="shared" si="9"/>
        <v>888MYR</v>
      </c>
      <c r="B403" s="42" t="s">
        <v>294</v>
      </c>
      <c r="C403" s="42">
        <v>888</v>
      </c>
      <c r="D403" s="42">
        <v>20020</v>
      </c>
      <c r="E403" s="42" t="s">
        <v>10</v>
      </c>
      <c r="F403" s="42" t="s">
        <v>28</v>
      </c>
      <c r="G403" s="42" t="s">
        <v>28</v>
      </c>
      <c r="H403" s="42">
        <v>154.62241243846</v>
      </c>
      <c r="I403" s="42">
        <v>34.96</v>
      </c>
    </row>
    <row r="404" spans="1:9" ht="18" customHeight="1">
      <c r="A404" s="41" t="str">
        <f t="shared" si="9"/>
        <v>888JPY</v>
      </c>
      <c r="B404" s="42" t="s">
        <v>295</v>
      </c>
      <c r="C404" s="42">
        <v>888</v>
      </c>
      <c r="D404" s="42">
        <v>20020</v>
      </c>
      <c r="E404" s="42" t="s">
        <v>10</v>
      </c>
      <c r="F404" s="42" t="s">
        <v>28</v>
      </c>
      <c r="G404" s="42" t="s">
        <v>10</v>
      </c>
      <c r="H404" s="42">
        <v>-44895.384019999998</v>
      </c>
      <c r="I404" s="42">
        <v>-404.12</v>
      </c>
    </row>
    <row r="405" spans="1:9" ht="18" customHeight="1">
      <c r="A405" s="41" t="str">
        <f t="shared" si="9"/>
        <v>888MYR</v>
      </c>
      <c r="B405" s="42" t="s">
        <v>295</v>
      </c>
      <c r="C405" s="42">
        <v>888</v>
      </c>
      <c r="D405" s="42">
        <v>20020</v>
      </c>
      <c r="E405" s="42" t="s">
        <v>10</v>
      </c>
      <c r="F405" s="42" t="s">
        <v>28</v>
      </c>
      <c r="G405" s="42" t="s">
        <v>28</v>
      </c>
      <c r="H405" s="42">
        <v>1492.74384422056</v>
      </c>
      <c r="I405" s="42">
        <v>337.53</v>
      </c>
    </row>
    <row r="406" spans="1:9" ht="18" customHeight="1">
      <c r="A406" s="41" t="str">
        <f t="shared" si="9"/>
        <v>888MYR</v>
      </c>
      <c r="B406" s="42" t="s">
        <v>296</v>
      </c>
      <c r="C406" s="42">
        <v>888</v>
      </c>
      <c r="D406" s="42">
        <v>20020</v>
      </c>
      <c r="E406" s="42" t="s">
        <v>28</v>
      </c>
      <c r="F406" s="42" t="s">
        <v>11</v>
      </c>
      <c r="G406" s="42" t="s">
        <v>28</v>
      </c>
      <c r="H406" s="42">
        <v>-2.3582239470470001</v>
      </c>
      <c r="I406" s="42">
        <v>-0.53</v>
      </c>
    </row>
    <row r="407" spans="1:9" ht="18" customHeight="1">
      <c r="A407" s="41" t="str">
        <f t="shared" si="9"/>
        <v>888USD</v>
      </c>
      <c r="B407" s="42" t="s">
        <v>296</v>
      </c>
      <c r="C407" s="42">
        <v>888</v>
      </c>
      <c r="D407" s="42">
        <v>20020</v>
      </c>
      <c r="E407" s="42" t="s">
        <v>28</v>
      </c>
      <c r="F407" s="42" t="s">
        <v>11</v>
      </c>
      <c r="G407" s="42" t="s">
        <v>11</v>
      </c>
      <c r="H407" s="42">
        <v>0.53339691405</v>
      </c>
      <c r="I407" s="42">
        <v>0.53</v>
      </c>
    </row>
    <row r="408" spans="1:9" ht="18" customHeight="1">
      <c r="A408" s="41" t="str">
        <f t="shared" si="9"/>
        <v>888MYR</v>
      </c>
      <c r="B408" s="42" t="s">
        <v>297</v>
      </c>
      <c r="C408" s="42">
        <v>888</v>
      </c>
      <c r="D408" s="42">
        <v>20020</v>
      </c>
      <c r="E408" s="42" t="s">
        <v>28</v>
      </c>
      <c r="F408" s="42" t="s">
        <v>11</v>
      </c>
      <c r="G408" s="42" t="s">
        <v>28</v>
      </c>
      <c r="H408" s="42">
        <v>-238.55795663681101</v>
      </c>
      <c r="I408" s="42">
        <v>-53.94</v>
      </c>
    </row>
    <row r="409" spans="1:9" ht="18" customHeight="1">
      <c r="A409" s="41" t="str">
        <f t="shared" si="9"/>
        <v>888USD</v>
      </c>
      <c r="B409" s="42" t="s">
        <v>297</v>
      </c>
      <c r="C409" s="42">
        <v>888</v>
      </c>
      <c r="D409" s="42">
        <v>20020</v>
      </c>
      <c r="E409" s="42" t="s">
        <v>28</v>
      </c>
      <c r="F409" s="42" t="s">
        <v>11</v>
      </c>
      <c r="G409" s="42" t="s">
        <v>11</v>
      </c>
      <c r="H409" s="42">
        <v>54.24702782744</v>
      </c>
      <c r="I409" s="42">
        <v>54.25</v>
      </c>
    </row>
    <row r="410" spans="1:9" ht="18" customHeight="1">
      <c r="A410" s="41" t="str">
        <f t="shared" si="9"/>
        <v>888USD</v>
      </c>
      <c r="B410" s="42" t="s">
        <v>298</v>
      </c>
      <c r="C410" s="42">
        <v>888</v>
      </c>
      <c r="D410" s="42">
        <v>20020</v>
      </c>
      <c r="E410" s="42" t="s">
        <v>11</v>
      </c>
      <c r="F410" s="42" t="s">
        <v>28</v>
      </c>
      <c r="G410" s="42" t="s">
        <v>11</v>
      </c>
      <c r="H410" s="42">
        <v>-54.60679021</v>
      </c>
      <c r="I410" s="42">
        <v>-54.61</v>
      </c>
    </row>
    <row r="411" spans="1:9" ht="18" customHeight="1">
      <c r="A411" s="41" t="str">
        <f t="shared" si="9"/>
        <v>888MYR</v>
      </c>
      <c r="B411" s="42" t="s">
        <v>298</v>
      </c>
      <c r="C411" s="42">
        <v>888</v>
      </c>
      <c r="D411" s="42">
        <v>20020</v>
      </c>
      <c r="E411" s="42" t="s">
        <v>11</v>
      </c>
      <c r="F411" s="42" t="s">
        <v>28</v>
      </c>
      <c r="G411" s="42" t="s">
        <v>28</v>
      </c>
      <c r="H411" s="42">
        <v>239.32729055346999</v>
      </c>
      <c r="I411" s="42">
        <v>54.12</v>
      </c>
    </row>
    <row r="412" spans="1:9" ht="18" customHeight="1">
      <c r="A412" s="41" t="str">
        <f t="shared" si="9"/>
        <v>888USD</v>
      </c>
      <c r="B412" s="42" t="s">
        <v>299</v>
      </c>
      <c r="C412" s="42">
        <v>888</v>
      </c>
      <c r="D412" s="42">
        <v>20020</v>
      </c>
      <c r="E412" s="42" t="s">
        <v>11</v>
      </c>
      <c r="F412" s="42" t="s">
        <v>31</v>
      </c>
      <c r="G412" s="42" t="s">
        <v>11</v>
      </c>
      <c r="H412" s="42">
        <v>-14.216702267592</v>
      </c>
      <c r="I412" s="42">
        <v>-14.22</v>
      </c>
    </row>
    <row r="413" spans="1:9" ht="18" customHeight="1">
      <c r="A413" s="41" t="str">
        <f t="shared" si="9"/>
        <v>888EUR</v>
      </c>
      <c r="B413" s="42" t="s">
        <v>299</v>
      </c>
      <c r="C413" s="42">
        <v>888</v>
      </c>
      <c r="D413" s="42">
        <v>20020</v>
      </c>
      <c r="E413" s="42" t="s">
        <v>11</v>
      </c>
      <c r="F413" s="42" t="s">
        <v>31</v>
      </c>
      <c r="G413" s="42" t="s">
        <v>31</v>
      </c>
      <c r="H413" s="42">
        <v>13.47576604</v>
      </c>
      <c r="I413" s="42">
        <v>14.53</v>
      </c>
    </row>
    <row r="414" spans="1:9" ht="18" customHeight="1">
      <c r="A414" s="41" t="str">
        <f t="shared" si="9"/>
        <v>888USD</v>
      </c>
      <c r="B414" s="42" t="s">
        <v>300</v>
      </c>
      <c r="C414" s="42">
        <v>888</v>
      </c>
      <c r="D414" s="42">
        <v>20020</v>
      </c>
      <c r="E414" s="42" t="s">
        <v>11</v>
      </c>
      <c r="F414" s="42" t="s">
        <v>31</v>
      </c>
      <c r="G414" s="42" t="s">
        <v>11</v>
      </c>
      <c r="H414" s="42">
        <v>-5.3481314115550003</v>
      </c>
      <c r="I414" s="42">
        <v>-5.35</v>
      </c>
    </row>
    <row r="415" spans="1:9" ht="18" customHeight="1">
      <c r="A415" s="41" t="str">
        <f t="shared" si="9"/>
        <v>888EUR</v>
      </c>
      <c r="B415" s="42" t="s">
        <v>300</v>
      </c>
      <c r="C415" s="42">
        <v>888</v>
      </c>
      <c r="D415" s="42">
        <v>20020</v>
      </c>
      <c r="E415" s="42" t="s">
        <v>11</v>
      </c>
      <c r="F415" s="42" t="s">
        <v>31</v>
      </c>
      <c r="G415" s="42" t="s">
        <v>31</v>
      </c>
      <c r="H415" s="42">
        <v>5.0650853199999997</v>
      </c>
      <c r="I415" s="42">
        <v>5.46</v>
      </c>
    </row>
    <row r="416" spans="1:9" ht="18" customHeight="1">
      <c r="A416" s="41" t="str">
        <f t="shared" si="9"/>
        <v>888USD</v>
      </c>
      <c r="B416" s="42" t="s">
        <v>301</v>
      </c>
      <c r="C416" s="42">
        <v>888</v>
      </c>
      <c r="D416" s="42">
        <v>20020</v>
      </c>
      <c r="E416" s="42" t="s">
        <v>11</v>
      </c>
      <c r="F416" s="42" t="s">
        <v>31</v>
      </c>
      <c r="G416" s="42" t="s">
        <v>11</v>
      </c>
      <c r="H416" s="42">
        <v>-7.2998256667680002</v>
      </c>
      <c r="I416" s="42">
        <v>-7.3</v>
      </c>
    </row>
    <row r="417" spans="1:9" ht="18" customHeight="1">
      <c r="A417" s="41" t="str">
        <f t="shared" si="9"/>
        <v>888EUR</v>
      </c>
      <c r="B417" s="42" t="s">
        <v>301</v>
      </c>
      <c r="C417" s="42">
        <v>888</v>
      </c>
      <c r="D417" s="42">
        <v>20020</v>
      </c>
      <c r="E417" s="42" t="s">
        <v>11</v>
      </c>
      <c r="F417" s="42" t="s">
        <v>31</v>
      </c>
      <c r="G417" s="42" t="s">
        <v>31</v>
      </c>
      <c r="H417" s="42">
        <v>6.8981855400000001</v>
      </c>
      <c r="I417" s="42">
        <v>7.44</v>
      </c>
    </row>
    <row r="418" spans="1:9" ht="18" customHeight="1">
      <c r="A418" s="41" t="str">
        <f t="shared" si="9"/>
        <v>888USD</v>
      </c>
      <c r="B418" s="42" t="s">
        <v>302</v>
      </c>
      <c r="C418" s="42">
        <v>888</v>
      </c>
      <c r="D418" s="42">
        <v>20020</v>
      </c>
      <c r="E418" s="42" t="s">
        <v>11</v>
      </c>
      <c r="F418" s="42" t="s">
        <v>31</v>
      </c>
      <c r="G418" s="42" t="s">
        <v>11</v>
      </c>
      <c r="H418" s="42">
        <v>-3.5329399999360001</v>
      </c>
      <c r="I418" s="42">
        <v>-3.53</v>
      </c>
    </row>
    <row r="419" spans="1:9" ht="18" customHeight="1">
      <c r="A419" s="41" t="str">
        <f t="shared" si="9"/>
        <v>888EUR</v>
      </c>
      <c r="B419" s="42" t="s">
        <v>302</v>
      </c>
      <c r="C419" s="42">
        <v>888</v>
      </c>
      <c r="D419" s="42">
        <v>20020</v>
      </c>
      <c r="E419" s="42" t="s">
        <v>11</v>
      </c>
      <c r="F419" s="42" t="s">
        <v>31</v>
      </c>
      <c r="G419" s="42" t="s">
        <v>31</v>
      </c>
      <c r="H419" s="42">
        <v>3.33561386</v>
      </c>
      <c r="I419" s="42">
        <v>3.6</v>
      </c>
    </row>
    <row r="420" spans="1:9" ht="18" customHeight="1">
      <c r="A420" s="41" t="str">
        <f t="shared" si="9"/>
        <v>888MYR</v>
      </c>
      <c r="B420" s="42" t="s">
        <v>303</v>
      </c>
      <c r="C420" s="42">
        <v>888</v>
      </c>
      <c r="D420" s="42">
        <v>20020</v>
      </c>
      <c r="E420" s="42" t="s">
        <v>28</v>
      </c>
      <c r="F420" s="42" t="s">
        <v>10</v>
      </c>
      <c r="G420" s="42" t="s">
        <v>28</v>
      </c>
      <c r="H420" s="42">
        <v>-5.2457541000000001</v>
      </c>
      <c r="I420" s="42">
        <v>-1.19</v>
      </c>
    </row>
    <row r="421" spans="1:9" ht="18" customHeight="1">
      <c r="A421" s="41" t="str">
        <f t="shared" si="9"/>
        <v>888JPY</v>
      </c>
      <c r="B421" s="42" t="s">
        <v>303</v>
      </c>
      <c r="C421" s="42">
        <v>888</v>
      </c>
      <c r="D421" s="42">
        <v>20020</v>
      </c>
      <c r="E421" s="42" t="s">
        <v>28</v>
      </c>
      <c r="F421" s="42" t="s">
        <v>10</v>
      </c>
      <c r="G421" s="42" t="s">
        <v>10</v>
      </c>
      <c r="H421" s="42">
        <v>133.33828199999999</v>
      </c>
      <c r="I421" s="42">
        <v>1.2</v>
      </c>
    </row>
    <row r="422" spans="1:9" ht="18" customHeight="1">
      <c r="A422" s="41" t="str">
        <f t="shared" si="9"/>
        <v>888MYR</v>
      </c>
      <c r="B422" s="42" t="s">
        <v>304</v>
      </c>
      <c r="C422" s="42">
        <v>888</v>
      </c>
      <c r="D422" s="42">
        <v>20020</v>
      </c>
      <c r="E422" s="42" t="s">
        <v>28</v>
      </c>
      <c r="F422" s="42" t="s">
        <v>11</v>
      </c>
      <c r="G422" s="42" t="s">
        <v>28</v>
      </c>
      <c r="H422" s="42">
        <v>0</v>
      </c>
      <c r="I422" s="42">
        <v>0</v>
      </c>
    </row>
    <row r="423" spans="1:9" ht="18" customHeight="1">
      <c r="A423" s="41" t="str">
        <f t="shared" si="9"/>
        <v>888USD</v>
      </c>
      <c r="B423" s="42" t="s">
        <v>304</v>
      </c>
      <c r="C423" s="42">
        <v>888</v>
      </c>
      <c r="D423" s="42">
        <v>20020</v>
      </c>
      <c r="E423" s="42" t="s">
        <v>28</v>
      </c>
      <c r="F423" s="42" t="s">
        <v>11</v>
      </c>
      <c r="G423" s="42" t="s">
        <v>11</v>
      </c>
      <c r="H423" s="42">
        <v>0</v>
      </c>
      <c r="I423" s="42">
        <v>0</v>
      </c>
    </row>
    <row r="424" spans="1:9" ht="18" customHeight="1">
      <c r="A424" s="41" t="str">
        <f t="shared" si="9"/>
        <v>888MYR</v>
      </c>
      <c r="B424" s="42" t="s">
        <v>305</v>
      </c>
      <c r="C424" s="42">
        <v>888</v>
      </c>
      <c r="D424" s="42">
        <v>20020</v>
      </c>
      <c r="E424" s="42" t="s">
        <v>28</v>
      </c>
      <c r="F424" s="42" t="s">
        <v>11</v>
      </c>
      <c r="G424" s="42" t="s">
        <v>28</v>
      </c>
      <c r="H424" s="42">
        <v>-46.143710774085001</v>
      </c>
      <c r="I424" s="42">
        <v>-10.43</v>
      </c>
    </row>
    <row r="425" spans="1:9" ht="18" customHeight="1">
      <c r="A425" s="41" t="str">
        <f t="shared" si="9"/>
        <v>888USD</v>
      </c>
      <c r="B425" s="42" t="s">
        <v>305</v>
      </c>
      <c r="C425" s="42">
        <v>888</v>
      </c>
      <c r="D425" s="42">
        <v>20020</v>
      </c>
      <c r="E425" s="42" t="s">
        <v>28</v>
      </c>
      <c r="F425" s="42" t="s">
        <v>11</v>
      </c>
      <c r="G425" s="42" t="s">
        <v>11</v>
      </c>
      <c r="H425" s="42">
        <v>10.488427272596001</v>
      </c>
      <c r="I425" s="42">
        <v>10.49</v>
      </c>
    </row>
    <row r="426" spans="1:9" ht="18" customHeight="1">
      <c r="A426" s="41" t="str">
        <f t="shared" si="9"/>
        <v>888MYR</v>
      </c>
      <c r="B426" s="42" t="s">
        <v>306</v>
      </c>
      <c r="C426" s="42">
        <v>888</v>
      </c>
      <c r="D426" s="42">
        <v>20020</v>
      </c>
      <c r="E426" s="42" t="s">
        <v>28</v>
      </c>
      <c r="F426" s="42" t="s">
        <v>11</v>
      </c>
      <c r="G426" s="42" t="s">
        <v>28</v>
      </c>
      <c r="H426" s="42">
        <v>-7.4929287108100002</v>
      </c>
      <c r="I426" s="42">
        <v>-1.69</v>
      </c>
    </row>
    <row r="427" spans="1:9" ht="18" customHeight="1">
      <c r="A427" s="41" t="str">
        <f t="shared" si="9"/>
        <v>888USD</v>
      </c>
      <c r="B427" s="42" t="s">
        <v>306</v>
      </c>
      <c r="C427" s="42">
        <v>888</v>
      </c>
      <c r="D427" s="42">
        <v>20020</v>
      </c>
      <c r="E427" s="42" t="s">
        <v>28</v>
      </c>
      <c r="F427" s="42" t="s">
        <v>11</v>
      </c>
      <c r="G427" s="42" t="s">
        <v>11</v>
      </c>
      <c r="H427" s="42">
        <v>1.7000949004349999</v>
      </c>
      <c r="I427" s="42">
        <v>1.7</v>
      </c>
    </row>
    <row r="428" spans="1:9" ht="18" customHeight="1">
      <c r="A428" s="41" t="str">
        <f t="shared" si="9"/>
        <v>888MYR</v>
      </c>
      <c r="B428" s="42" t="s">
        <v>307</v>
      </c>
      <c r="C428" s="42">
        <v>888</v>
      </c>
      <c r="D428" s="42">
        <v>20020</v>
      </c>
      <c r="E428" s="42" t="s">
        <v>28</v>
      </c>
      <c r="F428" s="42" t="s">
        <v>11</v>
      </c>
      <c r="G428" s="42" t="s">
        <v>28</v>
      </c>
      <c r="H428" s="42">
        <v>-46.363903333242</v>
      </c>
      <c r="I428" s="42">
        <v>-10.48</v>
      </c>
    </row>
    <row r="429" spans="1:9" ht="18" customHeight="1">
      <c r="A429" s="41" t="str">
        <f t="shared" si="9"/>
        <v>888USD</v>
      </c>
      <c r="B429" s="42" t="s">
        <v>307</v>
      </c>
      <c r="C429" s="42">
        <v>888</v>
      </c>
      <c r="D429" s="42">
        <v>20020</v>
      </c>
      <c r="E429" s="42" t="s">
        <v>28</v>
      </c>
      <c r="F429" s="42" t="s">
        <v>11</v>
      </c>
      <c r="G429" s="42" t="s">
        <v>11</v>
      </c>
      <c r="H429" s="42">
        <v>10.541488649765</v>
      </c>
      <c r="I429" s="42">
        <v>10.54</v>
      </c>
    </row>
    <row r="430" spans="1:9" ht="18" customHeight="1">
      <c r="A430" s="41" t="str">
        <f t="shared" si="9"/>
        <v>888USD</v>
      </c>
      <c r="B430" s="42" t="s">
        <v>308</v>
      </c>
      <c r="C430" s="42">
        <v>888</v>
      </c>
      <c r="D430" s="42">
        <v>20030</v>
      </c>
      <c r="E430" s="42" t="s">
        <v>11</v>
      </c>
      <c r="F430" s="42" t="s">
        <v>28</v>
      </c>
      <c r="G430" s="42" t="s">
        <v>11</v>
      </c>
      <c r="H430" s="42">
        <v>-9.7039164499999995</v>
      </c>
      <c r="I430" s="42">
        <v>-9.6999999999999993</v>
      </c>
    </row>
    <row r="431" spans="1:9" ht="18" customHeight="1">
      <c r="A431" s="41" t="str">
        <f t="shared" si="9"/>
        <v>888MYR</v>
      </c>
      <c r="B431" s="42" t="s">
        <v>308</v>
      </c>
      <c r="C431" s="42">
        <v>888</v>
      </c>
      <c r="D431" s="42">
        <v>20030</v>
      </c>
      <c r="E431" s="42" t="s">
        <v>11</v>
      </c>
      <c r="F431" s="42" t="s">
        <v>28</v>
      </c>
      <c r="G431" s="42" t="s">
        <v>28</v>
      </c>
      <c r="H431" s="42">
        <v>42.508506638</v>
      </c>
      <c r="I431" s="42">
        <v>9.61</v>
      </c>
    </row>
    <row r="432" spans="1:9" ht="18" customHeight="1">
      <c r="A432" s="41" t="str">
        <f t="shared" si="9"/>
        <v>888USD</v>
      </c>
      <c r="B432" s="42" t="s">
        <v>309</v>
      </c>
      <c r="C432" s="42">
        <v>888</v>
      </c>
      <c r="D432" s="42">
        <v>20030</v>
      </c>
      <c r="E432" s="42" t="s">
        <v>11</v>
      </c>
      <c r="F432" s="42" t="s">
        <v>28</v>
      </c>
      <c r="G432" s="42" t="s">
        <v>11</v>
      </c>
      <c r="H432" s="42">
        <v>-16.639694800000001</v>
      </c>
      <c r="I432" s="42">
        <v>-16.64</v>
      </c>
    </row>
    <row r="433" spans="1:9" ht="18" customHeight="1">
      <c r="A433" s="41" t="str">
        <f t="shared" si="9"/>
        <v>888MYR</v>
      </c>
      <c r="B433" s="42" t="s">
        <v>309</v>
      </c>
      <c r="C433" s="42">
        <v>888</v>
      </c>
      <c r="D433" s="42">
        <v>20030</v>
      </c>
      <c r="E433" s="42" t="s">
        <v>11</v>
      </c>
      <c r="F433" s="42" t="s">
        <v>28</v>
      </c>
      <c r="G433" s="42" t="s">
        <v>28</v>
      </c>
      <c r="H433" s="42">
        <v>72.931402474280006</v>
      </c>
      <c r="I433" s="42">
        <v>16.489999999999998</v>
      </c>
    </row>
    <row r="434" spans="1:9" ht="18" customHeight="1">
      <c r="A434" s="41" t="str">
        <f t="shared" si="9"/>
        <v>888MYR</v>
      </c>
      <c r="B434" s="42" t="s">
        <v>310</v>
      </c>
      <c r="C434" s="42">
        <v>888</v>
      </c>
      <c r="D434" s="42">
        <v>20020</v>
      </c>
      <c r="E434" s="42" t="s">
        <v>28</v>
      </c>
      <c r="F434" s="42" t="s">
        <v>10</v>
      </c>
      <c r="G434" s="42" t="s">
        <v>28</v>
      </c>
      <c r="H434" s="42">
        <v>-41.332136026613</v>
      </c>
      <c r="I434" s="42">
        <v>-9.35</v>
      </c>
    </row>
    <row r="435" spans="1:9" ht="18" customHeight="1">
      <c r="A435" s="41" t="str">
        <f t="shared" si="9"/>
        <v>888JPY</v>
      </c>
      <c r="B435" s="42" t="s">
        <v>310</v>
      </c>
      <c r="C435" s="42">
        <v>888</v>
      </c>
      <c r="D435" s="42">
        <v>20020</v>
      </c>
      <c r="E435" s="42" t="s">
        <v>28</v>
      </c>
      <c r="F435" s="42" t="s">
        <v>10</v>
      </c>
      <c r="G435" s="42" t="s">
        <v>10</v>
      </c>
      <c r="H435" s="42">
        <v>1071.7280921176</v>
      </c>
      <c r="I435" s="42">
        <v>9.65</v>
      </c>
    </row>
    <row r="436" spans="1:9" ht="18" customHeight="1">
      <c r="A436" s="41" t="str">
        <f t="shared" si="9"/>
        <v>888JPY</v>
      </c>
      <c r="B436" s="42" t="s">
        <v>311</v>
      </c>
      <c r="C436" s="42">
        <v>888</v>
      </c>
      <c r="D436" s="42">
        <v>20020</v>
      </c>
      <c r="E436" s="42" t="s">
        <v>10</v>
      </c>
      <c r="F436" s="42" t="s">
        <v>11</v>
      </c>
      <c r="G436" s="42" t="s">
        <v>10</v>
      </c>
      <c r="H436" s="42">
        <v>-1070.7287040991901</v>
      </c>
      <c r="I436" s="42">
        <v>-9.64</v>
      </c>
    </row>
    <row r="437" spans="1:9" ht="18" customHeight="1">
      <c r="A437" s="41" t="str">
        <f t="shared" si="9"/>
        <v>888USD</v>
      </c>
      <c r="B437" s="42" t="s">
        <v>311</v>
      </c>
      <c r="C437" s="42">
        <v>888</v>
      </c>
      <c r="D437" s="42">
        <v>20020</v>
      </c>
      <c r="E437" s="42" t="s">
        <v>10</v>
      </c>
      <c r="F437" s="42" t="s">
        <v>11</v>
      </c>
      <c r="G437" s="42" t="s">
        <v>11</v>
      </c>
      <c r="H437" s="42">
        <v>9.4014275620000003</v>
      </c>
      <c r="I437" s="42">
        <v>9.4</v>
      </c>
    </row>
    <row r="438" spans="1:9" ht="18" customHeight="1">
      <c r="A438" s="41" t="str">
        <f t="shared" si="9"/>
        <v>888JPY</v>
      </c>
      <c r="B438" s="42" t="s">
        <v>312</v>
      </c>
      <c r="C438" s="42">
        <v>888</v>
      </c>
      <c r="D438" s="42">
        <v>20020</v>
      </c>
      <c r="E438" s="42" t="s">
        <v>10</v>
      </c>
      <c r="F438" s="42" t="s">
        <v>11</v>
      </c>
      <c r="G438" s="42" t="s">
        <v>10</v>
      </c>
      <c r="H438" s="42">
        <v>-4206.9977371679997</v>
      </c>
      <c r="I438" s="42">
        <v>-37.869999999999997</v>
      </c>
    </row>
    <row r="439" spans="1:9" ht="18" customHeight="1">
      <c r="A439" s="41" t="str">
        <f t="shared" si="9"/>
        <v>888USD</v>
      </c>
      <c r="B439" s="42" t="s">
        <v>312</v>
      </c>
      <c r="C439" s="42">
        <v>888</v>
      </c>
      <c r="D439" s="42">
        <v>20020</v>
      </c>
      <c r="E439" s="42" t="s">
        <v>10</v>
      </c>
      <c r="F439" s="42" t="s">
        <v>11</v>
      </c>
      <c r="G439" s="42" t="s">
        <v>11</v>
      </c>
      <c r="H439" s="42">
        <v>36.759249026585003</v>
      </c>
      <c r="I439" s="42">
        <v>36.76</v>
      </c>
    </row>
    <row r="440" spans="1:9" ht="18" customHeight="1">
      <c r="A440" s="41" t="str">
        <f t="shared" si="9"/>
        <v>888USD</v>
      </c>
      <c r="B440" s="42" t="s">
        <v>313</v>
      </c>
      <c r="C440" s="42">
        <v>888</v>
      </c>
      <c r="D440" s="42">
        <v>20020</v>
      </c>
      <c r="E440" s="42" t="s">
        <v>11</v>
      </c>
      <c r="F440" s="42" t="s">
        <v>10</v>
      </c>
      <c r="G440" s="42" t="s">
        <v>11</v>
      </c>
      <c r="H440" s="42">
        <v>-36.624950564999999</v>
      </c>
      <c r="I440" s="42">
        <v>-36.619999999999997</v>
      </c>
    </row>
    <row r="441" spans="1:9" ht="18" customHeight="1">
      <c r="A441" s="41" t="str">
        <f t="shared" si="9"/>
        <v>888JPY</v>
      </c>
      <c r="B441" s="42" t="s">
        <v>313</v>
      </c>
      <c r="C441" s="42">
        <v>888</v>
      </c>
      <c r="D441" s="42">
        <v>20020</v>
      </c>
      <c r="E441" s="42" t="s">
        <v>11</v>
      </c>
      <c r="F441" s="42" t="s">
        <v>10</v>
      </c>
      <c r="G441" s="42" t="s">
        <v>10</v>
      </c>
      <c r="H441" s="42">
        <v>4175.6360675352698</v>
      </c>
      <c r="I441" s="42">
        <v>37.590000000000003</v>
      </c>
    </row>
    <row r="442" spans="1:9" ht="18" customHeight="1">
      <c r="A442" s="41" t="str">
        <f t="shared" si="9"/>
        <v>888USD</v>
      </c>
      <c r="B442" s="42" t="s">
        <v>314</v>
      </c>
      <c r="C442" s="42">
        <v>888</v>
      </c>
      <c r="D442" s="42">
        <v>20020</v>
      </c>
      <c r="E442" s="42" t="s">
        <v>11</v>
      </c>
      <c r="F442" s="42" t="s">
        <v>28</v>
      </c>
      <c r="G442" s="42" t="s">
        <v>11</v>
      </c>
      <c r="H442" s="42">
        <v>-0.88810674999999994</v>
      </c>
      <c r="I442" s="42">
        <v>-0.89</v>
      </c>
    </row>
    <row r="443" spans="1:9" ht="18" customHeight="1">
      <c r="A443" s="41" t="str">
        <f t="shared" si="9"/>
        <v>888MYR</v>
      </c>
      <c r="B443" s="42" t="s">
        <v>314</v>
      </c>
      <c r="C443" s="42">
        <v>888</v>
      </c>
      <c r="D443" s="42">
        <v>20020</v>
      </c>
      <c r="E443" s="42" t="s">
        <v>11</v>
      </c>
      <c r="F443" s="42" t="s">
        <v>28</v>
      </c>
      <c r="G443" s="42" t="s">
        <v>28</v>
      </c>
      <c r="H443" s="42">
        <v>3.8910381036750001</v>
      </c>
      <c r="I443" s="42">
        <v>0.88</v>
      </c>
    </row>
    <row r="444" spans="1:9" ht="18" customHeight="1">
      <c r="A444" s="41" t="str">
        <f t="shared" si="9"/>
        <v>888USD</v>
      </c>
      <c r="B444" s="42" t="s">
        <v>315</v>
      </c>
      <c r="C444" s="42">
        <v>888</v>
      </c>
      <c r="D444" s="42">
        <v>20020</v>
      </c>
      <c r="E444" s="42" t="s">
        <v>11</v>
      </c>
      <c r="F444" s="42" t="s">
        <v>28</v>
      </c>
      <c r="G444" s="42" t="s">
        <v>11</v>
      </c>
      <c r="H444" s="42">
        <v>-2.6045076599999999</v>
      </c>
      <c r="I444" s="42">
        <v>-2.6</v>
      </c>
    </row>
    <row r="445" spans="1:9" ht="18" customHeight="1">
      <c r="A445" s="41" t="str">
        <f t="shared" si="9"/>
        <v>888MYR</v>
      </c>
      <c r="B445" s="42" t="s">
        <v>315</v>
      </c>
      <c r="C445" s="42">
        <v>888</v>
      </c>
      <c r="D445" s="42">
        <v>20020</v>
      </c>
      <c r="E445" s="42" t="s">
        <v>11</v>
      </c>
      <c r="F445" s="42" t="s">
        <v>28</v>
      </c>
      <c r="G445" s="42" t="s">
        <v>28</v>
      </c>
      <c r="H445" s="42">
        <v>11.379946933075001</v>
      </c>
      <c r="I445" s="42">
        <v>2.57</v>
      </c>
    </row>
    <row r="446" spans="1:9" ht="18" customHeight="1">
      <c r="A446" s="41" t="str">
        <f t="shared" si="9"/>
        <v>888JPY</v>
      </c>
      <c r="B446" s="42" t="s">
        <v>316</v>
      </c>
      <c r="C446" s="42">
        <v>888</v>
      </c>
      <c r="D446" s="42">
        <v>20020</v>
      </c>
      <c r="E446" s="42" t="s">
        <v>10</v>
      </c>
      <c r="F446" s="42" t="s">
        <v>28</v>
      </c>
      <c r="G446" s="42" t="s">
        <v>10</v>
      </c>
      <c r="H446" s="42">
        <v>-41413.393889999999</v>
      </c>
      <c r="I446" s="42">
        <v>-372.78</v>
      </c>
    </row>
    <row r="447" spans="1:9" ht="18" customHeight="1">
      <c r="A447" s="41" t="str">
        <f t="shared" si="9"/>
        <v>888MYR</v>
      </c>
      <c r="B447" s="42" t="s">
        <v>316</v>
      </c>
      <c r="C447" s="42">
        <v>888</v>
      </c>
      <c r="D447" s="42">
        <v>20020</v>
      </c>
      <c r="E447" s="42" t="s">
        <v>10</v>
      </c>
      <c r="F447" s="42" t="s">
        <v>28</v>
      </c>
      <c r="G447" s="42" t="s">
        <v>28</v>
      </c>
      <c r="H447" s="42">
        <v>1386.2607740178</v>
      </c>
      <c r="I447" s="42">
        <v>313.45999999999998</v>
      </c>
    </row>
    <row r="448" spans="1:9" ht="18" customHeight="1">
      <c r="A448" s="41" t="str">
        <f t="shared" si="9"/>
        <v>888JPY</v>
      </c>
      <c r="B448" s="42" t="s">
        <v>317</v>
      </c>
      <c r="C448" s="42">
        <v>888</v>
      </c>
      <c r="D448" s="42">
        <v>20020</v>
      </c>
      <c r="E448" s="42" t="s">
        <v>10</v>
      </c>
      <c r="F448" s="42" t="s">
        <v>28</v>
      </c>
      <c r="G448" s="42" t="s">
        <v>10</v>
      </c>
      <c r="H448" s="42">
        <v>-1055.6119000000001</v>
      </c>
      <c r="I448" s="42">
        <v>-9.5</v>
      </c>
    </row>
    <row r="449" spans="1:9" ht="18" customHeight="1">
      <c r="A449" s="41" t="str">
        <f t="shared" si="9"/>
        <v>888MYR</v>
      </c>
      <c r="B449" s="42" t="s">
        <v>317</v>
      </c>
      <c r="C449" s="42">
        <v>888</v>
      </c>
      <c r="D449" s="42">
        <v>20020</v>
      </c>
      <c r="E449" s="42" t="s">
        <v>10</v>
      </c>
      <c r="F449" s="42" t="s">
        <v>28</v>
      </c>
      <c r="G449" s="42" t="s">
        <v>28</v>
      </c>
      <c r="H449" s="42">
        <v>37.948127650499998</v>
      </c>
      <c r="I449" s="42">
        <v>8.58</v>
      </c>
    </row>
    <row r="450" spans="1:9" ht="18" customHeight="1">
      <c r="A450" s="41" t="str">
        <f t="shared" si="9"/>
        <v>888USD</v>
      </c>
      <c r="B450" s="42" t="s">
        <v>318</v>
      </c>
      <c r="C450" s="42">
        <v>888</v>
      </c>
      <c r="D450" s="42">
        <v>20020</v>
      </c>
      <c r="E450" s="42" t="s">
        <v>11</v>
      </c>
      <c r="F450" s="42" t="s">
        <v>28</v>
      </c>
      <c r="G450" s="42" t="s">
        <v>11</v>
      </c>
      <c r="H450" s="42">
        <v>-0.55549380000000004</v>
      </c>
      <c r="I450" s="42">
        <v>-0.56000000000000005</v>
      </c>
    </row>
    <row r="451" spans="1:9" ht="18" customHeight="1">
      <c r="A451" s="41" t="str">
        <f t="shared" ref="A451:A514" si="10">CONCATENATE(C451,G451)</f>
        <v>888MYR</v>
      </c>
      <c r="B451" s="42" t="s">
        <v>318</v>
      </c>
      <c r="C451" s="42">
        <v>888</v>
      </c>
      <c r="D451" s="42">
        <v>20020</v>
      </c>
      <c r="E451" s="42" t="s">
        <v>11</v>
      </c>
      <c r="F451" s="42" t="s">
        <v>28</v>
      </c>
      <c r="G451" s="42" t="s">
        <v>28</v>
      </c>
      <c r="H451" s="42">
        <v>2.1864087873</v>
      </c>
      <c r="I451" s="42">
        <v>0.49</v>
      </c>
    </row>
    <row r="452" spans="1:9" ht="18" customHeight="1">
      <c r="A452" s="41" t="str">
        <f t="shared" si="10"/>
        <v>888MYR</v>
      </c>
      <c r="B452" s="42" t="s">
        <v>319</v>
      </c>
      <c r="C452" s="42">
        <v>888</v>
      </c>
      <c r="D452" s="42">
        <v>20020</v>
      </c>
      <c r="E452" s="42" t="s">
        <v>28</v>
      </c>
      <c r="F452" s="42" t="s">
        <v>10</v>
      </c>
      <c r="G452" s="42" t="s">
        <v>28</v>
      </c>
      <c r="H452" s="42">
        <v>-274.60926001007999</v>
      </c>
      <c r="I452" s="42">
        <v>-62.09</v>
      </c>
    </row>
    <row r="453" spans="1:9" ht="18" customHeight="1">
      <c r="A453" s="41" t="str">
        <f t="shared" si="10"/>
        <v>888JPY</v>
      </c>
      <c r="B453" s="42" t="s">
        <v>319</v>
      </c>
      <c r="C453" s="42">
        <v>888</v>
      </c>
      <c r="D453" s="42">
        <v>20020</v>
      </c>
      <c r="E453" s="42" t="s">
        <v>28</v>
      </c>
      <c r="F453" s="42" t="s">
        <v>10</v>
      </c>
      <c r="G453" s="42" t="s">
        <v>10</v>
      </c>
      <c r="H453" s="42">
        <v>7726.9692800000003</v>
      </c>
      <c r="I453" s="42">
        <v>69.55</v>
      </c>
    </row>
    <row r="454" spans="1:9" ht="18" customHeight="1">
      <c r="A454" s="41" t="str">
        <f t="shared" si="10"/>
        <v>888JPY</v>
      </c>
      <c r="B454" s="42" t="s">
        <v>320</v>
      </c>
      <c r="C454" s="42">
        <v>888</v>
      </c>
      <c r="D454" s="42">
        <v>20020</v>
      </c>
      <c r="E454" s="42" t="s">
        <v>10</v>
      </c>
      <c r="F454" s="42" t="s">
        <v>28</v>
      </c>
      <c r="G454" s="42" t="s">
        <v>10</v>
      </c>
      <c r="H454" s="42">
        <v>-81615.227280000006</v>
      </c>
      <c r="I454" s="42">
        <v>-734.65</v>
      </c>
    </row>
    <row r="455" spans="1:9" ht="18" customHeight="1">
      <c r="A455" s="41" t="str">
        <f t="shared" si="10"/>
        <v>888MYR</v>
      </c>
      <c r="B455" s="42" t="s">
        <v>320</v>
      </c>
      <c r="C455" s="42">
        <v>888</v>
      </c>
      <c r="D455" s="42">
        <v>20020</v>
      </c>
      <c r="E455" s="42" t="s">
        <v>10</v>
      </c>
      <c r="F455" s="42" t="s">
        <v>28</v>
      </c>
      <c r="G455" s="42" t="s">
        <v>28</v>
      </c>
      <c r="H455" s="42">
        <v>2533.2816894283801</v>
      </c>
      <c r="I455" s="42">
        <v>572.82000000000005</v>
      </c>
    </row>
    <row r="456" spans="1:9" ht="18" customHeight="1">
      <c r="A456" s="41" t="str">
        <f t="shared" si="10"/>
        <v>888MYR</v>
      </c>
      <c r="B456" s="42" t="s">
        <v>321</v>
      </c>
      <c r="C456" s="42">
        <v>888</v>
      </c>
      <c r="D456" s="42">
        <v>20030</v>
      </c>
      <c r="E456" s="42" t="s">
        <v>28</v>
      </c>
      <c r="F456" s="42" t="s">
        <v>11</v>
      </c>
      <c r="G456" s="42" t="s">
        <v>28</v>
      </c>
      <c r="H456" s="42">
        <v>-2.2588234789400001</v>
      </c>
      <c r="I456" s="42">
        <v>-0.51</v>
      </c>
    </row>
    <row r="457" spans="1:9" ht="18" customHeight="1">
      <c r="A457" s="41" t="str">
        <f t="shared" si="10"/>
        <v>888USD</v>
      </c>
      <c r="B457" s="42" t="s">
        <v>321</v>
      </c>
      <c r="C457" s="42">
        <v>888</v>
      </c>
      <c r="D457" s="42">
        <v>20030</v>
      </c>
      <c r="E457" s="42" t="s">
        <v>28</v>
      </c>
      <c r="F457" s="42" t="s">
        <v>11</v>
      </c>
      <c r="G457" s="42" t="s">
        <v>11</v>
      </c>
      <c r="H457" s="42">
        <v>0.55549380000000004</v>
      </c>
      <c r="I457" s="42">
        <v>0.56000000000000005</v>
      </c>
    </row>
    <row r="458" spans="1:9" ht="18" customHeight="1">
      <c r="A458" s="41" t="str">
        <f t="shared" si="10"/>
        <v>888MYR</v>
      </c>
      <c r="B458" s="42" t="s">
        <v>322</v>
      </c>
      <c r="C458" s="42">
        <v>888</v>
      </c>
      <c r="D458" s="42">
        <v>20030</v>
      </c>
      <c r="E458" s="42" t="s">
        <v>28</v>
      </c>
      <c r="F458" s="42" t="s">
        <v>11</v>
      </c>
      <c r="G458" s="42" t="s">
        <v>28</v>
      </c>
      <c r="H458" s="42">
        <v>-15.240155448007</v>
      </c>
      <c r="I458" s="42">
        <v>-3.45</v>
      </c>
    </row>
    <row r="459" spans="1:9" ht="18" customHeight="1">
      <c r="A459" s="41" t="str">
        <f t="shared" si="10"/>
        <v>888USD</v>
      </c>
      <c r="B459" s="42" t="s">
        <v>322</v>
      </c>
      <c r="C459" s="42">
        <v>888</v>
      </c>
      <c r="D459" s="42">
        <v>20030</v>
      </c>
      <c r="E459" s="42" t="s">
        <v>28</v>
      </c>
      <c r="F459" s="42" t="s">
        <v>11</v>
      </c>
      <c r="G459" s="42" t="s">
        <v>11</v>
      </c>
      <c r="H459" s="42">
        <v>3.7481262000000002</v>
      </c>
      <c r="I459" s="42">
        <v>3.75</v>
      </c>
    </row>
    <row r="460" spans="1:9" ht="18" customHeight="1">
      <c r="A460" s="41" t="str">
        <f t="shared" si="10"/>
        <v>888EUR</v>
      </c>
      <c r="B460" s="42" t="s">
        <v>323</v>
      </c>
      <c r="C460" s="42">
        <v>888</v>
      </c>
      <c r="D460" s="42">
        <v>20020</v>
      </c>
      <c r="E460" s="42" t="s">
        <v>31</v>
      </c>
      <c r="F460" s="42" t="s">
        <v>28</v>
      </c>
      <c r="G460" s="42" t="s">
        <v>31</v>
      </c>
      <c r="H460" s="42">
        <v>-2.0847586625000001</v>
      </c>
      <c r="I460" s="42">
        <v>-2.25</v>
      </c>
    </row>
    <row r="461" spans="1:9" ht="18" customHeight="1">
      <c r="A461" s="41" t="str">
        <f t="shared" si="10"/>
        <v>888MYR</v>
      </c>
      <c r="B461" s="42" t="s">
        <v>323</v>
      </c>
      <c r="C461" s="42">
        <v>888</v>
      </c>
      <c r="D461" s="42">
        <v>20020</v>
      </c>
      <c r="E461" s="42" t="s">
        <v>31</v>
      </c>
      <c r="F461" s="42" t="s">
        <v>28</v>
      </c>
      <c r="G461" s="42" t="s">
        <v>28</v>
      </c>
      <c r="H461" s="42">
        <v>9.6689669064999997</v>
      </c>
      <c r="I461" s="42">
        <v>2.19</v>
      </c>
    </row>
    <row r="462" spans="1:9" ht="18" customHeight="1">
      <c r="A462" s="41" t="str">
        <f t="shared" si="10"/>
        <v>888USD</v>
      </c>
      <c r="B462" s="42" t="s">
        <v>324</v>
      </c>
      <c r="C462" s="42">
        <v>888</v>
      </c>
      <c r="D462" s="42">
        <v>20030</v>
      </c>
      <c r="E462" s="42" t="s">
        <v>11</v>
      </c>
      <c r="F462" s="42" t="s">
        <v>28</v>
      </c>
      <c r="G462" s="42" t="s">
        <v>11</v>
      </c>
      <c r="H462" s="42">
        <v>-559.86764010000002</v>
      </c>
      <c r="I462" s="42">
        <v>-559.87</v>
      </c>
    </row>
    <row r="463" spans="1:9" ht="18" customHeight="1">
      <c r="A463" s="41" t="str">
        <f t="shared" si="10"/>
        <v>888MYR</v>
      </c>
      <c r="B463" s="42" t="s">
        <v>324</v>
      </c>
      <c r="C463" s="42">
        <v>888</v>
      </c>
      <c r="D463" s="42">
        <v>20030</v>
      </c>
      <c r="E463" s="42" t="s">
        <v>11</v>
      </c>
      <c r="F463" s="42" t="s">
        <v>28</v>
      </c>
      <c r="G463" s="42" t="s">
        <v>28</v>
      </c>
      <c r="H463" s="42">
        <v>2271.1735626397499</v>
      </c>
      <c r="I463" s="42">
        <v>513.54999999999995</v>
      </c>
    </row>
    <row r="464" spans="1:9" ht="18" customHeight="1">
      <c r="A464" s="41" t="str">
        <f t="shared" si="10"/>
        <v>888JPY</v>
      </c>
      <c r="B464" s="42" t="s">
        <v>325</v>
      </c>
      <c r="C464" s="42">
        <v>888</v>
      </c>
      <c r="D464" s="42">
        <v>20030</v>
      </c>
      <c r="E464" s="42" t="s">
        <v>10</v>
      </c>
      <c r="F464" s="42" t="s">
        <v>11</v>
      </c>
      <c r="G464" s="42" t="s">
        <v>10</v>
      </c>
      <c r="H464" s="42">
        <v>-60176.607969999997</v>
      </c>
      <c r="I464" s="42">
        <v>-541.66999999999996</v>
      </c>
    </row>
    <row r="465" spans="1:9" ht="18" customHeight="1">
      <c r="A465" s="41" t="str">
        <f t="shared" si="10"/>
        <v>888USD</v>
      </c>
      <c r="B465" s="42" t="s">
        <v>325</v>
      </c>
      <c r="C465" s="42">
        <v>888</v>
      </c>
      <c r="D465" s="42">
        <v>20030</v>
      </c>
      <c r="E465" s="42" t="s">
        <v>10</v>
      </c>
      <c r="F465" s="42" t="s">
        <v>11</v>
      </c>
      <c r="G465" s="42" t="s">
        <v>11</v>
      </c>
      <c r="H465" s="42">
        <v>568.94558743035395</v>
      </c>
      <c r="I465" s="42">
        <v>568.95000000000005</v>
      </c>
    </row>
    <row r="466" spans="1:9" ht="18" customHeight="1">
      <c r="A466" s="41" t="str">
        <f t="shared" si="10"/>
        <v>888MYR</v>
      </c>
      <c r="B466" s="42" t="s">
        <v>326</v>
      </c>
      <c r="C466" s="42">
        <v>888</v>
      </c>
      <c r="D466" s="42">
        <v>20020</v>
      </c>
      <c r="E466" s="42" t="s">
        <v>28</v>
      </c>
      <c r="F466" s="42" t="s">
        <v>10</v>
      </c>
      <c r="G466" s="42" t="s">
        <v>28</v>
      </c>
      <c r="H466" s="42">
        <v>-2304.4088999999999</v>
      </c>
      <c r="I466" s="42">
        <v>-521.05999999999995</v>
      </c>
    </row>
    <row r="467" spans="1:9" ht="18" customHeight="1">
      <c r="A467" s="41" t="str">
        <f t="shared" si="10"/>
        <v>888JPY</v>
      </c>
      <c r="B467" s="42" t="s">
        <v>326</v>
      </c>
      <c r="C467" s="42">
        <v>888</v>
      </c>
      <c r="D467" s="42">
        <v>20020</v>
      </c>
      <c r="E467" s="42" t="s">
        <v>28</v>
      </c>
      <c r="F467" s="42" t="s">
        <v>10</v>
      </c>
      <c r="G467" s="42" t="s">
        <v>10</v>
      </c>
      <c r="H467" s="42">
        <v>60170.891784143903</v>
      </c>
      <c r="I467" s="42">
        <v>541.62</v>
      </c>
    </row>
    <row r="468" spans="1:9" ht="18" customHeight="1">
      <c r="A468" s="41" t="str">
        <f t="shared" si="10"/>
        <v>888USD</v>
      </c>
      <c r="B468" s="42" t="s">
        <v>327</v>
      </c>
      <c r="C468" s="42">
        <v>888</v>
      </c>
      <c r="D468" s="42">
        <v>20020</v>
      </c>
      <c r="E468" s="42" t="s">
        <v>11</v>
      </c>
      <c r="F468" s="42" t="s">
        <v>28</v>
      </c>
      <c r="G468" s="42" t="s">
        <v>11</v>
      </c>
      <c r="H468" s="42">
        <v>-64.711828350000005</v>
      </c>
      <c r="I468" s="42">
        <v>-64.709999999999994</v>
      </c>
    </row>
    <row r="469" spans="1:9" ht="18" customHeight="1">
      <c r="A469" s="41" t="str">
        <f t="shared" si="10"/>
        <v>888MYR</v>
      </c>
      <c r="B469" s="42" t="s">
        <v>327</v>
      </c>
      <c r="C469" s="42">
        <v>888</v>
      </c>
      <c r="D469" s="42">
        <v>20020</v>
      </c>
      <c r="E469" s="42" t="s">
        <v>11</v>
      </c>
      <c r="F469" s="42" t="s">
        <v>28</v>
      </c>
      <c r="G469" s="42" t="s">
        <v>28</v>
      </c>
      <c r="H469" s="42">
        <v>263.04812950740001</v>
      </c>
      <c r="I469" s="42">
        <v>59.48</v>
      </c>
    </row>
    <row r="470" spans="1:9" ht="18" customHeight="1">
      <c r="A470" s="41" t="str">
        <f t="shared" si="10"/>
        <v>888MYR</v>
      </c>
      <c r="B470" s="42" t="s">
        <v>328</v>
      </c>
      <c r="C470" s="42">
        <v>888</v>
      </c>
      <c r="D470" s="42">
        <v>20020</v>
      </c>
      <c r="E470" s="42" t="s">
        <v>28</v>
      </c>
      <c r="F470" s="42" t="s">
        <v>11</v>
      </c>
      <c r="G470" s="42" t="s">
        <v>28</v>
      </c>
      <c r="H470" s="42">
        <v>-264.02144550797999</v>
      </c>
      <c r="I470" s="42">
        <v>-59.7</v>
      </c>
    </row>
    <row r="471" spans="1:9" ht="18" customHeight="1">
      <c r="A471" s="41" t="str">
        <f t="shared" si="10"/>
        <v>888USD</v>
      </c>
      <c r="B471" s="42" t="s">
        <v>328</v>
      </c>
      <c r="C471" s="42">
        <v>888</v>
      </c>
      <c r="D471" s="42">
        <v>20020</v>
      </c>
      <c r="E471" s="42" t="s">
        <v>28</v>
      </c>
      <c r="F471" s="42" t="s">
        <v>11</v>
      </c>
      <c r="G471" s="42" t="s">
        <v>11</v>
      </c>
      <c r="H471" s="42">
        <v>64.711828350000005</v>
      </c>
      <c r="I471" s="42">
        <v>64.709999999999994</v>
      </c>
    </row>
    <row r="472" spans="1:9" ht="18" customHeight="1">
      <c r="A472" s="41" t="str">
        <f t="shared" si="10"/>
        <v>888USD</v>
      </c>
      <c r="B472" s="42" t="s">
        <v>329</v>
      </c>
      <c r="C472" s="42">
        <v>888</v>
      </c>
      <c r="D472" s="42">
        <v>20020</v>
      </c>
      <c r="E472" s="42" t="s">
        <v>11</v>
      </c>
      <c r="F472" s="42" t="s">
        <v>28</v>
      </c>
      <c r="G472" s="42" t="s">
        <v>11</v>
      </c>
      <c r="H472" s="42">
        <v>-97.579599900000005</v>
      </c>
      <c r="I472" s="42">
        <v>-97.58</v>
      </c>
    </row>
    <row r="473" spans="1:9" ht="18" customHeight="1">
      <c r="A473" s="41" t="str">
        <f t="shared" si="10"/>
        <v>888MYR</v>
      </c>
      <c r="B473" s="42" t="s">
        <v>329</v>
      </c>
      <c r="C473" s="42">
        <v>888</v>
      </c>
      <c r="D473" s="42">
        <v>20020</v>
      </c>
      <c r="E473" s="42" t="s">
        <v>11</v>
      </c>
      <c r="F473" s="42" t="s">
        <v>28</v>
      </c>
      <c r="G473" s="42" t="s">
        <v>28</v>
      </c>
      <c r="H473" s="42">
        <v>392.38741865399999</v>
      </c>
      <c r="I473" s="42">
        <v>88.73</v>
      </c>
    </row>
    <row r="474" spans="1:9" ht="18" customHeight="1">
      <c r="A474" s="41" t="str">
        <f t="shared" si="10"/>
        <v>888MYR</v>
      </c>
      <c r="B474" s="42" t="s">
        <v>330</v>
      </c>
      <c r="C474" s="42">
        <v>888</v>
      </c>
      <c r="D474" s="42">
        <v>20020</v>
      </c>
      <c r="E474" s="42" t="s">
        <v>28</v>
      </c>
      <c r="F474" s="42" t="s">
        <v>11</v>
      </c>
      <c r="G474" s="42" t="s">
        <v>28</v>
      </c>
      <c r="H474" s="42">
        <v>-393.24125974875</v>
      </c>
      <c r="I474" s="42">
        <v>-88.92</v>
      </c>
    </row>
    <row r="475" spans="1:9" ht="18" customHeight="1">
      <c r="A475" s="41" t="str">
        <f t="shared" si="10"/>
        <v>888USD</v>
      </c>
      <c r="B475" s="42" t="s">
        <v>330</v>
      </c>
      <c r="C475" s="42">
        <v>888</v>
      </c>
      <c r="D475" s="42">
        <v>20020</v>
      </c>
      <c r="E475" s="42" t="s">
        <v>28</v>
      </c>
      <c r="F475" s="42" t="s">
        <v>11</v>
      </c>
      <c r="G475" s="42" t="s">
        <v>11</v>
      </c>
      <c r="H475" s="42">
        <v>97.579599900000005</v>
      </c>
      <c r="I475" s="42">
        <v>97.58</v>
      </c>
    </row>
    <row r="476" spans="1:9" ht="18" customHeight="1">
      <c r="A476" s="41" t="str">
        <f t="shared" si="10"/>
        <v>888USD</v>
      </c>
      <c r="B476" s="42" t="s">
        <v>331</v>
      </c>
      <c r="C476" s="42">
        <v>888</v>
      </c>
      <c r="D476" s="42">
        <v>20030</v>
      </c>
      <c r="E476" s="42" t="s">
        <v>11</v>
      </c>
      <c r="F476" s="42" t="s">
        <v>28</v>
      </c>
      <c r="G476" s="42" t="s">
        <v>11</v>
      </c>
      <c r="H476" s="42">
        <v>-109.82934090000001</v>
      </c>
      <c r="I476" s="42">
        <v>-109.83</v>
      </c>
    </row>
    <row r="477" spans="1:9" ht="18" customHeight="1">
      <c r="A477" s="41" t="str">
        <f t="shared" si="10"/>
        <v>888MYR</v>
      </c>
      <c r="B477" s="42" t="s">
        <v>331</v>
      </c>
      <c r="C477" s="42">
        <v>888</v>
      </c>
      <c r="D477" s="42">
        <v>20030</v>
      </c>
      <c r="E477" s="42" t="s">
        <v>11</v>
      </c>
      <c r="F477" s="42" t="s">
        <v>28</v>
      </c>
      <c r="G477" s="42" t="s">
        <v>28</v>
      </c>
      <c r="H477" s="42">
        <v>436.76001364242001</v>
      </c>
      <c r="I477" s="42">
        <v>98.76</v>
      </c>
    </row>
    <row r="478" spans="1:9" ht="18" customHeight="1">
      <c r="A478" s="41" t="str">
        <f t="shared" si="10"/>
        <v>888JPY</v>
      </c>
      <c r="B478" s="42" t="s">
        <v>332</v>
      </c>
      <c r="C478" s="42">
        <v>888</v>
      </c>
      <c r="D478" s="42">
        <v>20030</v>
      </c>
      <c r="E478" s="42" t="s">
        <v>10</v>
      </c>
      <c r="F478" s="42" t="s">
        <v>11</v>
      </c>
      <c r="G478" s="42" t="s">
        <v>10</v>
      </c>
      <c r="H478" s="42">
        <v>-11156.8729163469</v>
      </c>
      <c r="I478" s="42">
        <v>-100.43</v>
      </c>
    </row>
    <row r="479" spans="1:9" ht="18" customHeight="1">
      <c r="A479" s="41" t="str">
        <f t="shared" si="10"/>
        <v>888USD</v>
      </c>
      <c r="B479" s="42" t="s">
        <v>332</v>
      </c>
      <c r="C479" s="42">
        <v>888</v>
      </c>
      <c r="D479" s="42">
        <v>20030</v>
      </c>
      <c r="E479" s="42" t="s">
        <v>10</v>
      </c>
      <c r="F479" s="42" t="s">
        <v>11</v>
      </c>
      <c r="G479" s="42" t="s">
        <v>11</v>
      </c>
      <c r="H479" s="42">
        <v>109.82934090000001</v>
      </c>
      <c r="I479" s="42">
        <v>109.83</v>
      </c>
    </row>
    <row r="480" spans="1:9" ht="18" customHeight="1">
      <c r="A480" s="41" t="str">
        <f t="shared" si="10"/>
        <v>888MYR</v>
      </c>
      <c r="B480" s="42" t="s">
        <v>333</v>
      </c>
      <c r="C480" s="42">
        <v>888</v>
      </c>
      <c r="D480" s="42">
        <v>20020</v>
      </c>
      <c r="E480" s="42" t="s">
        <v>28</v>
      </c>
      <c r="F480" s="42" t="s">
        <v>10</v>
      </c>
      <c r="G480" s="42" t="s">
        <v>28</v>
      </c>
      <c r="H480" s="42">
        <v>-426.49221360000001</v>
      </c>
      <c r="I480" s="42">
        <v>-96.44</v>
      </c>
    </row>
    <row r="481" spans="1:9" ht="18" customHeight="1">
      <c r="A481" s="41" t="str">
        <f t="shared" si="10"/>
        <v>888JPY</v>
      </c>
      <c r="B481" s="42" t="s">
        <v>333</v>
      </c>
      <c r="C481" s="42">
        <v>888</v>
      </c>
      <c r="D481" s="42">
        <v>20020</v>
      </c>
      <c r="E481" s="42" t="s">
        <v>28</v>
      </c>
      <c r="F481" s="42" t="s">
        <v>10</v>
      </c>
      <c r="G481" s="42" t="s">
        <v>10</v>
      </c>
      <c r="H481" s="42">
        <v>10904.838409316</v>
      </c>
      <c r="I481" s="42">
        <v>98.16</v>
      </c>
    </row>
    <row r="482" spans="1:9" ht="18" customHeight="1">
      <c r="A482" s="41" t="str">
        <f t="shared" si="10"/>
        <v>888USD</v>
      </c>
      <c r="B482" s="42" t="s">
        <v>334</v>
      </c>
      <c r="C482" s="42">
        <v>888</v>
      </c>
      <c r="D482" s="42">
        <v>20020</v>
      </c>
      <c r="E482" s="42" t="s">
        <v>11</v>
      </c>
      <c r="F482" s="42" t="s">
        <v>28</v>
      </c>
      <c r="G482" s="42" t="s">
        <v>11</v>
      </c>
      <c r="H482" s="42">
        <v>-76.477646100000001</v>
      </c>
      <c r="I482" s="42">
        <v>-76.48</v>
      </c>
    </row>
    <row r="483" spans="1:9" ht="18" customHeight="1">
      <c r="A483" s="41" t="str">
        <f t="shared" si="10"/>
        <v>888MYR</v>
      </c>
      <c r="B483" s="42" t="s">
        <v>334</v>
      </c>
      <c r="C483" s="42">
        <v>888</v>
      </c>
      <c r="D483" s="42">
        <v>20020</v>
      </c>
      <c r="E483" s="42" t="s">
        <v>11</v>
      </c>
      <c r="F483" s="42" t="s">
        <v>28</v>
      </c>
      <c r="G483" s="42" t="s">
        <v>28</v>
      </c>
      <c r="H483" s="42">
        <v>300.81764485539998</v>
      </c>
      <c r="I483" s="42">
        <v>68.02</v>
      </c>
    </row>
    <row r="484" spans="1:9" ht="18" customHeight="1">
      <c r="A484" s="41" t="str">
        <f t="shared" si="10"/>
        <v>888MYR</v>
      </c>
      <c r="B484" s="42" t="s">
        <v>335</v>
      </c>
      <c r="C484" s="42">
        <v>888</v>
      </c>
      <c r="D484" s="42">
        <v>20020</v>
      </c>
      <c r="E484" s="42" t="s">
        <v>28</v>
      </c>
      <c r="F484" s="42" t="s">
        <v>11</v>
      </c>
      <c r="G484" s="42" t="s">
        <v>28</v>
      </c>
      <c r="H484" s="42">
        <v>-301.13671635832998</v>
      </c>
      <c r="I484" s="42">
        <v>-68.09</v>
      </c>
    </row>
    <row r="485" spans="1:9" ht="18" customHeight="1">
      <c r="A485" s="41" t="str">
        <f t="shared" si="10"/>
        <v>888USD</v>
      </c>
      <c r="B485" s="42" t="s">
        <v>335</v>
      </c>
      <c r="C485" s="42">
        <v>888</v>
      </c>
      <c r="D485" s="42">
        <v>20020</v>
      </c>
      <c r="E485" s="42" t="s">
        <v>28</v>
      </c>
      <c r="F485" s="42" t="s">
        <v>11</v>
      </c>
      <c r="G485" s="42" t="s">
        <v>11</v>
      </c>
      <c r="H485" s="42">
        <v>76.477646100000001</v>
      </c>
      <c r="I485" s="42">
        <v>76.48</v>
      </c>
    </row>
    <row r="486" spans="1:9" ht="18" customHeight="1">
      <c r="A486" s="41" t="str">
        <f t="shared" si="10"/>
        <v>888USD</v>
      </c>
      <c r="B486" s="42" t="s">
        <v>336</v>
      </c>
      <c r="C486" s="42">
        <v>888</v>
      </c>
      <c r="D486" s="42">
        <v>20020</v>
      </c>
      <c r="E486" s="42" t="s">
        <v>11</v>
      </c>
      <c r="F486" s="42" t="s">
        <v>31</v>
      </c>
      <c r="G486" s="42" t="s">
        <v>11</v>
      </c>
      <c r="H486" s="42">
        <v>-2.37614841744</v>
      </c>
      <c r="I486" s="42">
        <v>-2.38</v>
      </c>
    </row>
    <row r="487" spans="1:9" ht="18" customHeight="1">
      <c r="A487" s="41" t="str">
        <f t="shared" si="10"/>
        <v>888EUR</v>
      </c>
      <c r="B487" s="42" t="s">
        <v>336</v>
      </c>
      <c r="C487" s="42">
        <v>888</v>
      </c>
      <c r="D487" s="42">
        <v>20020</v>
      </c>
      <c r="E487" s="42" t="s">
        <v>11</v>
      </c>
      <c r="F487" s="42" t="s">
        <v>31</v>
      </c>
      <c r="G487" s="42" t="s">
        <v>31</v>
      </c>
      <c r="H487" s="42">
        <v>2.0847586625000001</v>
      </c>
      <c r="I487" s="42">
        <v>2.25</v>
      </c>
    </row>
    <row r="488" spans="1:9" ht="18" customHeight="1">
      <c r="A488" s="41" t="str">
        <f t="shared" si="10"/>
        <v>888USD</v>
      </c>
      <c r="B488" s="42" t="s">
        <v>337</v>
      </c>
      <c r="C488" s="42">
        <v>888</v>
      </c>
      <c r="D488" s="42">
        <v>20020</v>
      </c>
      <c r="E488" s="42" t="s">
        <v>11</v>
      </c>
      <c r="F488" s="42" t="s">
        <v>28</v>
      </c>
      <c r="G488" s="42" t="s">
        <v>11</v>
      </c>
      <c r="H488" s="42">
        <v>-65.879981924999996</v>
      </c>
      <c r="I488" s="42">
        <v>-65.88</v>
      </c>
    </row>
    <row r="489" spans="1:9" ht="18" customHeight="1">
      <c r="A489" s="41" t="str">
        <f t="shared" si="10"/>
        <v>888MYR</v>
      </c>
      <c r="B489" s="42" t="s">
        <v>337</v>
      </c>
      <c r="C489" s="42">
        <v>888</v>
      </c>
      <c r="D489" s="42">
        <v>20020</v>
      </c>
      <c r="E489" s="42" t="s">
        <v>11</v>
      </c>
      <c r="F489" s="42" t="s">
        <v>28</v>
      </c>
      <c r="G489" s="42" t="s">
        <v>28</v>
      </c>
      <c r="H489" s="42">
        <v>263.58560774925002</v>
      </c>
      <c r="I489" s="42">
        <v>59.6</v>
      </c>
    </row>
    <row r="490" spans="1:9" ht="18" customHeight="1">
      <c r="A490" s="41" t="str">
        <f t="shared" si="10"/>
        <v>888MYR</v>
      </c>
      <c r="B490" s="42" t="s">
        <v>338</v>
      </c>
      <c r="C490" s="42">
        <v>888</v>
      </c>
      <c r="D490" s="42">
        <v>20020</v>
      </c>
      <c r="E490" s="42" t="s">
        <v>28</v>
      </c>
      <c r="F490" s="42" t="s">
        <v>11</v>
      </c>
      <c r="G490" s="42" t="s">
        <v>28</v>
      </c>
      <c r="H490" s="42">
        <v>-264.12789932999999</v>
      </c>
      <c r="I490" s="42">
        <v>-59.72</v>
      </c>
    </row>
    <row r="491" spans="1:9" ht="18" customHeight="1">
      <c r="A491" s="41" t="str">
        <f t="shared" si="10"/>
        <v>888USD</v>
      </c>
      <c r="B491" s="42" t="s">
        <v>338</v>
      </c>
      <c r="C491" s="42">
        <v>888</v>
      </c>
      <c r="D491" s="42">
        <v>20020</v>
      </c>
      <c r="E491" s="42" t="s">
        <v>28</v>
      </c>
      <c r="F491" s="42" t="s">
        <v>11</v>
      </c>
      <c r="G491" s="42" t="s">
        <v>11</v>
      </c>
      <c r="H491" s="42">
        <v>65.879981924999996</v>
      </c>
      <c r="I491" s="42">
        <v>65.88</v>
      </c>
    </row>
    <row r="492" spans="1:9" ht="18" customHeight="1">
      <c r="A492" s="41" t="str">
        <f t="shared" si="10"/>
        <v>888USD</v>
      </c>
      <c r="B492" s="42" t="s">
        <v>339</v>
      </c>
      <c r="C492" s="42">
        <v>888</v>
      </c>
      <c r="D492" s="42">
        <v>20020</v>
      </c>
      <c r="E492" s="42" t="s">
        <v>11</v>
      </c>
      <c r="F492" s="42" t="s">
        <v>28</v>
      </c>
      <c r="G492" s="42" t="s">
        <v>11</v>
      </c>
      <c r="H492" s="42">
        <v>-68.305542750000001</v>
      </c>
      <c r="I492" s="42">
        <v>-68.31</v>
      </c>
    </row>
    <row r="493" spans="1:9" ht="18" customHeight="1">
      <c r="A493" s="41" t="str">
        <f t="shared" si="10"/>
        <v>888MYR</v>
      </c>
      <c r="B493" s="42" t="s">
        <v>339</v>
      </c>
      <c r="C493" s="42">
        <v>888</v>
      </c>
      <c r="D493" s="42">
        <v>20020</v>
      </c>
      <c r="E493" s="42" t="s">
        <v>11</v>
      </c>
      <c r="F493" s="42" t="s">
        <v>28</v>
      </c>
      <c r="G493" s="42" t="s">
        <v>28</v>
      </c>
      <c r="H493" s="42">
        <v>274.63721391809997</v>
      </c>
      <c r="I493" s="42">
        <v>62.1</v>
      </c>
    </row>
    <row r="494" spans="1:9" ht="18" customHeight="1">
      <c r="A494" s="41" t="str">
        <f t="shared" si="10"/>
        <v>888MYR</v>
      </c>
      <c r="B494" s="42" t="s">
        <v>340</v>
      </c>
      <c r="C494" s="42">
        <v>888</v>
      </c>
      <c r="D494" s="42">
        <v>20020</v>
      </c>
      <c r="E494" s="42" t="s">
        <v>28</v>
      </c>
      <c r="F494" s="42" t="s">
        <v>11</v>
      </c>
      <c r="G494" s="42" t="s">
        <v>28</v>
      </c>
      <c r="H494" s="42">
        <v>-275.13306830047401</v>
      </c>
      <c r="I494" s="42">
        <v>-62.21</v>
      </c>
    </row>
    <row r="495" spans="1:9" ht="18" customHeight="1">
      <c r="A495" s="41" t="str">
        <f t="shared" si="10"/>
        <v>888USD</v>
      </c>
      <c r="B495" s="42" t="s">
        <v>340</v>
      </c>
      <c r="C495" s="42">
        <v>888</v>
      </c>
      <c r="D495" s="42">
        <v>20020</v>
      </c>
      <c r="E495" s="42" t="s">
        <v>28</v>
      </c>
      <c r="F495" s="42" t="s">
        <v>11</v>
      </c>
      <c r="G495" s="42" t="s">
        <v>11</v>
      </c>
      <c r="H495" s="42">
        <v>68.305542750000001</v>
      </c>
      <c r="I495" s="42">
        <v>68.31</v>
      </c>
    </row>
    <row r="496" spans="1:9" ht="18" customHeight="1">
      <c r="A496" s="41" t="str">
        <f t="shared" si="10"/>
        <v>888USD</v>
      </c>
      <c r="B496" s="42" t="s">
        <v>341</v>
      </c>
      <c r="C496" s="42">
        <v>888</v>
      </c>
      <c r="D496" s="42">
        <v>20020</v>
      </c>
      <c r="E496" s="42" t="s">
        <v>11</v>
      </c>
      <c r="F496" s="42" t="s">
        <v>28</v>
      </c>
      <c r="G496" s="42" t="s">
        <v>11</v>
      </c>
      <c r="H496" s="42">
        <v>-2.0799618500000001</v>
      </c>
      <c r="I496" s="42">
        <v>-2.08</v>
      </c>
    </row>
    <row r="497" spans="1:9" ht="18" customHeight="1">
      <c r="A497" s="41" t="str">
        <f t="shared" si="10"/>
        <v>888MYR</v>
      </c>
      <c r="B497" s="42" t="s">
        <v>341</v>
      </c>
      <c r="C497" s="42">
        <v>888</v>
      </c>
      <c r="D497" s="42">
        <v>20020</v>
      </c>
      <c r="E497" s="42" t="s">
        <v>11</v>
      </c>
      <c r="F497" s="42" t="s">
        <v>28</v>
      </c>
      <c r="G497" s="42" t="s">
        <v>28</v>
      </c>
      <c r="H497" s="42">
        <v>8.5375138023249999</v>
      </c>
      <c r="I497" s="42">
        <v>1.93</v>
      </c>
    </row>
    <row r="498" spans="1:9" ht="18" customHeight="1">
      <c r="A498" s="41" t="str">
        <f t="shared" si="10"/>
        <v>888USD</v>
      </c>
      <c r="B498" s="42" t="s">
        <v>342</v>
      </c>
      <c r="C498" s="42">
        <v>888</v>
      </c>
      <c r="D498" s="42">
        <v>20020</v>
      </c>
      <c r="E498" s="42" t="s">
        <v>11</v>
      </c>
      <c r="F498" s="42" t="s">
        <v>28</v>
      </c>
      <c r="G498" s="42" t="s">
        <v>11</v>
      </c>
      <c r="H498" s="42">
        <v>-160.00101599999999</v>
      </c>
      <c r="I498" s="42">
        <v>-160</v>
      </c>
    </row>
    <row r="499" spans="1:9" ht="18" customHeight="1">
      <c r="A499" s="41" t="str">
        <f t="shared" si="10"/>
        <v>888MYR</v>
      </c>
      <c r="B499" s="42" t="s">
        <v>342</v>
      </c>
      <c r="C499" s="42">
        <v>888</v>
      </c>
      <c r="D499" s="42">
        <v>20020</v>
      </c>
      <c r="E499" s="42" t="s">
        <v>11</v>
      </c>
      <c r="F499" s="42" t="s">
        <v>28</v>
      </c>
      <c r="G499" s="42" t="s">
        <v>28</v>
      </c>
      <c r="H499" s="42">
        <v>653.95776263879998</v>
      </c>
      <c r="I499" s="42">
        <v>147.87</v>
      </c>
    </row>
    <row r="500" spans="1:9" ht="18" customHeight="1">
      <c r="A500" s="41" t="str">
        <f t="shared" si="10"/>
        <v>888MYR</v>
      </c>
      <c r="B500" s="42" t="s">
        <v>343</v>
      </c>
      <c r="C500" s="42">
        <v>888</v>
      </c>
      <c r="D500" s="42">
        <v>20020</v>
      </c>
      <c r="E500" s="42" t="s">
        <v>28</v>
      </c>
      <c r="F500" s="42" t="s">
        <v>11</v>
      </c>
      <c r="G500" s="42" t="s">
        <v>28</v>
      </c>
      <c r="H500" s="42">
        <v>-654.62191435806005</v>
      </c>
      <c r="I500" s="42">
        <v>-148.02000000000001</v>
      </c>
    </row>
    <row r="501" spans="1:9" ht="18" customHeight="1">
      <c r="A501" s="41" t="str">
        <f t="shared" si="10"/>
        <v>888USD</v>
      </c>
      <c r="B501" s="42" t="s">
        <v>343</v>
      </c>
      <c r="C501" s="42">
        <v>888</v>
      </c>
      <c r="D501" s="42">
        <v>20020</v>
      </c>
      <c r="E501" s="42" t="s">
        <v>28</v>
      </c>
      <c r="F501" s="42" t="s">
        <v>11</v>
      </c>
      <c r="G501" s="42" t="s">
        <v>11</v>
      </c>
      <c r="H501" s="42">
        <v>160.00101599999999</v>
      </c>
      <c r="I501" s="42">
        <v>160</v>
      </c>
    </row>
    <row r="502" spans="1:9" ht="18" customHeight="1">
      <c r="A502" s="41" t="str">
        <f t="shared" si="10"/>
        <v>888USD</v>
      </c>
      <c r="B502" s="42" t="s">
        <v>344</v>
      </c>
      <c r="C502" s="42">
        <v>888</v>
      </c>
      <c r="D502" s="42">
        <v>20020</v>
      </c>
      <c r="E502" s="42" t="s">
        <v>11</v>
      </c>
      <c r="F502" s="42" t="s">
        <v>28</v>
      </c>
      <c r="G502" s="42" t="s">
        <v>11</v>
      </c>
      <c r="H502" s="42">
        <v>-2.0799618500000001</v>
      </c>
      <c r="I502" s="42">
        <v>-2.08</v>
      </c>
    </row>
    <row r="503" spans="1:9" ht="18" customHeight="1">
      <c r="A503" s="41" t="str">
        <f t="shared" si="10"/>
        <v>888MYR</v>
      </c>
      <c r="B503" s="42" t="s">
        <v>344</v>
      </c>
      <c r="C503" s="42">
        <v>888</v>
      </c>
      <c r="D503" s="42">
        <v>20020</v>
      </c>
      <c r="E503" s="42" t="s">
        <v>11</v>
      </c>
      <c r="F503" s="42" t="s">
        <v>28</v>
      </c>
      <c r="G503" s="42" t="s">
        <v>28</v>
      </c>
      <c r="H503" s="42">
        <v>8.6550540977000008</v>
      </c>
      <c r="I503" s="42">
        <v>1.96</v>
      </c>
    </row>
    <row r="504" spans="1:9" ht="18" customHeight="1">
      <c r="A504" s="41" t="str">
        <f t="shared" si="10"/>
        <v>888USD</v>
      </c>
      <c r="B504" s="42" t="s">
        <v>345</v>
      </c>
      <c r="C504" s="42">
        <v>888</v>
      </c>
      <c r="D504" s="42">
        <v>20020</v>
      </c>
      <c r="E504" s="42" t="s">
        <v>11</v>
      </c>
      <c r="F504" s="42" t="s">
        <v>28</v>
      </c>
      <c r="G504" s="42" t="s">
        <v>11</v>
      </c>
      <c r="H504" s="42">
        <v>-2.0799618500000001</v>
      </c>
      <c r="I504" s="42">
        <v>-2.08</v>
      </c>
    </row>
    <row r="505" spans="1:9" ht="18" customHeight="1">
      <c r="A505" s="41" t="str">
        <f t="shared" si="10"/>
        <v>888MYR</v>
      </c>
      <c r="B505" s="42" t="s">
        <v>345</v>
      </c>
      <c r="C505" s="42">
        <v>888</v>
      </c>
      <c r="D505" s="42">
        <v>20020</v>
      </c>
      <c r="E505" s="42" t="s">
        <v>11</v>
      </c>
      <c r="F505" s="42" t="s">
        <v>28</v>
      </c>
      <c r="G505" s="42" t="s">
        <v>28</v>
      </c>
      <c r="H505" s="42">
        <v>8.6622087243750006</v>
      </c>
      <c r="I505" s="42">
        <v>1.96</v>
      </c>
    </row>
    <row r="506" spans="1:9" ht="18" customHeight="1">
      <c r="A506" s="41" t="str">
        <f t="shared" si="10"/>
        <v>888EUR</v>
      </c>
      <c r="B506" s="42" t="s">
        <v>346</v>
      </c>
      <c r="C506" s="42">
        <v>888</v>
      </c>
      <c r="D506" s="42">
        <v>20020</v>
      </c>
      <c r="E506" s="42" t="s">
        <v>31</v>
      </c>
      <c r="F506" s="42" t="s">
        <v>28</v>
      </c>
      <c r="G506" s="42" t="s">
        <v>31</v>
      </c>
      <c r="H506" s="42">
        <v>-1.66780693</v>
      </c>
      <c r="I506" s="42">
        <v>-1.8</v>
      </c>
    </row>
    <row r="507" spans="1:9" ht="18" customHeight="1">
      <c r="A507" s="41" t="str">
        <f t="shared" si="10"/>
        <v>888MYR</v>
      </c>
      <c r="B507" s="42" t="s">
        <v>346</v>
      </c>
      <c r="C507" s="42">
        <v>888</v>
      </c>
      <c r="D507" s="42">
        <v>20020</v>
      </c>
      <c r="E507" s="42" t="s">
        <v>31</v>
      </c>
      <c r="F507" s="42" t="s">
        <v>28</v>
      </c>
      <c r="G507" s="42" t="s">
        <v>28</v>
      </c>
      <c r="H507" s="42">
        <v>7.6386882740399997</v>
      </c>
      <c r="I507" s="42">
        <v>1.73</v>
      </c>
    </row>
    <row r="508" spans="1:9" ht="18" customHeight="1">
      <c r="A508" s="41" t="str">
        <f t="shared" si="10"/>
        <v>888USD</v>
      </c>
      <c r="B508" s="42" t="s">
        <v>347</v>
      </c>
      <c r="C508" s="42">
        <v>888</v>
      </c>
      <c r="D508" s="42">
        <v>20020</v>
      </c>
      <c r="E508" s="42" t="s">
        <v>11</v>
      </c>
      <c r="F508" s="42" t="s">
        <v>31</v>
      </c>
      <c r="G508" s="42" t="s">
        <v>11</v>
      </c>
      <c r="H508" s="42">
        <v>-1.8400174509839999</v>
      </c>
      <c r="I508" s="42">
        <v>-1.84</v>
      </c>
    </row>
    <row r="509" spans="1:9" ht="18" customHeight="1">
      <c r="A509" s="41" t="str">
        <f t="shared" si="10"/>
        <v>888EUR</v>
      </c>
      <c r="B509" s="42" t="s">
        <v>347</v>
      </c>
      <c r="C509" s="42">
        <v>888</v>
      </c>
      <c r="D509" s="42">
        <v>20020</v>
      </c>
      <c r="E509" s="42" t="s">
        <v>11</v>
      </c>
      <c r="F509" s="42" t="s">
        <v>31</v>
      </c>
      <c r="G509" s="42" t="s">
        <v>31</v>
      </c>
      <c r="H509" s="42">
        <v>1.66780693</v>
      </c>
      <c r="I509" s="42">
        <v>1.8</v>
      </c>
    </row>
    <row r="510" spans="1:9" ht="18" customHeight="1">
      <c r="A510" s="41" t="str">
        <f t="shared" si="10"/>
        <v>888MYR</v>
      </c>
      <c r="B510" s="42" t="s">
        <v>348</v>
      </c>
      <c r="C510" s="42">
        <v>888</v>
      </c>
      <c r="D510" s="42">
        <v>20020</v>
      </c>
      <c r="E510" s="42" t="s">
        <v>28</v>
      </c>
      <c r="F510" s="42" t="s">
        <v>10</v>
      </c>
      <c r="G510" s="42" t="s">
        <v>28</v>
      </c>
      <c r="H510" s="42">
        <v>-378.94805859421501</v>
      </c>
      <c r="I510" s="42">
        <v>-85.69</v>
      </c>
    </row>
    <row r="511" spans="1:9" ht="18" customHeight="1">
      <c r="A511" s="41" t="str">
        <f t="shared" si="10"/>
        <v>888JPY</v>
      </c>
      <c r="B511" s="42" t="s">
        <v>348</v>
      </c>
      <c r="C511" s="42">
        <v>888</v>
      </c>
      <c r="D511" s="42">
        <v>20020</v>
      </c>
      <c r="E511" s="42" t="s">
        <v>28</v>
      </c>
      <c r="F511" s="42" t="s">
        <v>10</v>
      </c>
      <c r="G511" s="42" t="s">
        <v>10</v>
      </c>
      <c r="H511" s="42">
        <v>9545.5633206623606</v>
      </c>
      <c r="I511" s="42">
        <v>85.92</v>
      </c>
    </row>
    <row r="512" spans="1:9" ht="18" customHeight="1">
      <c r="A512" s="41" t="str">
        <f t="shared" si="10"/>
        <v>888MYR</v>
      </c>
      <c r="B512" s="42" t="s">
        <v>349</v>
      </c>
      <c r="C512" s="42">
        <v>888</v>
      </c>
      <c r="D512" s="42">
        <v>20020</v>
      </c>
      <c r="E512" s="42" t="s">
        <v>28</v>
      </c>
      <c r="F512" s="42" t="s">
        <v>10</v>
      </c>
      <c r="G512" s="42" t="s">
        <v>28</v>
      </c>
      <c r="H512" s="42">
        <v>-8.2240546932839997</v>
      </c>
      <c r="I512" s="42">
        <v>-1.86</v>
      </c>
    </row>
    <row r="513" spans="1:9" ht="18" customHeight="1">
      <c r="A513" s="41" t="str">
        <f t="shared" si="10"/>
        <v>888JPY</v>
      </c>
      <c r="B513" s="42" t="s">
        <v>349</v>
      </c>
      <c r="C513" s="42">
        <v>888</v>
      </c>
      <c r="D513" s="42">
        <v>20020</v>
      </c>
      <c r="E513" s="42" t="s">
        <v>28</v>
      </c>
      <c r="F513" s="42" t="s">
        <v>10</v>
      </c>
      <c r="G513" s="42" t="s">
        <v>10</v>
      </c>
      <c r="H513" s="42">
        <v>205.18477821273001</v>
      </c>
      <c r="I513" s="42">
        <v>1.85</v>
      </c>
    </row>
    <row r="514" spans="1:9" ht="18" customHeight="1">
      <c r="A514" s="41" t="str">
        <f t="shared" si="10"/>
        <v>888JPY</v>
      </c>
      <c r="B514" s="42" t="s">
        <v>350</v>
      </c>
      <c r="C514" s="42">
        <v>888</v>
      </c>
      <c r="D514" s="42">
        <v>20020</v>
      </c>
      <c r="E514" s="42" t="s">
        <v>10</v>
      </c>
      <c r="F514" s="42" t="s">
        <v>11</v>
      </c>
      <c r="G514" s="42" t="s">
        <v>10</v>
      </c>
      <c r="H514" s="42">
        <v>-196.70425937798001</v>
      </c>
      <c r="I514" s="42">
        <v>-1.77</v>
      </c>
    </row>
    <row r="515" spans="1:9" ht="18" customHeight="1">
      <c r="A515" s="41" t="str">
        <f t="shared" ref="A515:A578" si="11">CONCATENATE(C515,G515)</f>
        <v>888USD</v>
      </c>
      <c r="B515" s="42" t="s">
        <v>350</v>
      </c>
      <c r="C515" s="42">
        <v>888</v>
      </c>
      <c r="D515" s="42">
        <v>20020</v>
      </c>
      <c r="E515" s="42" t="s">
        <v>10</v>
      </c>
      <c r="F515" s="42" t="s">
        <v>11</v>
      </c>
      <c r="G515" s="42" t="s">
        <v>11</v>
      </c>
      <c r="H515" s="42">
        <v>1.88867892</v>
      </c>
      <c r="I515" s="42">
        <v>1.89</v>
      </c>
    </row>
    <row r="516" spans="1:9" ht="18" customHeight="1">
      <c r="A516" s="41" t="str">
        <f t="shared" si="11"/>
        <v>888JPY</v>
      </c>
      <c r="B516" s="42" t="s">
        <v>351</v>
      </c>
      <c r="C516" s="42">
        <v>888</v>
      </c>
      <c r="D516" s="42">
        <v>20020</v>
      </c>
      <c r="E516" s="42" t="s">
        <v>10</v>
      </c>
      <c r="F516" s="42" t="s">
        <v>11</v>
      </c>
      <c r="G516" s="42" t="s">
        <v>10</v>
      </c>
      <c r="H516" s="42">
        <v>-9381.10109047685</v>
      </c>
      <c r="I516" s="42">
        <v>-84.44</v>
      </c>
    </row>
    <row r="517" spans="1:9" ht="18" customHeight="1">
      <c r="A517" s="41" t="str">
        <f t="shared" si="11"/>
        <v>888USD</v>
      </c>
      <c r="B517" s="42" t="s">
        <v>351</v>
      </c>
      <c r="C517" s="42">
        <v>888</v>
      </c>
      <c r="D517" s="42">
        <v>20020</v>
      </c>
      <c r="E517" s="42" t="s">
        <v>10</v>
      </c>
      <c r="F517" s="42" t="s">
        <v>11</v>
      </c>
      <c r="G517" s="42" t="s">
        <v>11</v>
      </c>
      <c r="H517" s="42">
        <v>89.914817299999996</v>
      </c>
      <c r="I517" s="42">
        <v>89.91</v>
      </c>
    </row>
    <row r="518" spans="1:9" ht="18" customHeight="1">
      <c r="A518" s="41" t="str">
        <f t="shared" si="11"/>
        <v>888USD</v>
      </c>
      <c r="B518" s="42" t="s">
        <v>352</v>
      </c>
      <c r="C518" s="42">
        <v>888</v>
      </c>
      <c r="D518" s="42">
        <v>20020</v>
      </c>
      <c r="E518" s="42" t="s">
        <v>11</v>
      </c>
      <c r="F518" s="42" t="s">
        <v>28</v>
      </c>
      <c r="G518" s="42" t="s">
        <v>11</v>
      </c>
      <c r="H518" s="42">
        <v>-1.88867892</v>
      </c>
      <c r="I518" s="42">
        <v>-1.89</v>
      </c>
    </row>
    <row r="519" spans="1:9" ht="18" customHeight="1">
      <c r="A519" s="41" t="str">
        <f t="shared" si="11"/>
        <v>888MYR</v>
      </c>
      <c r="B519" s="42" t="s">
        <v>352</v>
      </c>
      <c r="C519" s="42">
        <v>888</v>
      </c>
      <c r="D519" s="42">
        <v>20020</v>
      </c>
      <c r="E519" s="42" t="s">
        <v>11</v>
      </c>
      <c r="F519" s="42" t="s">
        <v>28</v>
      </c>
      <c r="G519" s="42" t="s">
        <v>28</v>
      </c>
      <c r="H519" s="42">
        <v>7.861025602172</v>
      </c>
      <c r="I519" s="42">
        <v>1.78</v>
      </c>
    </row>
    <row r="520" spans="1:9" ht="18" customHeight="1">
      <c r="A520" s="41" t="str">
        <f t="shared" si="11"/>
        <v>888USD</v>
      </c>
      <c r="B520" s="42" t="s">
        <v>353</v>
      </c>
      <c r="C520" s="42">
        <v>888</v>
      </c>
      <c r="D520" s="42">
        <v>20020</v>
      </c>
      <c r="E520" s="42" t="s">
        <v>11</v>
      </c>
      <c r="F520" s="42" t="s">
        <v>28</v>
      </c>
      <c r="G520" s="42" t="s">
        <v>11</v>
      </c>
      <c r="H520" s="42">
        <v>-89.914817299999996</v>
      </c>
      <c r="I520" s="42">
        <v>-89.91</v>
      </c>
    </row>
    <row r="521" spans="1:9" ht="18" customHeight="1">
      <c r="A521" s="41" t="str">
        <f t="shared" si="11"/>
        <v>888MYR</v>
      </c>
      <c r="B521" s="42" t="s">
        <v>353</v>
      </c>
      <c r="C521" s="42">
        <v>888</v>
      </c>
      <c r="D521" s="42">
        <v>20020</v>
      </c>
      <c r="E521" s="42" t="s">
        <v>11</v>
      </c>
      <c r="F521" s="42" t="s">
        <v>28</v>
      </c>
      <c r="G521" s="42" t="s">
        <v>28</v>
      </c>
      <c r="H521" s="42">
        <v>371.26874109226998</v>
      </c>
      <c r="I521" s="42">
        <v>83.95</v>
      </c>
    </row>
    <row r="522" spans="1:9" ht="18" customHeight="1">
      <c r="A522" s="41" t="str">
        <f t="shared" si="11"/>
        <v>888USD</v>
      </c>
      <c r="B522" s="42" t="s">
        <v>354</v>
      </c>
      <c r="C522" s="42">
        <v>888</v>
      </c>
      <c r="D522" s="42">
        <v>20020</v>
      </c>
      <c r="E522" s="42" t="s">
        <v>11</v>
      </c>
      <c r="F522" s="42" t="s">
        <v>28</v>
      </c>
      <c r="G522" s="42" t="s">
        <v>11</v>
      </c>
      <c r="H522" s="42">
        <v>-8.3198474000000004</v>
      </c>
      <c r="I522" s="42">
        <v>-8.32</v>
      </c>
    </row>
    <row r="523" spans="1:9" ht="18" customHeight="1">
      <c r="A523" s="41" t="str">
        <f t="shared" si="11"/>
        <v>888MYR</v>
      </c>
      <c r="B523" s="42" t="s">
        <v>354</v>
      </c>
      <c r="C523" s="42">
        <v>888</v>
      </c>
      <c r="D523" s="42">
        <v>20020</v>
      </c>
      <c r="E523" s="42" t="s">
        <v>11</v>
      </c>
      <c r="F523" s="42" t="s">
        <v>28</v>
      </c>
      <c r="G523" s="42" t="s">
        <v>28</v>
      </c>
      <c r="H523" s="42">
        <v>34.787839072899999</v>
      </c>
      <c r="I523" s="42">
        <v>7.87</v>
      </c>
    </row>
    <row r="524" spans="1:9" ht="18" customHeight="1">
      <c r="A524" s="41" t="str">
        <f t="shared" si="11"/>
        <v>888USD</v>
      </c>
      <c r="B524" s="42" t="s">
        <v>355</v>
      </c>
      <c r="C524" s="42">
        <v>888</v>
      </c>
      <c r="D524" s="42">
        <v>20020</v>
      </c>
      <c r="E524" s="42" t="s">
        <v>11</v>
      </c>
      <c r="F524" s="42" t="s">
        <v>28</v>
      </c>
      <c r="G524" s="42" t="s">
        <v>11</v>
      </c>
      <c r="H524" s="42">
        <v>-17.440452650000001</v>
      </c>
      <c r="I524" s="42">
        <v>-17.440000000000001</v>
      </c>
    </row>
    <row r="525" spans="1:9" ht="18" customHeight="1">
      <c r="A525" s="41" t="str">
        <f t="shared" si="11"/>
        <v>888MYR</v>
      </c>
      <c r="B525" s="42" t="s">
        <v>355</v>
      </c>
      <c r="C525" s="42">
        <v>888</v>
      </c>
      <c r="D525" s="42">
        <v>20020</v>
      </c>
      <c r="E525" s="42" t="s">
        <v>11</v>
      </c>
      <c r="F525" s="42" t="s">
        <v>28</v>
      </c>
      <c r="G525" s="42" t="s">
        <v>28</v>
      </c>
      <c r="H525" s="42">
        <v>72.693664188249997</v>
      </c>
      <c r="I525" s="42">
        <v>16.440000000000001</v>
      </c>
    </row>
    <row r="526" spans="1:9" ht="18" customHeight="1">
      <c r="A526" s="41" t="str">
        <f t="shared" si="11"/>
        <v>888USD</v>
      </c>
      <c r="B526" s="42" t="s">
        <v>356</v>
      </c>
      <c r="C526" s="42">
        <v>888</v>
      </c>
      <c r="D526" s="42">
        <v>20020</v>
      </c>
      <c r="E526" s="42" t="s">
        <v>11</v>
      </c>
      <c r="F526" s="42" t="s">
        <v>28</v>
      </c>
      <c r="G526" s="42" t="s">
        <v>11</v>
      </c>
      <c r="H526" s="42">
        <v>-25.689947799999999</v>
      </c>
      <c r="I526" s="42">
        <v>-25.69</v>
      </c>
    </row>
    <row r="527" spans="1:9" ht="18" customHeight="1">
      <c r="A527" s="41" t="str">
        <f t="shared" si="11"/>
        <v>888MYR</v>
      </c>
      <c r="B527" s="42" t="s">
        <v>356</v>
      </c>
      <c r="C527" s="42">
        <v>888</v>
      </c>
      <c r="D527" s="42">
        <v>20020</v>
      </c>
      <c r="E527" s="42" t="s">
        <v>11</v>
      </c>
      <c r="F527" s="42" t="s">
        <v>28</v>
      </c>
      <c r="G527" s="42" t="s">
        <v>28</v>
      </c>
      <c r="H527" s="42">
        <v>106.77047193964999</v>
      </c>
      <c r="I527" s="42">
        <v>24.14</v>
      </c>
    </row>
    <row r="528" spans="1:9" ht="18" customHeight="1">
      <c r="A528" s="41" t="str">
        <f t="shared" si="11"/>
        <v>888USD</v>
      </c>
      <c r="B528" s="42" t="s">
        <v>357</v>
      </c>
      <c r="C528" s="42">
        <v>888</v>
      </c>
      <c r="D528" s="42">
        <v>20020</v>
      </c>
      <c r="E528" s="42" t="s">
        <v>11</v>
      </c>
      <c r="F528" s="42" t="s">
        <v>28</v>
      </c>
      <c r="G528" s="42" t="s">
        <v>11</v>
      </c>
      <c r="H528" s="42">
        <v>-2.0799618500000001</v>
      </c>
      <c r="I528" s="42">
        <v>-2.08</v>
      </c>
    </row>
    <row r="529" spans="1:9" ht="18" customHeight="1">
      <c r="A529" s="41" t="str">
        <f t="shared" si="11"/>
        <v>888MYR</v>
      </c>
      <c r="B529" s="42" t="s">
        <v>357</v>
      </c>
      <c r="C529" s="42">
        <v>888</v>
      </c>
      <c r="D529" s="42">
        <v>20020</v>
      </c>
      <c r="E529" s="42" t="s">
        <v>11</v>
      </c>
      <c r="F529" s="42" t="s">
        <v>28</v>
      </c>
      <c r="G529" s="42" t="s">
        <v>28</v>
      </c>
      <c r="H529" s="42">
        <v>8.7266003644500003</v>
      </c>
      <c r="I529" s="42">
        <v>1.97</v>
      </c>
    </row>
    <row r="530" spans="1:9" ht="18" customHeight="1">
      <c r="A530" s="41" t="str">
        <f t="shared" si="11"/>
        <v>888USD</v>
      </c>
      <c r="B530" s="42" t="s">
        <v>358</v>
      </c>
      <c r="C530" s="42">
        <v>888</v>
      </c>
      <c r="D530" s="42">
        <v>20020</v>
      </c>
      <c r="E530" s="42" t="s">
        <v>11</v>
      </c>
      <c r="F530" s="42" t="s">
        <v>28</v>
      </c>
      <c r="G530" s="42" t="s">
        <v>11</v>
      </c>
      <c r="H530" s="42">
        <v>-4.2911879624999996</v>
      </c>
      <c r="I530" s="42">
        <v>-4.29</v>
      </c>
    </row>
    <row r="531" spans="1:9" ht="18" customHeight="1">
      <c r="A531" s="41" t="str">
        <f t="shared" si="11"/>
        <v>888MYR</v>
      </c>
      <c r="B531" s="42" t="s">
        <v>358</v>
      </c>
      <c r="C531" s="42">
        <v>888</v>
      </c>
      <c r="D531" s="42">
        <v>20020</v>
      </c>
      <c r="E531" s="42" t="s">
        <v>11</v>
      </c>
      <c r="F531" s="42" t="s">
        <v>28</v>
      </c>
      <c r="G531" s="42" t="s">
        <v>28</v>
      </c>
      <c r="H531" s="42">
        <v>17.949296567074999</v>
      </c>
      <c r="I531" s="42">
        <v>4.0599999999999996</v>
      </c>
    </row>
    <row r="532" spans="1:9" ht="18" customHeight="1">
      <c r="A532" s="41" t="str">
        <f t="shared" si="11"/>
        <v>888USD</v>
      </c>
      <c r="B532" s="42" t="s">
        <v>359</v>
      </c>
      <c r="C532" s="42">
        <v>888</v>
      </c>
      <c r="D532" s="42">
        <v>20020</v>
      </c>
      <c r="E532" s="42" t="s">
        <v>11</v>
      </c>
      <c r="F532" s="42" t="s">
        <v>28</v>
      </c>
      <c r="G532" s="42" t="s">
        <v>11</v>
      </c>
      <c r="H532" s="42">
        <v>-2.0799618500000001</v>
      </c>
      <c r="I532" s="42">
        <v>-2.08</v>
      </c>
    </row>
    <row r="533" spans="1:9" ht="18" customHeight="1">
      <c r="A533" s="41" t="str">
        <f t="shared" si="11"/>
        <v>888MYR</v>
      </c>
      <c r="B533" s="42" t="s">
        <v>359</v>
      </c>
      <c r="C533" s="42">
        <v>888</v>
      </c>
      <c r="D533" s="42">
        <v>20020</v>
      </c>
      <c r="E533" s="42" t="s">
        <v>11</v>
      </c>
      <c r="F533" s="42" t="s">
        <v>28</v>
      </c>
      <c r="G533" s="42" t="s">
        <v>28</v>
      </c>
      <c r="H533" s="42">
        <v>8.7603293187749998</v>
      </c>
      <c r="I533" s="42">
        <v>1.98</v>
      </c>
    </row>
    <row r="534" spans="1:9" ht="18" customHeight="1">
      <c r="A534" s="41" t="str">
        <f t="shared" si="11"/>
        <v>888USD</v>
      </c>
      <c r="B534" s="42" t="s">
        <v>360</v>
      </c>
      <c r="C534" s="42">
        <v>888</v>
      </c>
      <c r="D534" s="42">
        <v>20020</v>
      </c>
      <c r="E534" s="42" t="s">
        <v>11</v>
      </c>
      <c r="F534" s="42" t="s">
        <v>28</v>
      </c>
      <c r="G534" s="42" t="s">
        <v>11</v>
      </c>
      <c r="H534" s="42">
        <v>-4.2911879624999996</v>
      </c>
      <c r="I534" s="42">
        <v>-4.29</v>
      </c>
    </row>
    <row r="535" spans="1:9" ht="18" customHeight="1">
      <c r="A535" s="41" t="str">
        <f t="shared" si="11"/>
        <v>888MYR</v>
      </c>
      <c r="B535" s="42" t="s">
        <v>360</v>
      </c>
      <c r="C535" s="42">
        <v>888</v>
      </c>
      <c r="D535" s="42">
        <v>20020</v>
      </c>
      <c r="E535" s="42" t="s">
        <v>11</v>
      </c>
      <c r="F535" s="42" t="s">
        <v>28</v>
      </c>
      <c r="G535" s="42" t="s">
        <v>28</v>
      </c>
      <c r="H535" s="42">
        <v>18.014391114755</v>
      </c>
      <c r="I535" s="42">
        <v>4.07</v>
      </c>
    </row>
    <row r="536" spans="1:9" ht="18" customHeight="1">
      <c r="A536" s="41" t="str">
        <f t="shared" si="11"/>
        <v>888EUR</v>
      </c>
      <c r="B536" s="42" t="s">
        <v>361</v>
      </c>
      <c r="C536" s="42">
        <v>888</v>
      </c>
      <c r="D536" s="42">
        <v>20020</v>
      </c>
      <c r="E536" s="42" t="s">
        <v>31</v>
      </c>
      <c r="F536" s="42" t="s">
        <v>28</v>
      </c>
      <c r="G536" s="42" t="s">
        <v>31</v>
      </c>
      <c r="H536" s="42">
        <v>-1.66780693</v>
      </c>
      <c r="I536" s="42">
        <v>-1.8</v>
      </c>
    </row>
    <row r="537" spans="1:9" ht="18" customHeight="1">
      <c r="A537" s="41" t="str">
        <f t="shared" si="11"/>
        <v>888MYR</v>
      </c>
      <c r="B537" s="42" t="s">
        <v>361</v>
      </c>
      <c r="C537" s="42">
        <v>888</v>
      </c>
      <c r="D537" s="42">
        <v>20020</v>
      </c>
      <c r="E537" s="42" t="s">
        <v>31</v>
      </c>
      <c r="F537" s="42" t="s">
        <v>28</v>
      </c>
      <c r="G537" s="42" t="s">
        <v>28</v>
      </c>
      <c r="H537" s="42">
        <v>7.68038952666</v>
      </c>
      <c r="I537" s="42">
        <v>1.74</v>
      </c>
    </row>
    <row r="538" spans="1:9" ht="18" customHeight="1">
      <c r="A538" s="41" t="str">
        <f t="shared" si="11"/>
        <v>888EUR</v>
      </c>
      <c r="B538" s="42" t="s">
        <v>362</v>
      </c>
      <c r="C538" s="42">
        <v>888</v>
      </c>
      <c r="D538" s="42">
        <v>20020</v>
      </c>
      <c r="E538" s="42" t="s">
        <v>31</v>
      </c>
      <c r="F538" s="42" t="s">
        <v>28</v>
      </c>
      <c r="G538" s="42" t="s">
        <v>31</v>
      </c>
      <c r="H538" s="42">
        <v>-3.44909277</v>
      </c>
      <c r="I538" s="42">
        <v>-3.72</v>
      </c>
    </row>
    <row r="539" spans="1:9" ht="18" customHeight="1">
      <c r="A539" s="41" t="str">
        <f t="shared" si="11"/>
        <v>888MYR</v>
      </c>
      <c r="B539" s="42" t="s">
        <v>362</v>
      </c>
      <c r="C539" s="42">
        <v>888</v>
      </c>
      <c r="D539" s="42">
        <v>20020</v>
      </c>
      <c r="E539" s="42" t="s">
        <v>31</v>
      </c>
      <c r="F539" s="42" t="s">
        <v>28</v>
      </c>
      <c r="G539" s="42" t="s">
        <v>28</v>
      </c>
      <c r="H539" s="42">
        <v>15.815875262424999</v>
      </c>
      <c r="I539" s="42">
        <v>3.58</v>
      </c>
    </row>
    <row r="540" spans="1:9" ht="18" customHeight="1">
      <c r="A540" s="41" t="str">
        <f t="shared" si="11"/>
        <v>888USD</v>
      </c>
      <c r="B540" s="42" t="s">
        <v>363</v>
      </c>
      <c r="C540" s="42">
        <v>888</v>
      </c>
      <c r="D540" s="42">
        <v>20020</v>
      </c>
      <c r="E540" s="42" t="s">
        <v>11</v>
      </c>
      <c r="F540" s="42" t="s">
        <v>31</v>
      </c>
      <c r="G540" s="42" t="s">
        <v>11</v>
      </c>
      <c r="H540" s="42">
        <v>-1.824792130241</v>
      </c>
      <c r="I540" s="42">
        <v>-1.82</v>
      </c>
    </row>
    <row r="541" spans="1:9" ht="18" customHeight="1">
      <c r="A541" s="41" t="str">
        <f t="shared" si="11"/>
        <v>888EUR</v>
      </c>
      <c r="B541" s="42" t="s">
        <v>363</v>
      </c>
      <c r="C541" s="42">
        <v>888</v>
      </c>
      <c r="D541" s="42">
        <v>20020</v>
      </c>
      <c r="E541" s="42" t="s">
        <v>11</v>
      </c>
      <c r="F541" s="42" t="s">
        <v>31</v>
      </c>
      <c r="G541" s="42" t="s">
        <v>31</v>
      </c>
      <c r="H541" s="42">
        <v>1.66780693</v>
      </c>
      <c r="I541" s="42">
        <v>1.8</v>
      </c>
    </row>
    <row r="542" spans="1:9" ht="18" customHeight="1">
      <c r="A542" s="41" t="str">
        <f t="shared" si="11"/>
        <v>888USD</v>
      </c>
      <c r="B542" s="42" t="s">
        <v>364</v>
      </c>
      <c r="C542" s="42">
        <v>888</v>
      </c>
      <c r="D542" s="42">
        <v>20020</v>
      </c>
      <c r="E542" s="42" t="s">
        <v>11</v>
      </c>
      <c r="F542" s="42" t="s">
        <v>31</v>
      </c>
      <c r="G542" s="42" t="s">
        <v>11</v>
      </c>
      <c r="H542" s="42">
        <v>-3.7697228012970001</v>
      </c>
      <c r="I542" s="42">
        <v>-3.77</v>
      </c>
    </row>
    <row r="543" spans="1:9" ht="18" customHeight="1">
      <c r="A543" s="41" t="str">
        <f t="shared" si="11"/>
        <v>888EUR</v>
      </c>
      <c r="B543" s="42" t="s">
        <v>364</v>
      </c>
      <c r="C543" s="42">
        <v>888</v>
      </c>
      <c r="D543" s="42">
        <v>20020</v>
      </c>
      <c r="E543" s="42" t="s">
        <v>11</v>
      </c>
      <c r="F543" s="42" t="s">
        <v>31</v>
      </c>
      <c r="G543" s="42" t="s">
        <v>31</v>
      </c>
      <c r="H543" s="42">
        <v>3.44909277</v>
      </c>
      <c r="I543" s="42">
        <v>3.72</v>
      </c>
    </row>
    <row r="544" spans="1:9" ht="18" customHeight="1">
      <c r="A544" s="41" t="str">
        <f t="shared" si="11"/>
        <v>888USD</v>
      </c>
      <c r="B544" s="42" t="s">
        <v>365</v>
      </c>
      <c r="C544" s="42">
        <v>888</v>
      </c>
      <c r="D544" s="42">
        <v>20020</v>
      </c>
      <c r="E544" s="42" t="s">
        <v>11</v>
      </c>
      <c r="F544" s="42" t="s">
        <v>28</v>
      </c>
      <c r="G544" s="42" t="s">
        <v>11</v>
      </c>
      <c r="H544" s="42">
        <v>-2.0799618500000001</v>
      </c>
      <c r="I544" s="42">
        <v>-2.08</v>
      </c>
    </row>
    <row r="545" spans="1:9" ht="18" customHeight="1">
      <c r="A545" s="41" t="str">
        <f t="shared" si="11"/>
        <v>888MYR</v>
      </c>
      <c r="B545" s="42" t="s">
        <v>365</v>
      </c>
      <c r="C545" s="42">
        <v>888</v>
      </c>
      <c r="D545" s="42">
        <v>20020</v>
      </c>
      <c r="E545" s="42" t="s">
        <v>11</v>
      </c>
      <c r="F545" s="42" t="s">
        <v>28</v>
      </c>
      <c r="G545" s="42" t="s">
        <v>28</v>
      </c>
      <c r="H545" s="42">
        <v>8.8625382712749996</v>
      </c>
      <c r="I545" s="42">
        <v>2</v>
      </c>
    </row>
    <row r="546" spans="1:9" ht="18" customHeight="1">
      <c r="A546" s="41" t="str">
        <f t="shared" si="11"/>
        <v>888USD</v>
      </c>
      <c r="B546" s="42" t="s">
        <v>366</v>
      </c>
      <c r="C546" s="42">
        <v>888</v>
      </c>
      <c r="D546" s="42">
        <v>20020</v>
      </c>
      <c r="E546" s="42" t="s">
        <v>11</v>
      </c>
      <c r="F546" s="42" t="s">
        <v>28</v>
      </c>
      <c r="G546" s="42" t="s">
        <v>11</v>
      </c>
      <c r="H546" s="42">
        <v>-4.2911879624999996</v>
      </c>
      <c r="I546" s="42">
        <v>-4.29</v>
      </c>
    </row>
    <row r="547" spans="1:9" ht="18" customHeight="1">
      <c r="A547" s="41" t="str">
        <f t="shared" si="11"/>
        <v>888MYR</v>
      </c>
      <c r="B547" s="42" t="s">
        <v>366</v>
      </c>
      <c r="C547" s="42">
        <v>888</v>
      </c>
      <c r="D547" s="42">
        <v>20020</v>
      </c>
      <c r="E547" s="42" t="s">
        <v>11</v>
      </c>
      <c r="F547" s="42" t="s">
        <v>28</v>
      </c>
      <c r="G547" s="42" t="s">
        <v>28</v>
      </c>
      <c r="H547" s="42">
        <v>18.226473350749998</v>
      </c>
      <c r="I547" s="42">
        <v>4.12</v>
      </c>
    </row>
    <row r="548" spans="1:9" ht="18" customHeight="1">
      <c r="A548" s="41" t="str">
        <f t="shared" si="11"/>
        <v>888USD</v>
      </c>
      <c r="B548" s="42" t="s">
        <v>367</v>
      </c>
      <c r="C548" s="42">
        <v>888</v>
      </c>
      <c r="D548" s="42">
        <v>20020</v>
      </c>
      <c r="E548" s="42" t="s">
        <v>11</v>
      </c>
      <c r="F548" s="42" t="s">
        <v>28</v>
      </c>
      <c r="G548" s="42" t="s">
        <v>11</v>
      </c>
      <c r="H548" s="42">
        <v>-2.0799618500000001</v>
      </c>
      <c r="I548" s="42">
        <v>-2.08</v>
      </c>
    </row>
    <row r="549" spans="1:9" ht="18" customHeight="1">
      <c r="A549" s="41" t="str">
        <f t="shared" si="11"/>
        <v>888MYR</v>
      </c>
      <c r="B549" s="42" t="s">
        <v>367</v>
      </c>
      <c r="C549" s="42">
        <v>888</v>
      </c>
      <c r="D549" s="42">
        <v>20020</v>
      </c>
      <c r="E549" s="42" t="s">
        <v>11</v>
      </c>
      <c r="F549" s="42" t="s">
        <v>28</v>
      </c>
      <c r="G549" s="42" t="s">
        <v>28</v>
      </c>
      <c r="H549" s="42">
        <v>8.8942230465499996</v>
      </c>
      <c r="I549" s="42">
        <v>2.0099999999999998</v>
      </c>
    </row>
    <row r="550" spans="1:9" ht="18" customHeight="1">
      <c r="A550" s="41" t="str">
        <f t="shared" si="11"/>
        <v>888USD</v>
      </c>
      <c r="B550" s="42" t="s">
        <v>368</v>
      </c>
      <c r="C550" s="42">
        <v>888</v>
      </c>
      <c r="D550" s="42">
        <v>20020</v>
      </c>
      <c r="E550" s="42" t="s">
        <v>11</v>
      </c>
      <c r="F550" s="42" t="s">
        <v>28</v>
      </c>
      <c r="G550" s="42" t="s">
        <v>11</v>
      </c>
      <c r="H550" s="42">
        <v>-4.2911879624999996</v>
      </c>
      <c r="I550" s="42">
        <v>-4.29</v>
      </c>
    </row>
    <row r="551" spans="1:9" ht="18" customHeight="1">
      <c r="A551" s="41" t="str">
        <f t="shared" si="11"/>
        <v>888MYR</v>
      </c>
      <c r="B551" s="42" t="s">
        <v>368</v>
      </c>
      <c r="C551" s="42">
        <v>888</v>
      </c>
      <c r="D551" s="42">
        <v>20020</v>
      </c>
      <c r="E551" s="42" t="s">
        <v>11</v>
      </c>
      <c r="F551" s="42" t="s">
        <v>28</v>
      </c>
      <c r="G551" s="42" t="s">
        <v>28</v>
      </c>
      <c r="H551" s="42">
        <v>18.293667722550001</v>
      </c>
      <c r="I551" s="42">
        <v>4.1399999999999997</v>
      </c>
    </row>
    <row r="552" spans="1:9" ht="18" customHeight="1">
      <c r="A552" s="41" t="str">
        <f t="shared" si="11"/>
        <v>888MYR</v>
      </c>
      <c r="B552" s="42" t="s">
        <v>369</v>
      </c>
      <c r="C552" s="42">
        <v>888</v>
      </c>
      <c r="D552" s="42">
        <v>20020</v>
      </c>
      <c r="E552" s="42" t="s">
        <v>28</v>
      </c>
      <c r="F552" s="42" t="s">
        <v>11</v>
      </c>
      <c r="G552" s="42" t="s">
        <v>28</v>
      </c>
      <c r="H552" s="42">
        <v>-17.848953792980002</v>
      </c>
      <c r="I552" s="42">
        <v>-4.04</v>
      </c>
    </row>
    <row r="553" spans="1:9" ht="18" customHeight="1">
      <c r="A553" s="41" t="str">
        <f t="shared" si="11"/>
        <v>888USD</v>
      </c>
      <c r="B553" s="42" t="s">
        <v>369</v>
      </c>
      <c r="C553" s="42">
        <v>888</v>
      </c>
      <c r="D553" s="42">
        <v>20020</v>
      </c>
      <c r="E553" s="42" t="s">
        <v>28</v>
      </c>
      <c r="F553" s="42" t="s">
        <v>11</v>
      </c>
      <c r="G553" s="42" t="s">
        <v>11</v>
      </c>
      <c r="H553" s="42">
        <v>4.1599237000000002</v>
      </c>
      <c r="I553" s="42">
        <v>4.16</v>
      </c>
    </row>
    <row r="554" spans="1:9" ht="18" customHeight="1">
      <c r="A554" s="41" t="str">
        <f t="shared" si="11"/>
        <v>888MYR</v>
      </c>
      <c r="B554" s="42" t="s">
        <v>370</v>
      </c>
      <c r="C554" s="42">
        <v>888</v>
      </c>
      <c r="D554" s="42">
        <v>20020</v>
      </c>
      <c r="E554" s="42" t="s">
        <v>28</v>
      </c>
      <c r="F554" s="42" t="s">
        <v>11</v>
      </c>
      <c r="G554" s="42" t="s">
        <v>28</v>
      </c>
      <c r="H554" s="42">
        <v>-36.712484962577001</v>
      </c>
      <c r="I554" s="42">
        <v>-8.3000000000000007</v>
      </c>
    </row>
    <row r="555" spans="1:9" ht="18" customHeight="1">
      <c r="A555" s="41" t="str">
        <f t="shared" si="11"/>
        <v>888USD</v>
      </c>
      <c r="B555" s="42" t="s">
        <v>370</v>
      </c>
      <c r="C555" s="42">
        <v>888</v>
      </c>
      <c r="D555" s="42">
        <v>20020</v>
      </c>
      <c r="E555" s="42" t="s">
        <v>28</v>
      </c>
      <c r="F555" s="42" t="s">
        <v>11</v>
      </c>
      <c r="G555" s="42" t="s">
        <v>11</v>
      </c>
      <c r="H555" s="42">
        <v>8.5823759249999991</v>
      </c>
      <c r="I555" s="42">
        <v>8.58</v>
      </c>
    </row>
    <row r="556" spans="1:9" ht="18" customHeight="1">
      <c r="A556" s="41" t="str">
        <f t="shared" si="11"/>
        <v>888USD</v>
      </c>
      <c r="B556" s="42" t="s">
        <v>371</v>
      </c>
      <c r="C556" s="42">
        <v>888</v>
      </c>
      <c r="D556" s="42">
        <v>20020</v>
      </c>
      <c r="E556" s="42" t="s">
        <v>11</v>
      </c>
      <c r="F556" s="42" t="s">
        <v>28</v>
      </c>
      <c r="G556" s="42" t="s">
        <v>11</v>
      </c>
      <c r="H556" s="42">
        <v>-2.0799618500000001</v>
      </c>
      <c r="I556" s="42">
        <v>-2.08</v>
      </c>
    </row>
    <row r="557" spans="1:9" ht="18" customHeight="1">
      <c r="A557" s="41" t="str">
        <f t="shared" si="11"/>
        <v>888MYR</v>
      </c>
      <c r="B557" s="42" t="s">
        <v>371</v>
      </c>
      <c r="C557" s="42">
        <v>888</v>
      </c>
      <c r="D557" s="42">
        <v>20020</v>
      </c>
      <c r="E557" s="42" t="s">
        <v>11</v>
      </c>
      <c r="F557" s="42" t="s">
        <v>28</v>
      </c>
      <c r="G557" s="42" t="s">
        <v>28</v>
      </c>
      <c r="H557" s="42">
        <v>8.9085322998999992</v>
      </c>
      <c r="I557" s="42">
        <v>2.0099999999999998</v>
      </c>
    </row>
    <row r="558" spans="1:9" ht="18" customHeight="1">
      <c r="A558" s="41" t="str">
        <f t="shared" si="11"/>
        <v>888USD</v>
      </c>
      <c r="B558" s="42" t="s">
        <v>372</v>
      </c>
      <c r="C558" s="42">
        <v>888</v>
      </c>
      <c r="D558" s="42">
        <v>20020</v>
      </c>
      <c r="E558" s="42" t="s">
        <v>11</v>
      </c>
      <c r="F558" s="42" t="s">
        <v>28</v>
      </c>
      <c r="G558" s="42" t="s">
        <v>11</v>
      </c>
      <c r="H558" s="42">
        <v>-4.2911879624999996</v>
      </c>
      <c r="I558" s="42">
        <v>-4.29</v>
      </c>
    </row>
    <row r="559" spans="1:9" ht="18" customHeight="1">
      <c r="A559" s="41" t="str">
        <f t="shared" si="11"/>
        <v>888MYR</v>
      </c>
      <c r="B559" s="42" t="s">
        <v>372</v>
      </c>
      <c r="C559" s="42">
        <v>888</v>
      </c>
      <c r="D559" s="42">
        <v>20020</v>
      </c>
      <c r="E559" s="42" t="s">
        <v>11</v>
      </c>
      <c r="F559" s="42" t="s">
        <v>28</v>
      </c>
      <c r="G559" s="42" t="s">
        <v>28</v>
      </c>
      <c r="H559" s="42">
        <v>18.323065260212001</v>
      </c>
      <c r="I559" s="42">
        <v>4.1399999999999997</v>
      </c>
    </row>
    <row r="560" spans="1:9" ht="18" customHeight="1">
      <c r="A560" s="41" t="str">
        <f t="shared" si="11"/>
        <v>888MYR</v>
      </c>
      <c r="B560" s="42" t="s">
        <v>373</v>
      </c>
      <c r="C560" s="42">
        <v>888</v>
      </c>
      <c r="D560" s="42">
        <v>20020</v>
      </c>
      <c r="E560" s="42" t="s">
        <v>28</v>
      </c>
      <c r="F560" s="42" t="s">
        <v>44</v>
      </c>
      <c r="G560" s="42" t="s">
        <v>28</v>
      </c>
      <c r="H560" s="42">
        <v>-60.356430630299997</v>
      </c>
      <c r="I560" s="42">
        <v>-13.65</v>
      </c>
    </row>
    <row r="561" spans="1:9" ht="18" customHeight="1">
      <c r="A561" s="41" t="str">
        <f t="shared" si="11"/>
        <v>888SGD</v>
      </c>
      <c r="B561" s="42" t="s">
        <v>373</v>
      </c>
      <c r="C561" s="42">
        <v>888</v>
      </c>
      <c r="D561" s="42">
        <v>20020</v>
      </c>
      <c r="E561" s="42" t="s">
        <v>28</v>
      </c>
      <c r="F561" s="42" t="s">
        <v>44</v>
      </c>
      <c r="G561" s="42" t="s">
        <v>44</v>
      </c>
      <c r="H561" s="42">
        <v>19.498325587499998</v>
      </c>
      <c r="I561" s="42">
        <v>13.96</v>
      </c>
    </row>
    <row r="562" spans="1:9" ht="18" customHeight="1">
      <c r="A562" s="41" t="str">
        <f t="shared" si="11"/>
        <v>888MYR</v>
      </c>
      <c r="B562" s="42" t="s">
        <v>374</v>
      </c>
      <c r="C562" s="42">
        <v>888</v>
      </c>
      <c r="D562" s="42">
        <v>20020</v>
      </c>
      <c r="E562" s="42" t="s">
        <v>28</v>
      </c>
      <c r="F562" s="42" t="s">
        <v>44</v>
      </c>
      <c r="G562" s="42" t="s">
        <v>28</v>
      </c>
      <c r="H562" s="42">
        <v>-1722.4628566072699</v>
      </c>
      <c r="I562" s="42">
        <v>-389.48</v>
      </c>
    </row>
    <row r="563" spans="1:9" ht="18" customHeight="1">
      <c r="A563" s="41" t="str">
        <f t="shared" si="11"/>
        <v>888SGD</v>
      </c>
      <c r="B563" s="42" t="s">
        <v>374</v>
      </c>
      <c r="C563" s="42">
        <v>888</v>
      </c>
      <c r="D563" s="42">
        <v>20020</v>
      </c>
      <c r="E563" s="42" t="s">
        <v>28</v>
      </c>
      <c r="F563" s="42" t="s">
        <v>44</v>
      </c>
      <c r="G563" s="42" t="s">
        <v>44</v>
      </c>
      <c r="H563" s="42">
        <v>561.21374260000005</v>
      </c>
      <c r="I563" s="42">
        <v>401.86</v>
      </c>
    </row>
    <row r="564" spans="1:9" ht="18" customHeight="1">
      <c r="A564" s="41" t="str">
        <f t="shared" si="11"/>
        <v>888MYR</v>
      </c>
      <c r="B564" s="42" t="s">
        <v>375</v>
      </c>
      <c r="C564" s="42">
        <v>888</v>
      </c>
      <c r="D564" s="42">
        <v>20020</v>
      </c>
      <c r="E564" s="42" t="s">
        <v>28</v>
      </c>
      <c r="F564" s="42" t="s">
        <v>44</v>
      </c>
      <c r="G564" s="42" t="s">
        <v>28</v>
      </c>
      <c r="H564" s="42">
        <v>-723.33720464229998</v>
      </c>
      <c r="I564" s="42">
        <v>-163.56</v>
      </c>
    </row>
    <row r="565" spans="1:9" ht="18" customHeight="1">
      <c r="A565" s="41" t="str">
        <f t="shared" si="11"/>
        <v>888SGD</v>
      </c>
      <c r="B565" s="42" t="s">
        <v>375</v>
      </c>
      <c r="C565" s="42">
        <v>888</v>
      </c>
      <c r="D565" s="42">
        <v>20020</v>
      </c>
      <c r="E565" s="42" t="s">
        <v>28</v>
      </c>
      <c r="F565" s="42" t="s">
        <v>44</v>
      </c>
      <c r="G565" s="42" t="s">
        <v>44</v>
      </c>
      <c r="H565" s="42">
        <v>236.8456535375</v>
      </c>
      <c r="I565" s="42">
        <v>169.59</v>
      </c>
    </row>
    <row r="566" spans="1:9" ht="18" customHeight="1">
      <c r="A566" s="41" t="str">
        <f t="shared" si="11"/>
        <v>888SGD</v>
      </c>
      <c r="B566" s="42" t="s">
        <v>376</v>
      </c>
      <c r="C566" s="42">
        <v>888</v>
      </c>
      <c r="D566" s="42">
        <v>20020</v>
      </c>
      <c r="E566" s="42" t="s">
        <v>44</v>
      </c>
      <c r="F566" s="42" t="s">
        <v>11</v>
      </c>
      <c r="G566" s="42" t="s">
        <v>44</v>
      </c>
      <c r="H566" s="42">
        <v>-19.740351119423998</v>
      </c>
      <c r="I566" s="42">
        <v>-14.14</v>
      </c>
    </row>
    <row r="567" spans="1:9" ht="18" customHeight="1">
      <c r="A567" s="41" t="str">
        <f t="shared" si="11"/>
        <v>888USD</v>
      </c>
      <c r="B567" s="42" t="s">
        <v>376</v>
      </c>
      <c r="C567" s="42">
        <v>888</v>
      </c>
      <c r="D567" s="42">
        <v>20020</v>
      </c>
      <c r="E567" s="42" t="s">
        <v>44</v>
      </c>
      <c r="F567" s="42" t="s">
        <v>11</v>
      </c>
      <c r="G567" s="42" t="s">
        <v>11</v>
      </c>
      <c r="H567" s="42">
        <v>14.143740579999999</v>
      </c>
      <c r="I567" s="42">
        <v>14.14</v>
      </c>
    </row>
    <row r="568" spans="1:9" ht="18" customHeight="1">
      <c r="A568" s="41" t="str">
        <f t="shared" si="11"/>
        <v>888SGD</v>
      </c>
      <c r="B568" s="42" t="s">
        <v>377</v>
      </c>
      <c r="C568" s="42">
        <v>888</v>
      </c>
      <c r="D568" s="42">
        <v>20020</v>
      </c>
      <c r="E568" s="42" t="s">
        <v>44</v>
      </c>
      <c r="F568" s="42" t="s">
        <v>11</v>
      </c>
      <c r="G568" s="42" t="s">
        <v>44</v>
      </c>
      <c r="H568" s="42">
        <v>-560.37980429641004</v>
      </c>
      <c r="I568" s="42">
        <v>-401.26</v>
      </c>
    </row>
    <row r="569" spans="1:9" ht="18" customHeight="1">
      <c r="A569" s="41" t="str">
        <f t="shared" si="11"/>
        <v>888USD</v>
      </c>
      <c r="B569" s="42" t="s">
        <v>377</v>
      </c>
      <c r="C569" s="42">
        <v>888</v>
      </c>
      <c r="D569" s="42">
        <v>20020</v>
      </c>
      <c r="E569" s="42" t="s">
        <v>44</v>
      </c>
      <c r="F569" s="42" t="s">
        <v>11</v>
      </c>
      <c r="G569" s="42" t="s">
        <v>11</v>
      </c>
      <c r="H569" s="42">
        <v>400.71569116500001</v>
      </c>
      <c r="I569" s="42">
        <v>400.72</v>
      </c>
    </row>
    <row r="570" spans="1:9" ht="18" customHeight="1">
      <c r="A570" s="41" t="str">
        <f t="shared" si="11"/>
        <v>888SGD</v>
      </c>
      <c r="B570" s="42" t="s">
        <v>378</v>
      </c>
      <c r="C570" s="42">
        <v>888</v>
      </c>
      <c r="D570" s="42">
        <v>20020</v>
      </c>
      <c r="E570" s="42" t="s">
        <v>44</v>
      </c>
      <c r="F570" s="42" t="s">
        <v>11</v>
      </c>
      <c r="G570" s="42" t="s">
        <v>44</v>
      </c>
      <c r="H570" s="42">
        <v>-236.710277548162</v>
      </c>
      <c r="I570" s="42">
        <v>-169.5</v>
      </c>
    </row>
    <row r="571" spans="1:9" ht="18" customHeight="1">
      <c r="A571" s="41" t="str">
        <f t="shared" si="11"/>
        <v>888USD</v>
      </c>
      <c r="B571" s="42" t="s">
        <v>378</v>
      </c>
      <c r="C571" s="42">
        <v>888</v>
      </c>
      <c r="D571" s="42">
        <v>20020</v>
      </c>
      <c r="E571" s="42" t="s">
        <v>44</v>
      </c>
      <c r="F571" s="42" t="s">
        <v>11</v>
      </c>
      <c r="G571" s="42" t="s">
        <v>11</v>
      </c>
      <c r="H571" s="42">
        <v>168.7521742225</v>
      </c>
      <c r="I571" s="42">
        <v>168.75</v>
      </c>
    </row>
    <row r="572" spans="1:9" ht="18" customHeight="1">
      <c r="A572" s="41" t="str">
        <f t="shared" si="11"/>
        <v>888EUR</v>
      </c>
      <c r="B572" s="42" t="s">
        <v>379</v>
      </c>
      <c r="C572" s="42">
        <v>888</v>
      </c>
      <c r="D572" s="42">
        <v>20020</v>
      </c>
      <c r="E572" s="42" t="s">
        <v>31</v>
      </c>
      <c r="F572" s="42" t="s">
        <v>28</v>
      </c>
      <c r="G572" s="42" t="s">
        <v>31</v>
      </c>
      <c r="H572" s="42">
        <v>-1.66780693</v>
      </c>
      <c r="I572" s="42">
        <v>-1.8</v>
      </c>
    </row>
    <row r="573" spans="1:9" ht="18" customHeight="1">
      <c r="A573" s="41" t="str">
        <f t="shared" si="11"/>
        <v>888MYR</v>
      </c>
      <c r="B573" s="42" t="s">
        <v>379</v>
      </c>
      <c r="C573" s="42">
        <v>888</v>
      </c>
      <c r="D573" s="42">
        <v>20020</v>
      </c>
      <c r="E573" s="42" t="s">
        <v>31</v>
      </c>
      <c r="F573" s="42" t="s">
        <v>28</v>
      </c>
      <c r="G573" s="42" t="s">
        <v>28</v>
      </c>
      <c r="H573" s="42">
        <v>7.7229084509000003</v>
      </c>
      <c r="I573" s="42">
        <v>1.75</v>
      </c>
    </row>
    <row r="574" spans="1:9" ht="18" customHeight="1">
      <c r="A574" s="41" t="str">
        <f t="shared" si="11"/>
        <v>888EUR</v>
      </c>
      <c r="B574" s="42" t="s">
        <v>380</v>
      </c>
      <c r="C574" s="42">
        <v>888</v>
      </c>
      <c r="D574" s="42">
        <v>20020</v>
      </c>
      <c r="E574" s="42" t="s">
        <v>31</v>
      </c>
      <c r="F574" s="42" t="s">
        <v>28</v>
      </c>
      <c r="G574" s="42" t="s">
        <v>31</v>
      </c>
      <c r="H574" s="42">
        <v>-3.44909277</v>
      </c>
      <c r="I574" s="42">
        <v>-3.72</v>
      </c>
    </row>
    <row r="575" spans="1:9" ht="18" customHeight="1">
      <c r="A575" s="41" t="str">
        <f t="shared" si="11"/>
        <v>888MYR</v>
      </c>
      <c r="B575" s="42" t="s">
        <v>380</v>
      </c>
      <c r="C575" s="42">
        <v>888</v>
      </c>
      <c r="D575" s="42">
        <v>20020</v>
      </c>
      <c r="E575" s="42" t="s">
        <v>31</v>
      </c>
      <c r="F575" s="42" t="s">
        <v>28</v>
      </c>
      <c r="G575" s="42" t="s">
        <v>28</v>
      </c>
      <c r="H575" s="42">
        <v>15.906587664354999</v>
      </c>
      <c r="I575" s="42">
        <v>3.6</v>
      </c>
    </row>
    <row r="576" spans="1:9" ht="18" customHeight="1">
      <c r="A576" s="41" t="str">
        <f t="shared" si="11"/>
        <v>888USD</v>
      </c>
      <c r="B576" s="42" t="s">
        <v>381</v>
      </c>
      <c r="C576" s="42">
        <v>888</v>
      </c>
      <c r="D576" s="42">
        <v>20020</v>
      </c>
      <c r="E576" s="42" t="s">
        <v>11</v>
      </c>
      <c r="F576" s="42" t="s">
        <v>28</v>
      </c>
      <c r="G576" s="42" t="s">
        <v>11</v>
      </c>
      <c r="H576" s="42">
        <v>-2.0799618500000001</v>
      </c>
      <c r="I576" s="42">
        <v>-2.08</v>
      </c>
    </row>
    <row r="577" spans="1:9" ht="18" customHeight="1">
      <c r="A577" s="41" t="str">
        <f t="shared" si="11"/>
        <v>888MYR</v>
      </c>
      <c r="B577" s="42" t="s">
        <v>381</v>
      </c>
      <c r="C577" s="42">
        <v>888</v>
      </c>
      <c r="D577" s="42">
        <v>20020</v>
      </c>
      <c r="E577" s="42" t="s">
        <v>11</v>
      </c>
      <c r="F577" s="42" t="s">
        <v>28</v>
      </c>
      <c r="G577" s="42" t="s">
        <v>28</v>
      </c>
      <c r="H577" s="42">
        <v>8.9749681190250001</v>
      </c>
      <c r="I577" s="42">
        <v>2.0299999999999998</v>
      </c>
    </row>
    <row r="578" spans="1:9" ht="18" customHeight="1">
      <c r="A578" s="41" t="str">
        <f t="shared" si="11"/>
        <v>888USD</v>
      </c>
      <c r="B578" s="42" t="s">
        <v>382</v>
      </c>
      <c r="C578" s="42">
        <v>888</v>
      </c>
      <c r="D578" s="42">
        <v>20020</v>
      </c>
      <c r="E578" s="42" t="s">
        <v>11</v>
      </c>
      <c r="F578" s="42" t="s">
        <v>28</v>
      </c>
      <c r="G578" s="42" t="s">
        <v>11</v>
      </c>
      <c r="H578" s="42">
        <v>-4.2911879624999996</v>
      </c>
      <c r="I578" s="42">
        <v>-4.29</v>
      </c>
    </row>
    <row r="579" spans="1:9" ht="18" customHeight="1">
      <c r="A579" s="41" t="str">
        <f t="shared" ref="A579:A642" si="12">CONCATENATE(C579,G579)</f>
        <v>888MYR</v>
      </c>
      <c r="B579" s="42" t="s">
        <v>382</v>
      </c>
      <c r="C579" s="42">
        <v>888</v>
      </c>
      <c r="D579" s="42">
        <v>20020</v>
      </c>
      <c r="E579" s="42" t="s">
        <v>11</v>
      </c>
      <c r="F579" s="42" t="s">
        <v>28</v>
      </c>
      <c r="G579" s="42" t="s">
        <v>28</v>
      </c>
      <c r="H579" s="42">
        <v>18.459553827930002</v>
      </c>
      <c r="I579" s="42">
        <v>4.17</v>
      </c>
    </row>
    <row r="580" spans="1:9" ht="18" customHeight="1">
      <c r="A580" s="41" t="str">
        <f t="shared" si="12"/>
        <v>888USD</v>
      </c>
      <c r="B580" s="42" t="s">
        <v>383</v>
      </c>
      <c r="C580" s="42">
        <v>888</v>
      </c>
      <c r="D580" s="42">
        <v>20030</v>
      </c>
      <c r="E580" s="42" t="s">
        <v>11</v>
      </c>
      <c r="F580" s="42" t="s">
        <v>28</v>
      </c>
      <c r="G580" s="42" t="s">
        <v>11</v>
      </c>
      <c r="H580" s="42">
        <v>-400.71569116500001</v>
      </c>
      <c r="I580" s="42">
        <v>-400.72</v>
      </c>
    </row>
    <row r="581" spans="1:9" ht="18" customHeight="1">
      <c r="A581" s="41" t="str">
        <f t="shared" si="12"/>
        <v>888MYR</v>
      </c>
      <c r="B581" s="42" t="s">
        <v>383</v>
      </c>
      <c r="C581" s="42">
        <v>888</v>
      </c>
      <c r="D581" s="42">
        <v>20030</v>
      </c>
      <c r="E581" s="42" t="s">
        <v>11</v>
      </c>
      <c r="F581" s="42" t="s">
        <v>28</v>
      </c>
      <c r="G581" s="42" t="s">
        <v>28</v>
      </c>
      <c r="H581" s="42">
        <v>1727.4710380761101</v>
      </c>
      <c r="I581" s="42">
        <v>390.61</v>
      </c>
    </row>
    <row r="582" spans="1:9" ht="18" customHeight="1">
      <c r="A582" s="41" t="str">
        <f t="shared" si="12"/>
        <v>888USD</v>
      </c>
      <c r="B582" s="42" t="s">
        <v>384</v>
      </c>
      <c r="C582" s="42">
        <v>888</v>
      </c>
      <c r="D582" s="42">
        <v>20020</v>
      </c>
      <c r="E582" s="42" t="s">
        <v>11</v>
      </c>
      <c r="F582" s="42" t="s">
        <v>28</v>
      </c>
      <c r="G582" s="42" t="s">
        <v>11</v>
      </c>
      <c r="H582" s="42">
        <v>-2.0799618500000001</v>
      </c>
      <c r="I582" s="42">
        <v>-2.08</v>
      </c>
    </row>
    <row r="583" spans="1:9" ht="18" customHeight="1">
      <c r="A583" s="41" t="str">
        <f t="shared" si="12"/>
        <v>888MYR</v>
      </c>
      <c r="B583" s="42" t="s">
        <v>384</v>
      </c>
      <c r="C583" s="42">
        <v>888</v>
      </c>
      <c r="D583" s="42">
        <v>20020</v>
      </c>
      <c r="E583" s="42" t="s">
        <v>11</v>
      </c>
      <c r="F583" s="42" t="s">
        <v>28</v>
      </c>
      <c r="G583" s="42" t="s">
        <v>28</v>
      </c>
      <c r="H583" s="42">
        <v>9.0270946847999998</v>
      </c>
      <c r="I583" s="42">
        <v>2.04</v>
      </c>
    </row>
    <row r="584" spans="1:9" ht="18" customHeight="1">
      <c r="A584" s="41" t="str">
        <f t="shared" si="12"/>
        <v>888USD</v>
      </c>
      <c r="B584" s="42" t="s">
        <v>385</v>
      </c>
      <c r="C584" s="42">
        <v>888</v>
      </c>
      <c r="D584" s="42">
        <v>20020</v>
      </c>
      <c r="E584" s="42" t="s">
        <v>11</v>
      </c>
      <c r="F584" s="42" t="s">
        <v>28</v>
      </c>
      <c r="G584" s="42" t="s">
        <v>11</v>
      </c>
      <c r="H584" s="42">
        <v>-4.2911879624999996</v>
      </c>
      <c r="I584" s="42">
        <v>-4.29</v>
      </c>
    </row>
    <row r="585" spans="1:9" ht="18" customHeight="1">
      <c r="A585" s="41" t="str">
        <f t="shared" si="12"/>
        <v>888MYR</v>
      </c>
      <c r="B585" s="42" t="s">
        <v>385</v>
      </c>
      <c r="C585" s="42">
        <v>888</v>
      </c>
      <c r="D585" s="42">
        <v>20020</v>
      </c>
      <c r="E585" s="42" t="s">
        <v>11</v>
      </c>
      <c r="F585" s="42" t="s">
        <v>28</v>
      </c>
      <c r="G585" s="42" t="s">
        <v>28</v>
      </c>
      <c r="H585" s="42">
        <v>18.568744682104999</v>
      </c>
      <c r="I585" s="42">
        <v>4.2</v>
      </c>
    </row>
    <row r="586" spans="1:9" ht="18" customHeight="1">
      <c r="A586" s="41" t="str">
        <f t="shared" si="12"/>
        <v>888USD</v>
      </c>
      <c r="B586" s="42" t="s">
        <v>386</v>
      </c>
      <c r="C586" s="42">
        <v>888</v>
      </c>
      <c r="D586" s="42">
        <v>20030</v>
      </c>
      <c r="E586" s="42" t="s">
        <v>11</v>
      </c>
      <c r="F586" s="42" t="s">
        <v>28</v>
      </c>
      <c r="G586" s="42" t="s">
        <v>11</v>
      </c>
      <c r="H586" s="42">
        <v>-168.7521742225</v>
      </c>
      <c r="I586" s="42">
        <v>-168.75</v>
      </c>
    </row>
    <row r="587" spans="1:9" ht="18" customHeight="1">
      <c r="A587" s="41" t="str">
        <f t="shared" si="12"/>
        <v>888MYR</v>
      </c>
      <c r="B587" s="42" t="s">
        <v>386</v>
      </c>
      <c r="C587" s="42">
        <v>888</v>
      </c>
      <c r="D587" s="42">
        <v>20030</v>
      </c>
      <c r="E587" s="42" t="s">
        <v>11</v>
      </c>
      <c r="F587" s="42" t="s">
        <v>28</v>
      </c>
      <c r="G587" s="42" t="s">
        <v>28</v>
      </c>
      <c r="H587" s="42">
        <v>728.60109179076801</v>
      </c>
      <c r="I587" s="42">
        <v>164.75</v>
      </c>
    </row>
    <row r="588" spans="1:9" ht="18" customHeight="1">
      <c r="A588" s="41" t="str">
        <f t="shared" si="12"/>
        <v>888EUR</v>
      </c>
      <c r="B588" s="42" t="s">
        <v>387</v>
      </c>
      <c r="C588" s="42">
        <v>888</v>
      </c>
      <c r="D588" s="42">
        <v>20020</v>
      </c>
      <c r="E588" s="42" t="s">
        <v>31</v>
      </c>
      <c r="F588" s="42" t="s">
        <v>28</v>
      </c>
      <c r="G588" s="42" t="s">
        <v>31</v>
      </c>
      <c r="H588" s="42">
        <v>-3.44909277</v>
      </c>
      <c r="I588" s="42">
        <v>-3.72</v>
      </c>
    </row>
    <row r="589" spans="1:9" ht="18" customHeight="1">
      <c r="A589" s="41" t="str">
        <f t="shared" si="12"/>
        <v>888MYR</v>
      </c>
      <c r="B589" s="42" t="s">
        <v>387</v>
      </c>
      <c r="C589" s="42">
        <v>888</v>
      </c>
      <c r="D589" s="42">
        <v>20020</v>
      </c>
      <c r="E589" s="42" t="s">
        <v>31</v>
      </c>
      <c r="F589" s="42" t="s">
        <v>28</v>
      </c>
      <c r="G589" s="42" t="s">
        <v>28</v>
      </c>
      <c r="H589" s="42">
        <v>15.899868227175</v>
      </c>
      <c r="I589" s="42">
        <v>3.6</v>
      </c>
    </row>
    <row r="590" spans="1:9" ht="18" customHeight="1">
      <c r="A590" s="41" t="str">
        <f t="shared" si="12"/>
        <v>888USD</v>
      </c>
      <c r="B590" s="42" t="s">
        <v>388</v>
      </c>
      <c r="C590" s="42">
        <v>888</v>
      </c>
      <c r="D590" s="42">
        <v>20020</v>
      </c>
      <c r="E590" s="42" t="s">
        <v>11</v>
      </c>
      <c r="F590" s="42" t="s">
        <v>31</v>
      </c>
      <c r="G590" s="42" t="s">
        <v>11</v>
      </c>
      <c r="H590" s="42">
        <v>-11.012561491923</v>
      </c>
      <c r="I590" s="42">
        <v>-11.01</v>
      </c>
    </row>
    <row r="591" spans="1:9" ht="18" customHeight="1">
      <c r="A591" s="41" t="str">
        <f t="shared" si="12"/>
        <v>888EUR</v>
      </c>
      <c r="B591" s="42" t="s">
        <v>388</v>
      </c>
      <c r="C591" s="42">
        <v>888</v>
      </c>
      <c r="D591" s="42">
        <v>20020</v>
      </c>
      <c r="E591" s="42" t="s">
        <v>11</v>
      </c>
      <c r="F591" s="42" t="s">
        <v>31</v>
      </c>
      <c r="G591" s="42" t="s">
        <v>31</v>
      </c>
      <c r="H591" s="42">
        <v>10.34727831</v>
      </c>
      <c r="I591" s="42">
        <v>11.16</v>
      </c>
    </row>
    <row r="592" spans="1:9" ht="18" customHeight="1">
      <c r="A592" s="41" t="str">
        <f t="shared" si="12"/>
        <v>888USD</v>
      </c>
      <c r="B592" s="42" t="s">
        <v>389</v>
      </c>
      <c r="C592" s="42">
        <v>888</v>
      </c>
      <c r="D592" s="42">
        <v>20020</v>
      </c>
      <c r="E592" s="42" t="s">
        <v>11</v>
      </c>
      <c r="F592" s="42" t="s">
        <v>31</v>
      </c>
      <c r="G592" s="42" t="s">
        <v>11</v>
      </c>
      <c r="H592" s="42">
        <v>-3.5532404275920002</v>
      </c>
      <c r="I592" s="42">
        <v>-3.55</v>
      </c>
    </row>
    <row r="593" spans="1:9" ht="18" customHeight="1">
      <c r="A593" s="41" t="str">
        <f t="shared" si="12"/>
        <v>888EUR</v>
      </c>
      <c r="B593" s="42" t="s">
        <v>389</v>
      </c>
      <c r="C593" s="42">
        <v>888</v>
      </c>
      <c r="D593" s="42">
        <v>20020</v>
      </c>
      <c r="E593" s="42" t="s">
        <v>11</v>
      </c>
      <c r="F593" s="42" t="s">
        <v>31</v>
      </c>
      <c r="G593" s="42" t="s">
        <v>31</v>
      </c>
      <c r="H593" s="42">
        <v>3.33561386</v>
      </c>
      <c r="I593" s="42">
        <v>3.6</v>
      </c>
    </row>
    <row r="594" spans="1:9" ht="18" customHeight="1">
      <c r="A594" s="41" t="str">
        <f t="shared" si="12"/>
        <v>888USD</v>
      </c>
      <c r="B594" s="42" t="s">
        <v>390</v>
      </c>
      <c r="C594" s="42">
        <v>888</v>
      </c>
      <c r="D594" s="42">
        <v>20020</v>
      </c>
      <c r="E594" s="42" t="s">
        <v>11</v>
      </c>
      <c r="F594" s="42" t="s">
        <v>28</v>
      </c>
      <c r="G594" s="42" t="s">
        <v>11</v>
      </c>
      <c r="H594" s="42">
        <v>-2.0799618500000001</v>
      </c>
      <c r="I594" s="42">
        <v>-2.08</v>
      </c>
    </row>
    <row r="595" spans="1:9" ht="18" customHeight="1">
      <c r="A595" s="41" t="str">
        <f t="shared" si="12"/>
        <v>888MYR</v>
      </c>
      <c r="B595" s="42" t="s">
        <v>390</v>
      </c>
      <c r="C595" s="42">
        <v>888</v>
      </c>
      <c r="D595" s="42">
        <v>20020</v>
      </c>
      <c r="E595" s="42" t="s">
        <v>11</v>
      </c>
      <c r="F595" s="42" t="s">
        <v>28</v>
      </c>
      <c r="G595" s="42" t="s">
        <v>28</v>
      </c>
      <c r="H595" s="42">
        <v>9.0638899077000001</v>
      </c>
      <c r="I595" s="42">
        <v>2.0499999999999998</v>
      </c>
    </row>
    <row r="596" spans="1:9" ht="18" customHeight="1">
      <c r="A596" s="41" t="str">
        <f t="shared" si="12"/>
        <v>888USD</v>
      </c>
      <c r="B596" s="42" t="s">
        <v>391</v>
      </c>
      <c r="C596" s="42">
        <v>888</v>
      </c>
      <c r="D596" s="42">
        <v>20020</v>
      </c>
      <c r="E596" s="42" t="s">
        <v>11</v>
      </c>
      <c r="F596" s="42" t="s">
        <v>28</v>
      </c>
      <c r="G596" s="42" t="s">
        <v>11</v>
      </c>
      <c r="H596" s="42">
        <v>-4.2911879624999996</v>
      </c>
      <c r="I596" s="42">
        <v>-4.29</v>
      </c>
    </row>
    <row r="597" spans="1:9" ht="18" customHeight="1">
      <c r="A597" s="41" t="str">
        <f t="shared" si="12"/>
        <v>888MYR</v>
      </c>
      <c r="B597" s="42" t="s">
        <v>391</v>
      </c>
      <c r="C597" s="42">
        <v>888</v>
      </c>
      <c r="D597" s="42">
        <v>20020</v>
      </c>
      <c r="E597" s="42" t="s">
        <v>11</v>
      </c>
      <c r="F597" s="42" t="s">
        <v>28</v>
      </c>
      <c r="G597" s="42" t="s">
        <v>28</v>
      </c>
      <c r="H597" s="42">
        <v>18.638038878025</v>
      </c>
      <c r="I597" s="42">
        <v>4.21</v>
      </c>
    </row>
    <row r="598" spans="1:9" ht="18" customHeight="1">
      <c r="A598" s="41" t="str">
        <f t="shared" si="12"/>
        <v>888MYR</v>
      </c>
      <c r="B598" s="42" t="s">
        <v>392</v>
      </c>
      <c r="C598" s="42">
        <v>888</v>
      </c>
      <c r="D598" s="42">
        <v>20020</v>
      </c>
      <c r="E598" s="42" t="s">
        <v>28</v>
      </c>
      <c r="F598" s="42" t="s">
        <v>11</v>
      </c>
      <c r="G598" s="42" t="s">
        <v>28</v>
      </c>
      <c r="H598" s="42">
        <v>-164.55431293217401</v>
      </c>
      <c r="I598" s="42">
        <v>-37.21</v>
      </c>
    </row>
    <row r="599" spans="1:9" ht="18" customHeight="1">
      <c r="A599" s="41" t="str">
        <f t="shared" si="12"/>
        <v>888USD</v>
      </c>
      <c r="B599" s="42" t="s">
        <v>392</v>
      </c>
      <c r="C599" s="42">
        <v>888</v>
      </c>
      <c r="D599" s="42">
        <v>20020</v>
      </c>
      <c r="E599" s="42" t="s">
        <v>28</v>
      </c>
      <c r="F599" s="42" t="s">
        <v>11</v>
      </c>
      <c r="G599" s="42" t="s">
        <v>11</v>
      </c>
      <c r="H599" s="42">
        <v>37.762454069999997</v>
      </c>
      <c r="I599" s="42">
        <v>37.76</v>
      </c>
    </row>
    <row r="600" spans="1:9" ht="18" customHeight="1">
      <c r="A600" s="41" t="str">
        <f t="shared" si="12"/>
        <v>888EUR</v>
      </c>
      <c r="B600" s="42" t="s">
        <v>393</v>
      </c>
      <c r="C600" s="42">
        <v>888</v>
      </c>
      <c r="D600" s="42">
        <v>20020</v>
      </c>
      <c r="E600" s="42" t="s">
        <v>31</v>
      </c>
      <c r="F600" s="42" t="s">
        <v>28</v>
      </c>
      <c r="G600" s="42" t="s">
        <v>31</v>
      </c>
      <c r="H600" s="42">
        <v>-1.66780693</v>
      </c>
      <c r="I600" s="42">
        <v>-1.8</v>
      </c>
    </row>
    <row r="601" spans="1:9" ht="18" customHeight="1">
      <c r="A601" s="41" t="str">
        <f t="shared" si="12"/>
        <v>888MYR</v>
      </c>
      <c r="B601" s="42" t="s">
        <v>393</v>
      </c>
      <c r="C601" s="42">
        <v>888</v>
      </c>
      <c r="D601" s="42">
        <v>20020</v>
      </c>
      <c r="E601" s="42" t="s">
        <v>31</v>
      </c>
      <c r="F601" s="42" t="s">
        <v>28</v>
      </c>
      <c r="G601" s="42" t="s">
        <v>28</v>
      </c>
      <c r="H601" s="42">
        <v>7.7425325697799998</v>
      </c>
      <c r="I601" s="42">
        <v>1.75</v>
      </c>
    </row>
    <row r="602" spans="1:9" ht="18" customHeight="1">
      <c r="A602" s="41" t="str">
        <f t="shared" si="12"/>
        <v>888EUR</v>
      </c>
      <c r="B602" s="42" t="s">
        <v>394</v>
      </c>
      <c r="C602" s="42">
        <v>888</v>
      </c>
      <c r="D602" s="42">
        <v>20020</v>
      </c>
      <c r="E602" s="42" t="s">
        <v>31</v>
      </c>
      <c r="F602" s="42" t="s">
        <v>28</v>
      </c>
      <c r="G602" s="42" t="s">
        <v>31</v>
      </c>
      <c r="H602" s="42">
        <v>-3.44909277</v>
      </c>
      <c r="I602" s="42">
        <v>-3.72</v>
      </c>
    </row>
    <row r="603" spans="1:9" ht="18" customHeight="1">
      <c r="A603" s="41" t="str">
        <f t="shared" si="12"/>
        <v>888MYR</v>
      </c>
      <c r="B603" s="42" t="s">
        <v>394</v>
      </c>
      <c r="C603" s="42">
        <v>888</v>
      </c>
      <c r="D603" s="42">
        <v>20020</v>
      </c>
      <c r="E603" s="42" t="s">
        <v>31</v>
      </c>
      <c r="F603" s="42" t="s">
        <v>28</v>
      </c>
      <c r="G603" s="42" t="s">
        <v>28</v>
      </c>
      <c r="H603" s="42">
        <v>15.94186470955</v>
      </c>
      <c r="I603" s="42">
        <v>3.6</v>
      </c>
    </row>
    <row r="604" spans="1:9" ht="18" customHeight="1">
      <c r="A604" s="41" t="str">
        <f t="shared" si="12"/>
        <v>888MYR</v>
      </c>
      <c r="B604" s="42" t="s">
        <v>395</v>
      </c>
      <c r="C604" s="42">
        <v>888</v>
      </c>
      <c r="D604" s="42">
        <v>20020</v>
      </c>
      <c r="E604" s="42" t="s">
        <v>28</v>
      </c>
      <c r="F604" s="42" t="s">
        <v>11</v>
      </c>
      <c r="G604" s="42" t="s">
        <v>28</v>
      </c>
      <c r="H604" s="42">
        <v>-69.152778383935996</v>
      </c>
      <c r="I604" s="42">
        <v>-15.64</v>
      </c>
    </row>
    <row r="605" spans="1:9" ht="18" customHeight="1">
      <c r="A605" s="41" t="str">
        <f t="shared" si="12"/>
        <v>888USD</v>
      </c>
      <c r="B605" s="42" t="s">
        <v>395</v>
      </c>
      <c r="C605" s="42">
        <v>888</v>
      </c>
      <c r="D605" s="42">
        <v>20020</v>
      </c>
      <c r="E605" s="42" t="s">
        <v>28</v>
      </c>
      <c r="F605" s="42" t="s">
        <v>11</v>
      </c>
      <c r="G605" s="42" t="s">
        <v>11</v>
      </c>
      <c r="H605" s="42">
        <v>15.80771006</v>
      </c>
      <c r="I605" s="42">
        <v>15.81</v>
      </c>
    </row>
    <row r="606" spans="1:9" ht="18" customHeight="1">
      <c r="A606" s="41" t="str">
        <f t="shared" si="12"/>
        <v>888MYR</v>
      </c>
      <c r="B606" s="42" t="s">
        <v>396</v>
      </c>
      <c r="C606" s="42">
        <v>888</v>
      </c>
      <c r="D606" s="42">
        <v>20020</v>
      </c>
      <c r="E606" s="42" t="s">
        <v>28</v>
      </c>
      <c r="F606" s="42" t="s">
        <v>11</v>
      </c>
      <c r="G606" s="42" t="s">
        <v>28</v>
      </c>
      <c r="H606" s="42">
        <v>-26.719596093644999</v>
      </c>
      <c r="I606" s="42">
        <v>-6.04</v>
      </c>
    </row>
    <row r="607" spans="1:9" ht="18" customHeight="1">
      <c r="A607" s="41" t="str">
        <f t="shared" si="12"/>
        <v>888USD</v>
      </c>
      <c r="B607" s="42" t="s">
        <v>396</v>
      </c>
      <c r="C607" s="42">
        <v>888</v>
      </c>
      <c r="D607" s="42">
        <v>20020</v>
      </c>
      <c r="E607" s="42" t="s">
        <v>28</v>
      </c>
      <c r="F607" s="42" t="s">
        <v>11</v>
      </c>
      <c r="G607" s="42" t="s">
        <v>11</v>
      </c>
      <c r="H607" s="42">
        <v>6.1037780000000001</v>
      </c>
      <c r="I607" s="42">
        <v>6.1</v>
      </c>
    </row>
    <row r="608" spans="1:9" ht="18" customHeight="1">
      <c r="A608" s="41" t="str">
        <f t="shared" si="12"/>
        <v>888MYR</v>
      </c>
      <c r="B608" s="42" t="s">
        <v>397</v>
      </c>
      <c r="C608" s="42">
        <v>888</v>
      </c>
      <c r="D608" s="42">
        <v>20020</v>
      </c>
      <c r="E608" s="42" t="s">
        <v>28</v>
      </c>
      <c r="F608" s="42" t="s">
        <v>11</v>
      </c>
      <c r="G608" s="42" t="s">
        <v>28</v>
      </c>
      <c r="H608" s="42">
        <v>-65.285352498254994</v>
      </c>
      <c r="I608" s="42">
        <v>-14.76</v>
      </c>
    </row>
    <row r="609" spans="1:9" ht="18" customHeight="1">
      <c r="A609" s="41" t="str">
        <f t="shared" si="12"/>
        <v>888USD</v>
      </c>
      <c r="B609" s="42" t="s">
        <v>397</v>
      </c>
      <c r="C609" s="42">
        <v>888</v>
      </c>
      <c r="D609" s="42">
        <v>20020</v>
      </c>
      <c r="E609" s="42" t="s">
        <v>28</v>
      </c>
      <c r="F609" s="42" t="s">
        <v>11</v>
      </c>
      <c r="G609" s="42" t="s">
        <v>11</v>
      </c>
      <c r="H609" s="42">
        <v>14.956410050000001</v>
      </c>
      <c r="I609" s="42">
        <v>14.96</v>
      </c>
    </row>
    <row r="610" spans="1:9" ht="18" customHeight="1">
      <c r="A610" s="41" t="str">
        <f t="shared" si="12"/>
        <v>888MYR</v>
      </c>
      <c r="B610" s="42" t="s">
        <v>398</v>
      </c>
      <c r="C610" s="42">
        <v>888</v>
      </c>
      <c r="D610" s="42">
        <v>20020</v>
      </c>
      <c r="E610" s="42" t="s">
        <v>28</v>
      </c>
      <c r="F610" s="42" t="s">
        <v>11</v>
      </c>
      <c r="G610" s="42" t="s">
        <v>28</v>
      </c>
      <c r="H610" s="42">
        <v>-101.06656857599999</v>
      </c>
      <c r="I610" s="42">
        <v>-22.85</v>
      </c>
    </row>
    <row r="611" spans="1:9" ht="18" customHeight="1">
      <c r="A611" s="41" t="str">
        <f t="shared" si="12"/>
        <v>888USD</v>
      </c>
      <c r="B611" s="42" t="s">
        <v>398</v>
      </c>
      <c r="C611" s="42">
        <v>888</v>
      </c>
      <c r="D611" s="42">
        <v>20020</v>
      </c>
      <c r="E611" s="42" t="s">
        <v>28</v>
      </c>
      <c r="F611" s="42" t="s">
        <v>11</v>
      </c>
      <c r="G611" s="42" t="s">
        <v>11</v>
      </c>
      <c r="H611" s="42">
        <v>23.2197174</v>
      </c>
      <c r="I611" s="42">
        <v>23.22</v>
      </c>
    </row>
    <row r="612" spans="1:9" ht="18" customHeight="1">
      <c r="A612" s="41" t="str">
        <f t="shared" si="12"/>
        <v>888MYR</v>
      </c>
      <c r="B612" s="42" t="s">
        <v>399</v>
      </c>
      <c r="C612" s="42">
        <v>888</v>
      </c>
      <c r="D612" s="42">
        <v>20020</v>
      </c>
      <c r="E612" s="42" t="s">
        <v>28</v>
      </c>
      <c r="F612" s="42" t="s">
        <v>11</v>
      </c>
      <c r="G612" s="42" t="s">
        <v>28</v>
      </c>
      <c r="H612" s="42">
        <v>-70.512513818740004</v>
      </c>
      <c r="I612" s="42">
        <v>-15.94</v>
      </c>
    </row>
    <row r="613" spans="1:9" ht="18" customHeight="1">
      <c r="A613" s="41" t="str">
        <f t="shared" si="12"/>
        <v>888USD</v>
      </c>
      <c r="B613" s="42" t="s">
        <v>399</v>
      </c>
      <c r="C613" s="42">
        <v>888</v>
      </c>
      <c r="D613" s="42">
        <v>20020</v>
      </c>
      <c r="E613" s="42" t="s">
        <v>28</v>
      </c>
      <c r="F613" s="42" t="s">
        <v>11</v>
      </c>
      <c r="G613" s="42" t="s">
        <v>11</v>
      </c>
      <c r="H613" s="42">
        <v>16.085872699999999</v>
      </c>
      <c r="I613" s="42">
        <v>16.09</v>
      </c>
    </row>
    <row r="614" spans="1:9" ht="18" customHeight="1">
      <c r="A614" s="41" t="str">
        <f t="shared" si="12"/>
        <v>888USD</v>
      </c>
      <c r="B614" s="42" t="s">
        <v>400</v>
      </c>
      <c r="C614" s="42">
        <v>888</v>
      </c>
      <c r="D614" s="42">
        <v>20020</v>
      </c>
      <c r="E614" s="42" t="s">
        <v>11</v>
      </c>
      <c r="F614" s="42" t="s">
        <v>28</v>
      </c>
      <c r="G614" s="42" t="s">
        <v>11</v>
      </c>
      <c r="H614" s="42">
        <v>-16.085872699999999</v>
      </c>
      <c r="I614" s="42">
        <v>-16.09</v>
      </c>
    </row>
    <row r="615" spans="1:9" ht="18" customHeight="1">
      <c r="A615" s="41" t="str">
        <f t="shared" si="12"/>
        <v>888MYR</v>
      </c>
      <c r="B615" s="42" t="s">
        <v>400</v>
      </c>
      <c r="C615" s="42">
        <v>888</v>
      </c>
      <c r="D615" s="42">
        <v>20020</v>
      </c>
      <c r="E615" s="42" t="s">
        <v>11</v>
      </c>
      <c r="F615" s="42" t="s">
        <v>28</v>
      </c>
      <c r="G615" s="42" t="s">
        <v>28</v>
      </c>
      <c r="H615" s="42">
        <v>70.311713557399997</v>
      </c>
      <c r="I615" s="42">
        <v>15.9</v>
      </c>
    </row>
    <row r="616" spans="1:9" ht="18" customHeight="1">
      <c r="A616" s="41" t="str">
        <f t="shared" si="12"/>
        <v>888USD</v>
      </c>
      <c r="B616" s="42" t="s">
        <v>401</v>
      </c>
      <c r="C616" s="42">
        <v>888</v>
      </c>
      <c r="D616" s="42">
        <v>20020</v>
      </c>
      <c r="E616" s="42" t="s">
        <v>11</v>
      </c>
      <c r="F616" s="42" t="s">
        <v>28</v>
      </c>
      <c r="G616" s="42" t="s">
        <v>11</v>
      </c>
      <c r="H616" s="42">
        <v>-62.975475250000002</v>
      </c>
      <c r="I616" s="42">
        <v>-62.98</v>
      </c>
    </row>
    <row r="617" spans="1:9" ht="18" customHeight="1">
      <c r="A617" s="41" t="str">
        <f t="shared" si="12"/>
        <v>888MYR</v>
      </c>
      <c r="B617" s="42" t="s">
        <v>401</v>
      </c>
      <c r="C617" s="42">
        <v>888</v>
      </c>
      <c r="D617" s="42">
        <v>20020</v>
      </c>
      <c r="E617" s="42" t="s">
        <v>11</v>
      </c>
      <c r="F617" s="42" t="s">
        <v>28</v>
      </c>
      <c r="G617" s="42" t="s">
        <v>28</v>
      </c>
      <c r="H617" s="42">
        <v>270.97562316990002</v>
      </c>
      <c r="I617" s="42">
        <v>61.27</v>
      </c>
    </row>
    <row r="618" spans="1:9" ht="18" customHeight="1">
      <c r="A618" s="41" t="str">
        <f t="shared" si="12"/>
        <v>888MYR</v>
      </c>
      <c r="B618" s="42" t="s">
        <v>402</v>
      </c>
      <c r="C618" s="42">
        <v>888</v>
      </c>
      <c r="D618" s="42">
        <v>20020</v>
      </c>
      <c r="E618" s="42" t="s">
        <v>28</v>
      </c>
      <c r="F618" s="42" t="s">
        <v>11</v>
      </c>
      <c r="G618" s="42" t="s">
        <v>28</v>
      </c>
      <c r="H618" s="42">
        <v>-271.82355761880001</v>
      </c>
      <c r="I618" s="42">
        <v>-61.46</v>
      </c>
    </row>
    <row r="619" spans="1:9" ht="18" customHeight="1">
      <c r="A619" s="41" t="str">
        <f t="shared" si="12"/>
        <v>888USD</v>
      </c>
      <c r="B619" s="42" t="s">
        <v>402</v>
      </c>
      <c r="C619" s="42">
        <v>888</v>
      </c>
      <c r="D619" s="42">
        <v>20020</v>
      </c>
      <c r="E619" s="42" t="s">
        <v>28</v>
      </c>
      <c r="F619" s="42" t="s">
        <v>11</v>
      </c>
      <c r="G619" s="42" t="s">
        <v>11</v>
      </c>
      <c r="H619" s="42">
        <v>62.975475250000002</v>
      </c>
      <c r="I619" s="42">
        <v>62.98</v>
      </c>
    </row>
    <row r="620" spans="1:9" ht="18" customHeight="1">
      <c r="A620" s="41" t="str">
        <f t="shared" si="12"/>
        <v>888MYR</v>
      </c>
      <c r="B620" s="42" t="s">
        <v>403</v>
      </c>
      <c r="C620" s="42">
        <v>888</v>
      </c>
      <c r="D620" s="42">
        <v>20020</v>
      </c>
      <c r="E620" s="42" t="s">
        <v>28</v>
      </c>
      <c r="F620" s="42" t="s">
        <v>10</v>
      </c>
      <c r="G620" s="42" t="s">
        <v>28</v>
      </c>
      <c r="H620" s="42">
        <v>-343.42751985977299</v>
      </c>
      <c r="I620" s="42">
        <v>-77.650000000000006</v>
      </c>
    </row>
    <row r="621" spans="1:9" ht="18" customHeight="1">
      <c r="A621" s="41" t="str">
        <f t="shared" si="12"/>
        <v>888JPY</v>
      </c>
      <c r="B621" s="42" t="s">
        <v>403</v>
      </c>
      <c r="C621" s="42">
        <v>888</v>
      </c>
      <c r="D621" s="42">
        <v>20020</v>
      </c>
      <c r="E621" s="42" t="s">
        <v>28</v>
      </c>
      <c r="F621" s="42" t="s">
        <v>10</v>
      </c>
      <c r="G621" s="42" t="s">
        <v>10</v>
      </c>
      <c r="H621" s="42">
        <v>8654.9905872500003</v>
      </c>
      <c r="I621" s="42">
        <v>77.91</v>
      </c>
    </row>
    <row r="622" spans="1:9" ht="18" customHeight="1">
      <c r="A622" s="41" t="str">
        <f t="shared" si="12"/>
        <v>888JPY</v>
      </c>
      <c r="B622" s="42" t="s">
        <v>404</v>
      </c>
      <c r="C622" s="42">
        <v>888</v>
      </c>
      <c r="D622" s="42">
        <v>20020</v>
      </c>
      <c r="E622" s="42" t="s">
        <v>10</v>
      </c>
      <c r="F622" s="42" t="s">
        <v>11</v>
      </c>
      <c r="G622" s="42" t="s">
        <v>10</v>
      </c>
      <c r="H622" s="42">
        <v>-8677.5519110280002</v>
      </c>
      <c r="I622" s="42">
        <v>-78.11</v>
      </c>
    </row>
    <row r="623" spans="1:9" ht="18" customHeight="1">
      <c r="A623" s="41" t="str">
        <f t="shared" si="12"/>
        <v>888USD</v>
      </c>
      <c r="B623" s="42" t="s">
        <v>404</v>
      </c>
      <c r="C623" s="42">
        <v>888</v>
      </c>
      <c r="D623" s="42">
        <v>20020</v>
      </c>
      <c r="E623" s="42" t="s">
        <v>10</v>
      </c>
      <c r="F623" s="42" t="s">
        <v>11</v>
      </c>
      <c r="G623" s="42" t="s">
        <v>11</v>
      </c>
      <c r="H623" s="42">
        <v>77.568513120000006</v>
      </c>
      <c r="I623" s="42">
        <v>77.569999999999993</v>
      </c>
    </row>
    <row r="624" spans="1:9" ht="18" customHeight="1">
      <c r="A624" s="41" t="str">
        <f t="shared" si="12"/>
        <v>888USD</v>
      </c>
      <c r="B624" s="42" t="s">
        <v>405</v>
      </c>
      <c r="C624" s="42">
        <v>888</v>
      </c>
      <c r="D624" s="42">
        <v>20020</v>
      </c>
      <c r="E624" s="42" t="s">
        <v>11</v>
      </c>
      <c r="F624" s="42" t="s">
        <v>28</v>
      </c>
      <c r="G624" s="42" t="s">
        <v>11</v>
      </c>
      <c r="H624" s="42">
        <v>-77.568513120000006</v>
      </c>
      <c r="I624" s="42">
        <v>-77.569999999999993</v>
      </c>
    </row>
    <row r="625" spans="1:9" ht="18" customHeight="1">
      <c r="A625" s="41" t="str">
        <f t="shared" si="12"/>
        <v>888MYR</v>
      </c>
      <c r="B625" s="42" t="s">
        <v>405</v>
      </c>
      <c r="C625" s="42">
        <v>888</v>
      </c>
      <c r="D625" s="42">
        <v>20020</v>
      </c>
      <c r="E625" s="42" t="s">
        <v>11</v>
      </c>
      <c r="F625" s="42" t="s">
        <v>28</v>
      </c>
      <c r="G625" s="42" t="s">
        <v>28</v>
      </c>
      <c r="H625" s="42">
        <v>341.47885713930799</v>
      </c>
      <c r="I625" s="42">
        <v>77.209999999999994</v>
      </c>
    </row>
    <row r="626" spans="1:9" ht="18" customHeight="1">
      <c r="A626" s="41" t="str">
        <f t="shared" si="12"/>
        <v>888USD</v>
      </c>
      <c r="B626" s="42" t="s">
        <v>406</v>
      </c>
      <c r="C626" s="42">
        <v>888</v>
      </c>
      <c r="D626" s="42">
        <v>20020</v>
      </c>
      <c r="E626" s="42" t="s">
        <v>11</v>
      </c>
      <c r="F626" s="42" t="s">
        <v>28</v>
      </c>
      <c r="G626" s="42" t="s">
        <v>11</v>
      </c>
      <c r="H626" s="42">
        <v>-2.4959542199999998</v>
      </c>
      <c r="I626" s="42">
        <v>-2.5</v>
      </c>
    </row>
    <row r="627" spans="1:9" ht="18" customHeight="1">
      <c r="A627" s="41" t="str">
        <f t="shared" si="12"/>
        <v>888MYR</v>
      </c>
      <c r="B627" s="42" t="s">
        <v>406</v>
      </c>
      <c r="C627" s="42">
        <v>888</v>
      </c>
      <c r="D627" s="42">
        <v>20020</v>
      </c>
      <c r="E627" s="42" t="s">
        <v>11</v>
      </c>
      <c r="F627" s="42" t="s">
        <v>28</v>
      </c>
      <c r="G627" s="42" t="s">
        <v>28</v>
      </c>
      <c r="H627" s="42">
        <v>10.978468005930001</v>
      </c>
      <c r="I627" s="42">
        <v>2.48</v>
      </c>
    </row>
    <row r="628" spans="1:9" ht="18" customHeight="1">
      <c r="A628" s="41" t="str">
        <f t="shared" si="12"/>
        <v>888USD</v>
      </c>
      <c r="B628" s="42" t="s">
        <v>407</v>
      </c>
      <c r="C628" s="42">
        <v>888</v>
      </c>
      <c r="D628" s="42">
        <v>20020</v>
      </c>
      <c r="E628" s="42" t="s">
        <v>11</v>
      </c>
      <c r="F628" s="42" t="s">
        <v>28</v>
      </c>
      <c r="G628" s="42" t="s">
        <v>11</v>
      </c>
      <c r="H628" s="42">
        <v>-7.5424235550000001</v>
      </c>
      <c r="I628" s="42">
        <v>-7.54</v>
      </c>
    </row>
    <row r="629" spans="1:9" ht="18" customHeight="1">
      <c r="A629" s="41" t="str">
        <f t="shared" si="12"/>
        <v>888MYR</v>
      </c>
      <c r="B629" s="42" t="s">
        <v>407</v>
      </c>
      <c r="C629" s="42">
        <v>888</v>
      </c>
      <c r="D629" s="42">
        <v>20020</v>
      </c>
      <c r="E629" s="42" t="s">
        <v>11</v>
      </c>
      <c r="F629" s="42" t="s">
        <v>28</v>
      </c>
      <c r="G629" s="42" t="s">
        <v>28</v>
      </c>
      <c r="H629" s="42">
        <v>32.968939927439997</v>
      </c>
      <c r="I629" s="42">
        <v>7.45</v>
      </c>
    </row>
    <row r="630" spans="1:9" ht="18" customHeight="1">
      <c r="A630" s="41" t="str">
        <f t="shared" si="12"/>
        <v>888MYR</v>
      </c>
      <c r="B630" s="42" t="s">
        <v>408</v>
      </c>
      <c r="C630" s="42">
        <v>888</v>
      </c>
      <c r="D630" s="42">
        <v>20020</v>
      </c>
      <c r="E630" s="42" t="s">
        <v>28</v>
      </c>
      <c r="F630" s="42" t="s">
        <v>10</v>
      </c>
      <c r="G630" s="42" t="s">
        <v>28</v>
      </c>
      <c r="H630" s="42">
        <v>-1599.5375205119999</v>
      </c>
      <c r="I630" s="42">
        <v>-361.68</v>
      </c>
    </row>
    <row r="631" spans="1:9" ht="18" customHeight="1">
      <c r="A631" s="41" t="str">
        <f t="shared" si="12"/>
        <v>888JPY</v>
      </c>
      <c r="B631" s="42" t="s">
        <v>408</v>
      </c>
      <c r="C631" s="42">
        <v>888</v>
      </c>
      <c r="D631" s="42">
        <v>20020</v>
      </c>
      <c r="E631" s="42" t="s">
        <v>28</v>
      </c>
      <c r="F631" s="42" t="s">
        <v>10</v>
      </c>
      <c r="G631" s="42" t="s">
        <v>10</v>
      </c>
      <c r="H631" s="42">
        <v>41442.068472749997</v>
      </c>
      <c r="I631" s="42">
        <v>373.03</v>
      </c>
    </row>
    <row r="632" spans="1:9" ht="18" customHeight="1">
      <c r="A632" s="41" t="str">
        <f t="shared" si="12"/>
        <v>888JPY</v>
      </c>
      <c r="B632" s="42" t="s">
        <v>9</v>
      </c>
      <c r="C632" s="42">
        <v>888</v>
      </c>
      <c r="D632" s="42">
        <v>20020</v>
      </c>
      <c r="E632" s="42" t="s">
        <v>10</v>
      </c>
      <c r="F632" s="42" t="s">
        <v>11</v>
      </c>
      <c r="G632" s="42" t="s">
        <v>10</v>
      </c>
      <c r="H632" s="42">
        <v>-41287.390329858703</v>
      </c>
      <c r="I632" s="42">
        <v>-371.64</v>
      </c>
    </row>
    <row r="633" spans="1:9" ht="18" customHeight="1">
      <c r="A633" s="41" t="str">
        <f t="shared" si="12"/>
        <v>888USD</v>
      </c>
      <c r="B633" s="42" t="s">
        <v>9</v>
      </c>
      <c r="C633" s="42">
        <v>888</v>
      </c>
      <c r="D633" s="42">
        <v>20020</v>
      </c>
      <c r="E633" s="42" t="s">
        <v>10</v>
      </c>
      <c r="F633" s="42" t="s">
        <v>11</v>
      </c>
      <c r="G633" s="42" t="s">
        <v>11</v>
      </c>
      <c r="H633" s="42">
        <v>361.99480040999998</v>
      </c>
      <c r="I633" s="42">
        <v>361.99</v>
      </c>
    </row>
    <row r="634" spans="1:9" ht="18" customHeight="1">
      <c r="A634" s="41" t="str">
        <f t="shared" si="12"/>
        <v>888USD</v>
      </c>
      <c r="B634" s="42" t="s">
        <v>409</v>
      </c>
      <c r="C634" s="42">
        <v>888</v>
      </c>
      <c r="D634" s="42">
        <v>20020</v>
      </c>
      <c r="E634" s="42" t="s">
        <v>11</v>
      </c>
      <c r="F634" s="42" t="s">
        <v>28</v>
      </c>
      <c r="G634" s="42" t="s">
        <v>11</v>
      </c>
      <c r="H634" s="42">
        <v>-361.99480040999998</v>
      </c>
      <c r="I634" s="42">
        <v>-361.99</v>
      </c>
    </row>
    <row r="635" spans="1:9" ht="18" customHeight="1">
      <c r="A635" s="41" t="str">
        <f t="shared" si="12"/>
        <v>888MYR</v>
      </c>
      <c r="B635" s="42" t="s">
        <v>409</v>
      </c>
      <c r="C635" s="42">
        <v>888</v>
      </c>
      <c r="D635" s="42">
        <v>20020</v>
      </c>
      <c r="E635" s="42" t="s">
        <v>11</v>
      </c>
      <c r="F635" s="42" t="s">
        <v>28</v>
      </c>
      <c r="G635" s="42" t="s">
        <v>28</v>
      </c>
      <c r="H635" s="42">
        <v>1581.8814477900801</v>
      </c>
      <c r="I635" s="42">
        <v>357.69</v>
      </c>
    </row>
    <row r="636" spans="1:9" ht="18" customHeight="1">
      <c r="A636" s="41" t="str">
        <f t="shared" si="12"/>
        <v>888JPY</v>
      </c>
      <c r="B636" s="42" t="s">
        <v>410</v>
      </c>
      <c r="C636" s="42">
        <v>888</v>
      </c>
      <c r="D636" s="42">
        <v>20020</v>
      </c>
      <c r="E636" s="42" t="s">
        <v>10</v>
      </c>
      <c r="F636" s="42" t="s">
        <v>28</v>
      </c>
      <c r="G636" s="42" t="s">
        <v>10</v>
      </c>
      <c r="H636" s="42">
        <v>-38164.729249999997</v>
      </c>
      <c r="I636" s="42">
        <v>-343.53</v>
      </c>
    </row>
    <row r="637" spans="1:9" ht="18" customHeight="1">
      <c r="A637" s="41" t="str">
        <f t="shared" si="12"/>
        <v>888MYR</v>
      </c>
      <c r="B637" s="42" t="s">
        <v>410</v>
      </c>
      <c r="C637" s="42">
        <v>888</v>
      </c>
      <c r="D637" s="42">
        <v>20020</v>
      </c>
      <c r="E637" s="42" t="s">
        <v>10</v>
      </c>
      <c r="F637" s="42" t="s">
        <v>28</v>
      </c>
      <c r="G637" s="42" t="s">
        <v>28</v>
      </c>
      <c r="H637" s="42">
        <v>1284.1121353874801</v>
      </c>
      <c r="I637" s="42">
        <v>290.36</v>
      </c>
    </row>
    <row r="638" spans="1:9" ht="18" customHeight="1">
      <c r="A638" s="41" t="str">
        <f t="shared" si="12"/>
        <v>888MYR</v>
      </c>
      <c r="B638" s="42" t="s">
        <v>411</v>
      </c>
      <c r="C638" s="42">
        <v>888</v>
      </c>
      <c r="D638" s="42">
        <v>20020</v>
      </c>
      <c r="E638" s="42" t="s">
        <v>28</v>
      </c>
      <c r="F638" s="42" t="s">
        <v>10</v>
      </c>
      <c r="G638" s="42" t="s">
        <v>28</v>
      </c>
      <c r="H638" s="42">
        <v>-437.09103456862601</v>
      </c>
      <c r="I638" s="42">
        <v>-98.83</v>
      </c>
    </row>
    <row r="639" spans="1:9" ht="18" customHeight="1">
      <c r="A639" s="41" t="str">
        <f t="shared" si="12"/>
        <v>888JPY</v>
      </c>
      <c r="B639" s="42" t="s">
        <v>411</v>
      </c>
      <c r="C639" s="42">
        <v>888</v>
      </c>
      <c r="D639" s="42">
        <v>20020</v>
      </c>
      <c r="E639" s="42" t="s">
        <v>28</v>
      </c>
      <c r="F639" s="42" t="s">
        <v>10</v>
      </c>
      <c r="G639" s="42" t="s">
        <v>10</v>
      </c>
      <c r="H639" s="42">
        <v>11364.193778999999</v>
      </c>
      <c r="I639" s="42">
        <v>102.29</v>
      </c>
    </row>
    <row r="640" spans="1:9" ht="18" customHeight="1">
      <c r="A640" s="41" t="str">
        <f t="shared" si="12"/>
        <v>888JPY</v>
      </c>
      <c r="B640" s="42" t="s">
        <v>412</v>
      </c>
      <c r="C640" s="42">
        <v>888</v>
      </c>
      <c r="D640" s="42">
        <v>20020</v>
      </c>
      <c r="E640" s="42" t="s">
        <v>10</v>
      </c>
      <c r="F640" s="42" t="s">
        <v>11</v>
      </c>
      <c r="G640" s="42" t="s">
        <v>10</v>
      </c>
      <c r="H640" s="42">
        <v>-11438.3511881919</v>
      </c>
      <c r="I640" s="42">
        <v>-102.96</v>
      </c>
    </row>
    <row r="641" spans="1:9" ht="18" customHeight="1">
      <c r="A641" s="41" t="str">
        <f t="shared" si="12"/>
        <v>888USD</v>
      </c>
      <c r="B641" s="42" t="s">
        <v>412</v>
      </c>
      <c r="C641" s="42">
        <v>888</v>
      </c>
      <c r="D641" s="42">
        <v>20020</v>
      </c>
      <c r="E641" s="42" t="s">
        <v>10</v>
      </c>
      <c r="F641" s="42" t="s">
        <v>11</v>
      </c>
      <c r="G641" s="42" t="s">
        <v>11</v>
      </c>
      <c r="H641" s="42">
        <v>100.14609192</v>
      </c>
      <c r="I641" s="42">
        <v>100.15</v>
      </c>
    </row>
    <row r="642" spans="1:9" ht="18" customHeight="1">
      <c r="A642" s="41" t="str">
        <f t="shared" si="12"/>
        <v>888USD</v>
      </c>
      <c r="B642" s="42" t="s">
        <v>413</v>
      </c>
      <c r="C642" s="42">
        <v>888</v>
      </c>
      <c r="D642" s="42">
        <v>20020</v>
      </c>
      <c r="E642" s="42" t="s">
        <v>11</v>
      </c>
      <c r="F642" s="42" t="s">
        <v>28</v>
      </c>
      <c r="G642" s="42" t="s">
        <v>11</v>
      </c>
      <c r="H642" s="42">
        <v>-100.14609192</v>
      </c>
      <c r="I642" s="42">
        <v>-100.15</v>
      </c>
    </row>
    <row r="643" spans="1:9" ht="18" customHeight="1">
      <c r="A643" s="41" t="str">
        <f t="shared" ref="A643:A706" si="13">CONCATENATE(C643,G643)</f>
        <v>888MYR</v>
      </c>
      <c r="B643" s="42" t="s">
        <v>413</v>
      </c>
      <c r="C643" s="42">
        <v>888</v>
      </c>
      <c r="D643" s="42">
        <v>20020</v>
      </c>
      <c r="E643" s="42" t="s">
        <v>11</v>
      </c>
      <c r="F643" s="42" t="s">
        <v>28</v>
      </c>
      <c r="G643" s="42" t="s">
        <v>28</v>
      </c>
      <c r="H643" s="42">
        <v>436.83687084189597</v>
      </c>
      <c r="I643" s="42">
        <v>98.78</v>
      </c>
    </row>
    <row r="644" spans="1:9" ht="18" customHeight="1">
      <c r="A644" s="41" t="str">
        <f t="shared" si="13"/>
        <v>888USD</v>
      </c>
      <c r="B644" s="42" t="s">
        <v>414</v>
      </c>
      <c r="C644" s="42">
        <v>888</v>
      </c>
      <c r="D644" s="42">
        <v>20020</v>
      </c>
      <c r="E644" s="42" t="s">
        <v>11</v>
      </c>
      <c r="F644" s="42" t="s">
        <v>28</v>
      </c>
      <c r="G644" s="42" t="s">
        <v>11</v>
      </c>
      <c r="H644" s="42">
        <v>-2.0799618500000001</v>
      </c>
      <c r="I644" s="42">
        <v>-2.08</v>
      </c>
    </row>
    <row r="645" spans="1:9" ht="18" customHeight="1">
      <c r="A645" s="41" t="str">
        <f t="shared" si="13"/>
        <v>888MYR</v>
      </c>
      <c r="B645" s="42" t="s">
        <v>414</v>
      </c>
      <c r="C645" s="42">
        <v>888</v>
      </c>
      <c r="D645" s="42">
        <v>20020</v>
      </c>
      <c r="E645" s="42" t="s">
        <v>11</v>
      </c>
      <c r="F645" s="42" t="s">
        <v>28</v>
      </c>
      <c r="G645" s="42" t="s">
        <v>28</v>
      </c>
      <c r="H645" s="42">
        <v>9.1057955782250009</v>
      </c>
      <c r="I645" s="42">
        <v>2.06</v>
      </c>
    </row>
    <row r="646" spans="1:9" ht="18" customHeight="1">
      <c r="A646" s="41" t="str">
        <f t="shared" si="13"/>
        <v>888USD</v>
      </c>
      <c r="B646" s="42" t="s">
        <v>415</v>
      </c>
      <c r="C646" s="42">
        <v>888</v>
      </c>
      <c r="D646" s="42">
        <v>20020</v>
      </c>
      <c r="E646" s="42" t="s">
        <v>11</v>
      </c>
      <c r="F646" s="42" t="s">
        <v>28</v>
      </c>
      <c r="G646" s="42" t="s">
        <v>11</v>
      </c>
      <c r="H646" s="42">
        <v>-4.2911879624999996</v>
      </c>
      <c r="I646" s="42">
        <v>-4.29</v>
      </c>
    </row>
    <row r="647" spans="1:9" ht="18" customHeight="1">
      <c r="A647" s="41" t="str">
        <f t="shared" si="13"/>
        <v>888MYR</v>
      </c>
      <c r="B647" s="42" t="s">
        <v>415</v>
      </c>
      <c r="C647" s="42">
        <v>888</v>
      </c>
      <c r="D647" s="42">
        <v>20020</v>
      </c>
      <c r="E647" s="42" t="s">
        <v>11</v>
      </c>
      <c r="F647" s="42" t="s">
        <v>28</v>
      </c>
      <c r="G647" s="42" t="s">
        <v>28</v>
      </c>
      <c r="H647" s="42">
        <v>18.719932018655001</v>
      </c>
      <c r="I647" s="42">
        <v>4.2300000000000004</v>
      </c>
    </row>
    <row r="648" spans="1:9" ht="18" customHeight="1">
      <c r="A648" s="41" t="str">
        <f t="shared" si="13"/>
        <v>888USD</v>
      </c>
      <c r="B648" s="42" t="s">
        <v>416</v>
      </c>
      <c r="C648" s="42">
        <v>888</v>
      </c>
      <c r="D648" s="42">
        <v>20020</v>
      </c>
      <c r="E648" s="42" t="s">
        <v>11</v>
      </c>
      <c r="F648" s="42" t="s">
        <v>28</v>
      </c>
      <c r="G648" s="42" t="s">
        <v>11</v>
      </c>
      <c r="H648" s="42">
        <v>-6.2853529625000002</v>
      </c>
      <c r="I648" s="42">
        <v>-6.29</v>
      </c>
    </row>
    <row r="649" spans="1:9" ht="18" customHeight="1">
      <c r="A649" s="41" t="str">
        <f t="shared" si="13"/>
        <v>888MYR</v>
      </c>
      <c r="B649" s="42" t="s">
        <v>416</v>
      </c>
      <c r="C649" s="42">
        <v>888</v>
      </c>
      <c r="D649" s="42">
        <v>20020</v>
      </c>
      <c r="E649" s="42" t="s">
        <v>11</v>
      </c>
      <c r="F649" s="42" t="s">
        <v>28</v>
      </c>
      <c r="G649" s="42" t="s">
        <v>28</v>
      </c>
      <c r="H649" s="42">
        <v>27.336225099699998</v>
      </c>
      <c r="I649" s="42">
        <v>6.18</v>
      </c>
    </row>
    <row r="650" spans="1:9" ht="18" customHeight="1">
      <c r="A650" s="41" t="str">
        <f t="shared" si="13"/>
        <v>888MYR</v>
      </c>
      <c r="B650" s="42" t="s">
        <v>417</v>
      </c>
      <c r="C650" s="42">
        <v>888</v>
      </c>
      <c r="D650" s="42">
        <v>20020</v>
      </c>
      <c r="E650" s="42" t="s">
        <v>28</v>
      </c>
      <c r="F650" s="42" t="s">
        <v>31</v>
      </c>
      <c r="G650" s="42" t="s">
        <v>28</v>
      </c>
      <c r="H650" s="42">
        <v>-628.05398424616806</v>
      </c>
      <c r="I650" s="42">
        <v>-142.01</v>
      </c>
    </row>
    <row r="651" spans="1:9" ht="18" customHeight="1">
      <c r="A651" s="41" t="str">
        <f t="shared" si="13"/>
        <v>888EUR</v>
      </c>
      <c r="B651" s="42" t="s">
        <v>417</v>
      </c>
      <c r="C651" s="42">
        <v>888</v>
      </c>
      <c r="D651" s="42">
        <v>20020</v>
      </c>
      <c r="E651" s="42" t="s">
        <v>28</v>
      </c>
      <c r="F651" s="42" t="s">
        <v>31</v>
      </c>
      <c r="G651" s="42" t="s">
        <v>31</v>
      </c>
      <c r="H651" s="42">
        <v>133.27542077212499</v>
      </c>
      <c r="I651" s="42">
        <v>143.74</v>
      </c>
    </row>
    <row r="652" spans="1:9" ht="18" customHeight="1">
      <c r="A652" s="41" t="str">
        <f t="shared" si="13"/>
        <v>888USD</v>
      </c>
      <c r="B652" s="42" t="s">
        <v>418</v>
      </c>
      <c r="C652" s="42">
        <v>888</v>
      </c>
      <c r="D652" s="42">
        <v>20030</v>
      </c>
      <c r="E652" s="42" t="s">
        <v>11</v>
      </c>
      <c r="F652" s="42" t="s">
        <v>28</v>
      </c>
      <c r="G652" s="42" t="s">
        <v>11</v>
      </c>
      <c r="H652" s="42">
        <v>-140.439024112</v>
      </c>
      <c r="I652" s="42">
        <v>-140.44</v>
      </c>
    </row>
    <row r="653" spans="1:9" ht="18" customHeight="1">
      <c r="A653" s="41" t="str">
        <f t="shared" si="13"/>
        <v>888MYR</v>
      </c>
      <c r="B653" s="42" t="s">
        <v>418</v>
      </c>
      <c r="C653" s="42">
        <v>888</v>
      </c>
      <c r="D653" s="42">
        <v>20030</v>
      </c>
      <c r="E653" s="42" t="s">
        <v>11</v>
      </c>
      <c r="F653" s="42" t="s">
        <v>28</v>
      </c>
      <c r="G653" s="42" t="s">
        <v>28</v>
      </c>
      <c r="H653" s="42">
        <v>616.92126657748304</v>
      </c>
      <c r="I653" s="42">
        <v>139.5</v>
      </c>
    </row>
    <row r="654" spans="1:9" ht="18" customHeight="1">
      <c r="A654" s="41" t="str">
        <f t="shared" si="13"/>
        <v>888MYR</v>
      </c>
      <c r="B654" s="42" t="s">
        <v>419</v>
      </c>
      <c r="C654" s="42">
        <v>888</v>
      </c>
      <c r="D654" s="42">
        <v>20020</v>
      </c>
      <c r="E654" s="42" t="s">
        <v>28</v>
      </c>
      <c r="F654" s="42" t="s">
        <v>31</v>
      </c>
      <c r="G654" s="42" t="s">
        <v>28</v>
      </c>
      <c r="H654" s="42">
        <v>-2631.8099718726398</v>
      </c>
      <c r="I654" s="42">
        <v>-595.1</v>
      </c>
    </row>
    <row r="655" spans="1:9" ht="18" customHeight="1">
      <c r="A655" s="41" t="str">
        <f t="shared" si="13"/>
        <v>888EUR</v>
      </c>
      <c r="B655" s="42" t="s">
        <v>419</v>
      </c>
      <c r="C655" s="42">
        <v>888</v>
      </c>
      <c r="D655" s="42">
        <v>20020</v>
      </c>
      <c r="E655" s="42" t="s">
        <v>28</v>
      </c>
      <c r="F655" s="42" t="s">
        <v>31</v>
      </c>
      <c r="G655" s="42" t="s">
        <v>31</v>
      </c>
      <c r="H655" s="42">
        <v>560.13984849950998</v>
      </c>
      <c r="I655" s="42">
        <v>604.14</v>
      </c>
    </row>
    <row r="656" spans="1:9" ht="18" customHeight="1">
      <c r="A656" s="41" t="str">
        <f t="shared" si="13"/>
        <v>888USD</v>
      </c>
      <c r="B656" s="42" t="s">
        <v>420</v>
      </c>
      <c r="C656" s="42">
        <v>888</v>
      </c>
      <c r="D656" s="42">
        <v>20030</v>
      </c>
      <c r="E656" s="42" t="s">
        <v>11</v>
      </c>
      <c r="F656" s="42" t="s">
        <v>28</v>
      </c>
      <c r="G656" s="42" t="s">
        <v>11</v>
      </c>
      <c r="H656" s="42">
        <v>-588.96408599050005</v>
      </c>
      <c r="I656" s="42">
        <v>-588.96</v>
      </c>
    </row>
    <row r="657" spans="1:9" ht="18" customHeight="1">
      <c r="A657" s="41" t="str">
        <f t="shared" si="13"/>
        <v>888MYR</v>
      </c>
      <c r="B657" s="42" t="s">
        <v>420</v>
      </c>
      <c r="C657" s="42">
        <v>888</v>
      </c>
      <c r="D657" s="42">
        <v>20030</v>
      </c>
      <c r="E657" s="42" t="s">
        <v>11</v>
      </c>
      <c r="F657" s="42" t="s">
        <v>28</v>
      </c>
      <c r="G657" s="42" t="s">
        <v>28</v>
      </c>
      <c r="H657" s="42">
        <v>2579.52457903702</v>
      </c>
      <c r="I657" s="42">
        <v>583.27</v>
      </c>
    </row>
    <row r="658" spans="1:9" ht="18" customHeight="1">
      <c r="A658" s="41" t="str">
        <f t="shared" si="13"/>
        <v>888EUR</v>
      </c>
      <c r="B658" s="42" t="s">
        <v>421</v>
      </c>
      <c r="C658" s="42">
        <v>888</v>
      </c>
      <c r="D658" s="42">
        <v>20030</v>
      </c>
      <c r="E658" s="42" t="s">
        <v>31</v>
      </c>
      <c r="F658" s="42" t="s">
        <v>11</v>
      </c>
      <c r="G658" s="42" t="s">
        <v>31</v>
      </c>
      <c r="H658" s="42">
        <v>-133.27542077212499</v>
      </c>
      <c r="I658" s="42">
        <v>-143.74</v>
      </c>
    </row>
    <row r="659" spans="1:9" ht="18" customHeight="1">
      <c r="A659" s="41" t="str">
        <f t="shared" si="13"/>
        <v>888USD</v>
      </c>
      <c r="B659" s="42" t="s">
        <v>421</v>
      </c>
      <c r="C659" s="42">
        <v>888</v>
      </c>
      <c r="D659" s="42">
        <v>20030</v>
      </c>
      <c r="E659" s="42" t="s">
        <v>31</v>
      </c>
      <c r="F659" s="42" t="s">
        <v>11</v>
      </c>
      <c r="G659" s="42" t="s">
        <v>11</v>
      </c>
      <c r="H659" s="42">
        <v>141.492065533448</v>
      </c>
      <c r="I659" s="42">
        <v>141.49</v>
      </c>
    </row>
    <row r="660" spans="1:9" ht="18" customHeight="1">
      <c r="A660" s="41" t="str">
        <f t="shared" si="13"/>
        <v>888EUR</v>
      </c>
      <c r="B660" s="42" t="s">
        <v>422</v>
      </c>
      <c r="C660" s="42">
        <v>888</v>
      </c>
      <c r="D660" s="42">
        <v>20030</v>
      </c>
      <c r="E660" s="42" t="s">
        <v>31</v>
      </c>
      <c r="F660" s="42" t="s">
        <v>11</v>
      </c>
      <c r="G660" s="42" t="s">
        <v>31</v>
      </c>
      <c r="H660" s="42">
        <v>-560.13984849950998</v>
      </c>
      <c r="I660" s="42">
        <v>-604.14</v>
      </c>
    </row>
    <row r="661" spans="1:9" ht="18" customHeight="1">
      <c r="A661" s="41" t="str">
        <f t="shared" si="13"/>
        <v>888USD</v>
      </c>
      <c r="B661" s="42" t="s">
        <v>422</v>
      </c>
      <c r="C661" s="42">
        <v>888</v>
      </c>
      <c r="D661" s="42">
        <v>20030</v>
      </c>
      <c r="E661" s="42" t="s">
        <v>31</v>
      </c>
      <c r="F661" s="42" t="s">
        <v>11</v>
      </c>
      <c r="G661" s="42" t="s">
        <v>11</v>
      </c>
      <c r="H661" s="42">
        <v>594.30276899882801</v>
      </c>
      <c r="I661" s="42">
        <v>594.29999999999995</v>
      </c>
    </row>
    <row r="662" spans="1:9" ht="18" customHeight="1">
      <c r="A662" s="41" t="str">
        <f t="shared" si="13"/>
        <v>888MYR</v>
      </c>
      <c r="B662" s="42" t="s">
        <v>423</v>
      </c>
      <c r="C662" s="42">
        <v>888</v>
      </c>
      <c r="D662" s="42">
        <v>20020</v>
      </c>
      <c r="E662" s="42" t="s">
        <v>28</v>
      </c>
      <c r="F662" s="42" t="s">
        <v>10</v>
      </c>
      <c r="G662" s="42" t="s">
        <v>28</v>
      </c>
      <c r="H662" s="42">
        <v>-15.846552104700001</v>
      </c>
      <c r="I662" s="42">
        <v>-3.58</v>
      </c>
    </row>
    <row r="663" spans="1:9" ht="18" customHeight="1">
      <c r="A663" s="41" t="str">
        <f t="shared" si="13"/>
        <v>888JPY</v>
      </c>
      <c r="B663" s="42" t="s">
        <v>423</v>
      </c>
      <c r="C663" s="42">
        <v>888</v>
      </c>
      <c r="D663" s="42">
        <v>20020</v>
      </c>
      <c r="E663" s="42" t="s">
        <v>28</v>
      </c>
      <c r="F663" s="42" t="s">
        <v>10</v>
      </c>
      <c r="G663" s="42" t="s">
        <v>10</v>
      </c>
      <c r="H663" s="42">
        <v>416.68015000000003</v>
      </c>
      <c r="I663" s="42">
        <v>3.75</v>
      </c>
    </row>
    <row r="664" spans="1:9" ht="18" customHeight="1">
      <c r="A664" s="41" t="str">
        <f t="shared" si="13"/>
        <v>888MYR</v>
      </c>
      <c r="B664" s="42" t="s">
        <v>424</v>
      </c>
      <c r="C664" s="42">
        <v>888</v>
      </c>
      <c r="D664" s="42">
        <v>20020</v>
      </c>
      <c r="E664" s="42" t="s">
        <v>28</v>
      </c>
      <c r="F664" s="42" t="s">
        <v>10</v>
      </c>
      <c r="G664" s="42" t="s">
        <v>28</v>
      </c>
      <c r="H664" s="42">
        <v>-30.510151565000001</v>
      </c>
      <c r="I664" s="42">
        <v>-6.9</v>
      </c>
    </row>
    <row r="665" spans="1:9" ht="18" customHeight="1">
      <c r="A665" s="41" t="str">
        <f t="shared" si="13"/>
        <v>888JPY</v>
      </c>
      <c r="B665" s="42" t="s">
        <v>424</v>
      </c>
      <c r="C665" s="42">
        <v>888</v>
      </c>
      <c r="D665" s="42">
        <v>20020</v>
      </c>
      <c r="E665" s="42" t="s">
        <v>28</v>
      </c>
      <c r="F665" s="42" t="s">
        <v>10</v>
      </c>
      <c r="G665" s="42" t="s">
        <v>10</v>
      </c>
      <c r="H665" s="42">
        <v>805.79834249999999</v>
      </c>
      <c r="I665" s="42">
        <v>7.25</v>
      </c>
    </row>
    <row r="666" spans="1:9" ht="18" customHeight="1">
      <c r="A666" s="41" t="str">
        <f t="shared" si="13"/>
        <v>888USD</v>
      </c>
      <c r="B666" s="42" t="s">
        <v>425</v>
      </c>
      <c r="C666" s="42">
        <v>888</v>
      </c>
      <c r="D666" s="42">
        <v>20020</v>
      </c>
      <c r="E666" s="42" t="s">
        <v>11</v>
      </c>
      <c r="F666" s="42" t="s">
        <v>28</v>
      </c>
      <c r="G666" s="42" t="s">
        <v>11</v>
      </c>
      <c r="H666" s="42">
        <v>-2.0799618500000001</v>
      </c>
      <c r="I666" s="42">
        <v>-2.08</v>
      </c>
    </row>
    <row r="667" spans="1:9" ht="18" customHeight="1">
      <c r="A667" s="41" t="str">
        <f t="shared" si="13"/>
        <v>888MYR</v>
      </c>
      <c r="B667" s="42" t="s">
        <v>425</v>
      </c>
      <c r="C667" s="42">
        <v>888</v>
      </c>
      <c r="D667" s="42">
        <v>20020</v>
      </c>
      <c r="E667" s="42" t="s">
        <v>11</v>
      </c>
      <c r="F667" s="42" t="s">
        <v>28</v>
      </c>
      <c r="G667" s="42" t="s">
        <v>28</v>
      </c>
      <c r="H667" s="42">
        <v>9.1558779649499993</v>
      </c>
      <c r="I667" s="42">
        <v>2.0699999999999998</v>
      </c>
    </row>
    <row r="668" spans="1:9" ht="18" customHeight="1">
      <c r="A668" s="41" t="str">
        <f t="shared" si="13"/>
        <v>888USD</v>
      </c>
      <c r="B668" s="42" t="s">
        <v>426</v>
      </c>
      <c r="C668" s="42">
        <v>888</v>
      </c>
      <c r="D668" s="42">
        <v>20020</v>
      </c>
      <c r="E668" s="42" t="s">
        <v>11</v>
      </c>
      <c r="F668" s="42" t="s">
        <v>28</v>
      </c>
      <c r="G668" s="42" t="s">
        <v>11</v>
      </c>
      <c r="H668" s="42">
        <v>-4.2911879624999996</v>
      </c>
      <c r="I668" s="42">
        <v>-4.29</v>
      </c>
    </row>
    <row r="669" spans="1:9" ht="18" customHeight="1">
      <c r="A669" s="41" t="str">
        <f t="shared" si="13"/>
        <v>888MYR</v>
      </c>
      <c r="B669" s="42" t="s">
        <v>426</v>
      </c>
      <c r="C669" s="42">
        <v>888</v>
      </c>
      <c r="D669" s="42">
        <v>20020</v>
      </c>
      <c r="E669" s="42" t="s">
        <v>11</v>
      </c>
      <c r="F669" s="42" t="s">
        <v>28</v>
      </c>
      <c r="G669" s="42" t="s">
        <v>28</v>
      </c>
      <c r="H669" s="42">
        <v>18.820723576355</v>
      </c>
      <c r="I669" s="42">
        <v>4.26</v>
      </c>
    </row>
    <row r="670" spans="1:9" ht="18" customHeight="1">
      <c r="A670" s="41" t="str">
        <f t="shared" si="13"/>
        <v>888USD</v>
      </c>
      <c r="B670" s="42" t="s">
        <v>427</v>
      </c>
      <c r="C670" s="42">
        <v>888</v>
      </c>
      <c r="D670" s="42">
        <v>20020</v>
      </c>
      <c r="E670" s="42" t="s">
        <v>11</v>
      </c>
      <c r="F670" s="42" t="s">
        <v>28</v>
      </c>
      <c r="G670" s="42" t="s">
        <v>11</v>
      </c>
      <c r="H670" s="42">
        <v>-2.0799618500000001</v>
      </c>
      <c r="I670" s="42">
        <v>-2.08</v>
      </c>
    </row>
    <row r="671" spans="1:9" ht="18" customHeight="1">
      <c r="A671" s="41" t="str">
        <f t="shared" si="13"/>
        <v>888MYR</v>
      </c>
      <c r="B671" s="42" t="s">
        <v>427</v>
      </c>
      <c r="C671" s="42">
        <v>888</v>
      </c>
      <c r="D671" s="42">
        <v>20020</v>
      </c>
      <c r="E671" s="42" t="s">
        <v>11</v>
      </c>
      <c r="F671" s="42" t="s">
        <v>28</v>
      </c>
      <c r="G671" s="42" t="s">
        <v>28</v>
      </c>
      <c r="H671" s="42">
        <v>9.1599663230499999</v>
      </c>
      <c r="I671" s="42">
        <v>2.0699999999999998</v>
      </c>
    </row>
    <row r="672" spans="1:9" ht="18" customHeight="1">
      <c r="A672" s="41" t="str">
        <f t="shared" si="13"/>
        <v>888USD</v>
      </c>
      <c r="B672" s="42" t="s">
        <v>428</v>
      </c>
      <c r="C672" s="42">
        <v>888</v>
      </c>
      <c r="D672" s="42">
        <v>20020</v>
      </c>
      <c r="E672" s="42" t="s">
        <v>11</v>
      </c>
      <c r="F672" s="42" t="s">
        <v>28</v>
      </c>
      <c r="G672" s="42" t="s">
        <v>11</v>
      </c>
      <c r="H672" s="42">
        <v>-4.2911879624999996</v>
      </c>
      <c r="I672" s="42">
        <v>-4.29</v>
      </c>
    </row>
    <row r="673" spans="1:9" ht="18" customHeight="1">
      <c r="A673" s="41" t="str">
        <f t="shared" si="13"/>
        <v>888MYR</v>
      </c>
      <c r="B673" s="42" t="s">
        <v>428</v>
      </c>
      <c r="C673" s="42">
        <v>888</v>
      </c>
      <c r="D673" s="42">
        <v>20020</v>
      </c>
      <c r="E673" s="42" t="s">
        <v>11</v>
      </c>
      <c r="F673" s="42" t="s">
        <v>28</v>
      </c>
      <c r="G673" s="42" t="s">
        <v>28</v>
      </c>
      <c r="H673" s="42">
        <v>18.83122269695</v>
      </c>
      <c r="I673" s="42">
        <v>4.26</v>
      </c>
    </row>
    <row r="674" spans="1:9" ht="18" customHeight="1">
      <c r="A674" s="41" t="str">
        <f t="shared" si="13"/>
        <v>888MYR</v>
      </c>
      <c r="B674" s="42" t="s">
        <v>429</v>
      </c>
      <c r="C674" s="42">
        <v>888</v>
      </c>
      <c r="D674" s="42">
        <v>20030</v>
      </c>
      <c r="E674" s="42" t="s">
        <v>28</v>
      </c>
      <c r="F674" s="42" t="s">
        <v>11</v>
      </c>
      <c r="G674" s="42" t="s">
        <v>28</v>
      </c>
      <c r="H674" s="42">
        <v>-36.753521647379998</v>
      </c>
      <c r="I674" s="42">
        <v>-8.31</v>
      </c>
    </row>
    <row r="675" spans="1:9" ht="18" customHeight="1">
      <c r="A675" s="41" t="str">
        <f t="shared" si="13"/>
        <v>888USD</v>
      </c>
      <c r="B675" s="42" t="s">
        <v>429</v>
      </c>
      <c r="C675" s="42">
        <v>888</v>
      </c>
      <c r="D675" s="42">
        <v>20030</v>
      </c>
      <c r="E675" s="42" t="s">
        <v>28</v>
      </c>
      <c r="F675" s="42" t="s">
        <v>11</v>
      </c>
      <c r="G675" s="42" t="s">
        <v>11</v>
      </c>
      <c r="H675" s="42">
        <v>8.3198474000000004</v>
      </c>
      <c r="I675" s="42">
        <v>8.32</v>
      </c>
    </row>
    <row r="676" spans="1:9" ht="18" customHeight="1">
      <c r="A676" s="41" t="str">
        <f t="shared" si="13"/>
        <v>888MYR</v>
      </c>
      <c r="B676" s="42" t="s">
        <v>430</v>
      </c>
      <c r="C676" s="42">
        <v>888</v>
      </c>
      <c r="D676" s="42">
        <v>20030</v>
      </c>
      <c r="E676" s="42" t="s">
        <v>28</v>
      </c>
      <c r="F676" s="42" t="s">
        <v>11</v>
      </c>
      <c r="G676" s="42" t="s">
        <v>28</v>
      </c>
      <c r="H676" s="42">
        <v>-75.573509963459998</v>
      </c>
      <c r="I676" s="42">
        <v>-17.09</v>
      </c>
    </row>
    <row r="677" spans="1:9" ht="18" customHeight="1">
      <c r="A677" s="41" t="str">
        <f t="shared" si="13"/>
        <v>888USD</v>
      </c>
      <c r="B677" s="42" t="s">
        <v>430</v>
      </c>
      <c r="C677" s="42">
        <v>888</v>
      </c>
      <c r="D677" s="42">
        <v>20030</v>
      </c>
      <c r="E677" s="42" t="s">
        <v>28</v>
      </c>
      <c r="F677" s="42" t="s">
        <v>11</v>
      </c>
      <c r="G677" s="42" t="s">
        <v>11</v>
      </c>
      <c r="H677" s="42">
        <v>17.164751849999998</v>
      </c>
      <c r="I677" s="42">
        <v>17.16</v>
      </c>
    </row>
    <row r="678" spans="1:9" ht="18" customHeight="1">
      <c r="A678" s="41" t="str">
        <f t="shared" si="13"/>
        <v>888USD</v>
      </c>
      <c r="B678" s="42" t="s">
        <v>431</v>
      </c>
      <c r="C678" s="42">
        <v>888</v>
      </c>
      <c r="D678" s="42">
        <v>20030</v>
      </c>
      <c r="E678" s="42" t="s">
        <v>11</v>
      </c>
      <c r="F678" s="42" t="s">
        <v>28</v>
      </c>
      <c r="G678" s="42" t="s">
        <v>11</v>
      </c>
      <c r="H678" s="42">
        <v>-6.2398855500000003</v>
      </c>
      <c r="I678" s="42">
        <v>-6.24</v>
      </c>
    </row>
    <row r="679" spans="1:9" ht="18" customHeight="1">
      <c r="A679" s="41" t="str">
        <f t="shared" si="13"/>
        <v>888MYR</v>
      </c>
      <c r="B679" s="42" t="s">
        <v>431</v>
      </c>
      <c r="C679" s="42">
        <v>888</v>
      </c>
      <c r="D679" s="42">
        <v>20030</v>
      </c>
      <c r="E679" s="42" t="s">
        <v>11</v>
      </c>
      <c r="F679" s="42" t="s">
        <v>28</v>
      </c>
      <c r="G679" s="42" t="s">
        <v>28</v>
      </c>
      <c r="H679" s="42">
        <v>27.578019563550001</v>
      </c>
      <c r="I679" s="42">
        <v>6.24</v>
      </c>
    </row>
    <row r="680" spans="1:9" ht="18" customHeight="1">
      <c r="A680" s="41" t="str">
        <f t="shared" si="13"/>
        <v>888USD</v>
      </c>
      <c r="B680" s="42" t="s">
        <v>432</v>
      </c>
      <c r="C680" s="42">
        <v>888</v>
      </c>
      <c r="D680" s="42">
        <v>20020</v>
      </c>
      <c r="E680" s="42" t="s">
        <v>11</v>
      </c>
      <c r="F680" s="42" t="s">
        <v>28</v>
      </c>
      <c r="G680" s="42" t="s">
        <v>11</v>
      </c>
      <c r="H680" s="42">
        <v>-2.0799618500000001</v>
      </c>
      <c r="I680" s="42">
        <v>-2.08</v>
      </c>
    </row>
    <row r="681" spans="1:9" ht="18" customHeight="1">
      <c r="A681" s="41" t="str">
        <f t="shared" si="13"/>
        <v>888MYR</v>
      </c>
      <c r="B681" s="42" t="s">
        <v>432</v>
      </c>
      <c r="C681" s="42">
        <v>888</v>
      </c>
      <c r="D681" s="42">
        <v>20020</v>
      </c>
      <c r="E681" s="42" t="s">
        <v>11</v>
      </c>
      <c r="F681" s="42" t="s">
        <v>28</v>
      </c>
      <c r="G681" s="42" t="s">
        <v>28</v>
      </c>
      <c r="H681" s="42">
        <v>9.1640546811500005</v>
      </c>
      <c r="I681" s="42">
        <v>2.0699999999999998</v>
      </c>
    </row>
    <row r="682" spans="1:9" ht="18" customHeight="1">
      <c r="A682" s="41" t="str">
        <f t="shared" si="13"/>
        <v>888USD</v>
      </c>
      <c r="B682" s="42" t="s">
        <v>433</v>
      </c>
      <c r="C682" s="42">
        <v>888</v>
      </c>
      <c r="D682" s="42">
        <v>20020</v>
      </c>
      <c r="E682" s="42" t="s">
        <v>11</v>
      </c>
      <c r="F682" s="42" t="s">
        <v>28</v>
      </c>
      <c r="G682" s="42" t="s">
        <v>11</v>
      </c>
      <c r="H682" s="42">
        <v>-4.2911879624999996</v>
      </c>
      <c r="I682" s="42">
        <v>-4.29</v>
      </c>
    </row>
    <row r="683" spans="1:9" ht="18" customHeight="1">
      <c r="A683" s="41" t="str">
        <f t="shared" si="13"/>
        <v>888MYR</v>
      </c>
      <c r="B683" s="42" t="s">
        <v>433</v>
      </c>
      <c r="C683" s="42">
        <v>888</v>
      </c>
      <c r="D683" s="42">
        <v>20020</v>
      </c>
      <c r="E683" s="42" t="s">
        <v>11</v>
      </c>
      <c r="F683" s="42" t="s">
        <v>28</v>
      </c>
      <c r="G683" s="42" t="s">
        <v>28</v>
      </c>
      <c r="H683" s="42">
        <v>18.841721817543</v>
      </c>
      <c r="I683" s="42">
        <v>4.26</v>
      </c>
    </row>
    <row r="684" spans="1:9" ht="18" customHeight="1">
      <c r="A684" s="41" t="str">
        <f t="shared" si="13"/>
        <v>888MYR</v>
      </c>
      <c r="B684" s="42" t="s">
        <v>434</v>
      </c>
      <c r="C684" s="42">
        <v>888</v>
      </c>
      <c r="D684" s="42">
        <v>20030</v>
      </c>
      <c r="E684" s="42" t="s">
        <v>28</v>
      </c>
      <c r="F684" s="42" t="s">
        <v>10</v>
      </c>
      <c r="G684" s="42" t="s">
        <v>28</v>
      </c>
      <c r="H684" s="42">
        <v>-49.944117030359997</v>
      </c>
      <c r="I684" s="42">
        <v>-11.29</v>
      </c>
    </row>
    <row r="685" spans="1:9" ht="18" customHeight="1">
      <c r="A685" s="41" t="str">
        <f t="shared" si="13"/>
        <v>888JPY</v>
      </c>
      <c r="B685" s="42" t="s">
        <v>434</v>
      </c>
      <c r="C685" s="42">
        <v>888</v>
      </c>
      <c r="D685" s="42">
        <v>20030</v>
      </c>
      <c r="E685" s="42" t="s">
        <v>28</v>
      </c>
      <c r="F685" s="42" t="s">
        <v>10</v>
      </c>
      <c r="G685" s="42" t="s">
        <v>10</v>
      </c>
      <c r="H685" s="42">
        <v>1322.2164969999999</v>
      </c>
      <c r="I685" s="42">
        <v>11.9</v>
      </c>
    </row>
    <row r="686" spans="1:9" ht="18" customHeight="1">
      <c r="A686" s="41" t="str">
        <f t="shared" si="13"/>
        <v>888MYR</v>
      </c>
      <c r="B686" s="42" t="s">
        <v>435</v>
      </c>
      <c r="C686" s="42">
        <v>888</v>
      </c>
      <c r="D686" s="42">
        <v>20020</v>
      </c>
      <c r="E686" s="42" t="s">
        <v>28</v>
      </c>
      <c r="F686" s="42" t="s">
        <v>11</v>
      </c>
      <c r="G686" s="42" t="s">
        <v>28</v>
      </c>
      <c r="H686" s="42">
        <v>-15.567672702151</v>
      </c>
      <c r="I686" s="42">
        <v>-3.52</v>
      </c>
    </row>
    <row r="687" spans="1:9" ht="18" customHeight="1">
      <c r="A687" s="41" t="str">
        <f t="shared" si="13"/>
        <v>888USD</v>
      </c>
      <c r="B687" s="42" t="s">
        <v>435</v>
      </c>
      <c r="C687" s="42">
        <v>888</v>
      </c>
      <c r="D687" s="42">
        <v>20020</v>
      </c>
      <c r="E687" s="42" t="s">
        <v>28</v>
      </c>
      <c r="F687" s="42" t="s">
        <v>11</v>
      </c>
      <c r="G687" s="42" t="s">
        <v>11</v>
      </c>
      <c r="H687" s="42">
        <v>3.506369576575</v>
      </c>
      <c r="I687" s="42">
        <v>3.51</v>
      </c>
    </row>
    <row r="688" spans="1:9" ht="18" customHeight="1">
      <c r="A688" s="41" t="str">
        <f t="shared" si="13"/>
        <v>888MYR</v>
      </c>
      <c r="B688" s="42" t="s">
        <v>436</v>
      </c>
      <c r="C688" s="42">
        <v>888</v>
      </c>
      <c r="D688" s="42">
        <v>20020</v>
      </c>
      <c r="E688" s="42" t="s">
        <v>28</v>
      </c>
      <c r="F688" s="42" t="s">
        <v>11</v>
      </c>
      <c r="G688" s="42" t="s">
        <v>28</v>
      </c>
      <c r="H688" s="42">
        <v>-3900.16526277092</v>
      </c>
      <c r="I688" s="42">
        <v>-881.89</v>
      </c>
    </row>
    <row r="689" spans="1:9" ht="18" customHeight="1">
      <c r="A689" s="41" t="str">
        <f t="shared" si="13"/>
        <v>888USD</v>
      </c>
      <c r="B689" s="42" t="s">
        <v>436</v>
      </c>
      <c r="C689" s="42">
        <v>888</v>
      </c>
      <c r="D689" s="42">
        <v>20020</v>
      </c>
      <c r="E689" s="42" t="s">
        <v>28</v>
      </c>
      <c r="F689" s="42" t="s">
        <v>11</v>
      </c>
      <c r="G689" s="42" t="s">
        <v>11</v>
      </c>
      <c r="H689" s="42">
        <v>884.66985316109299</v>
      </c>
      <c r="I689" s="42">
        <v>884.67</v>
      </c>
    </row>
    <row r="690" spans="1:9" ht="18" customHeight="1">
      <c r="A690" s="41" t="str">
        <f t="shared" si="13"/>
        <v>888USD</v>
      </c>
      <c r="B690" s="42" t="s">
        <v>437</v>
      </c>
      <c r="C690" s="42">
        <v>888</v>
      </c>
      <c r="D690" s="42">
        <v>20030</v>
      </c>
      <c r="E690" s="42" t="s">
        <v>11</v>
      </c>
      <c r="F690" s="42" t="s">
        <v>28</v>
      </c>
      <c r="G690" s="42" t="s">
        <v>11</v>
      </c>
      <c r="H690" s="42">
        <v>-874.90446120000001</v>
      </c>
      <c r="I690" s="42">
        <v>-874.9</v>
      </c>
    </row>
    <row r="691" spans="1:9" ht="18" customHeight="1">
      <c r="A691" s="41" t="str">
        <f t="shared" si="13"/>
        <v>888MYR</v>
      </c>
      <c r="B691" s="42" t="s">
        <v>437</v>
      </c>
      <c r="C691" s="42">
        <v>888</v>
      </c>
      <c r="D691" s="42">
        <v>20030</v>
      </c>
      <c r="E691" s="42" t="s">
        <v>11</v>
      </c>
      <c r="F691" s="42" t="s">
        <v>28</v>
      </c>
      <c r="G691" s="42" t="s">
        <v>28</v>
      </c>
      <c r="H691" s="42">
        <v>3842.6194331332499</v>
      </c>
      <c r="I691" s="42">
        <v>868.88</v>
      </c>
    </row>
    <row r="692" spans="1:9" ht="18" customHeight="1">
      <c r="A692" s="41" t="str">
        <f t="shared" si="13"/>
        <v>888USD</v>
      </c>
      <c r="B692" s="42" t="s">
        <v>438</v>
      </c>
      <c r="C692" s="42">
        <v>888</v>
      </c>
      <c r="D692" s="42">
        <v>20030</v>
      </c>
      <c r="E692" s="42" t="s">
        <v>11</v>
      </c>
      <c r="F692" s="42" t="s">
        <v>28</v>
      </c>
      <c r="G692" s="42" t="s">
        <v>11</v>
      </c>
      <c r="H692" s="42">
        <v>-3.7218084600000001</v>
      </c>
      <c r="I692" s="42">
        <v>-3.72</v>
      </c>
    </row>
    <row r="693" spans="1:9" ht="18" customHeight="1">
      <c r="A693" s="41" t="str">
        <f t="shared" si="13"/>
        <v>888MYR</v>
      </c>
      <c r="B693" s="42" t="s">
        <v>438</v>
      </c>
      <c r="C693" s="42">
        <v>888</v>
      </c>
      <c r="D693" s="42">
        <v>20030</v>
      </c>
      <c r="E693" s="42" t="s">
        <v>11</v>
      </c>
      <c r="F693" s="42" t="s">
        <v>28</v>
      </c>
      <c r="G693" s="42" t="s">
        <v>28</v>
      </c>
      <c r="H693" s="42">
        <v>16.509645879690002</v>
      </c>
      <c r="I693" s="42">
        <v>3.73</v>
      </c>
    </row>
    <row r="694" spans="1:9" ht="18" customHeight="1">
      <c r="A694" s="41" t="str">
        <f t="shared" si="13"/>
        <v>888USD</v>
      </c>
      <c r="B694" s="42" t="s">
        <v>439</v>
      </c>
      <c r="C694" s="42">
        <v>888</v>
      </c>
      <c r="D694" s="42">
        <v>20030</v>
      </c>
      <c r="E694" s="42" t="s">
        <v>11</v>
      </c>
      <c r="F694" s="42" t="s">
        <v>28</v>
      </c>
      <c r="G694" s="42" t="s">
        <v>11</v>
      </c>
      <c r="H694" s="42">
        <v>-3236.9334227999998</v>
      </c>
      <c r="I694" s="42">
        <v>-3236.93</v>
      </c>
    </row>
    <row r="695" spans="1:9" ht="18" customHeight="1">
      <c r="A695" s="41" t="str">
        <f t="shared" si="13"/>
        <v>888MYR</v>
      </c>
      <c r="B695" s="42" t="s">
        <v>439</v>
      </c>
      <c r="C695" s="42">
        <v>888</v>
      </c>
      <c r="D695" s="42">
        <v>20030</v>
      </c>
      <c r="E695" s="42" t="s">
        <v>11</v>
      </c>
      <c r="F695" s="42" t="s">
        <v>28</v>
      </c>
      <c r="G695" s="42" t="s">
        <v>28</v>
      </c>
      <c r="H695" s="42">
        <v>14230.887389334001</v>
      </c>
      <c r="I695" s="42">
        <v>3217.84</v>
      </c>
    </row>
    <row r="696" spans="1:9" ht="18" customHeight="1">
      <c r="A696" s="41" t="str">
        <f t="shared" si="13"/>
        <v>888MYR</v>
      </c>
      <c r="B696" s="42" t="s">
        <v>440</v>
      </c>
      <c r="C696" s="42">
        <v>888</v>
      </c>
      <c r="D696" s="42">
        <v>20020</v>
      </c>
      <c r="E696" s="42" t="s">
        <v>28</v>
      </c>
      <c r="F696" s="42" t="s">
        <v>11</v>
      </c>
      <c r="G696" s="42" t="s">
        <v>28</v>
      </c>
      <c r="H696" s="42">
        <v>-16.576526215527998</v>
      </c>
      <c r="I696" s="42">
        <v>-3.75</v>
      </c>
    </row>
    <row r="697" spans="1:9" ht="18" customHeight="1">
      <c r="A697" s="41" t="str">
        <f t="shared" si="13"/>
        <v>888USD</v>
      </c>
      <c r="B697" s="42" t="s">
        <v>440</v>
      </c>
      <c r="C697" s="42">
        <v>888</v>
      </c>
      <c r="D697" s="42">
        <v>20020</v>
      </c>
      <c r="E697" s="42" t="s">
        <v>28</v>
      </c>
      <c r="F697" s="42" t="s">
        <v>11</v>
      </c>
      <c r="G697" s="42" t="s">
        <v>11</v>
      </c>
      <c r="H697" s="42">
        <v>3.7325708190790001</v>
      </c>
      <c r="I697" s="42">
        <v>3.73</v>
      </c>
    </row>
    <row r="698" spans="1:9" ht="18" customHeight="1">
      <c r="A698" s="41" t="str">
        <f t="shared" si="13"/>
        <v>888MYR</v>
      </c>
      <c r="B698" s="42" t="s">
        <v>441</v>
      </c>
      <c r="C698" s="42">
        <v>888</v>
      </c>
      <c r="D698" s="42">
        <v>20020</v>
      </c>
      <c r="E698" s="42" t="s">
        <v>28</v>
      </c>
      <c r="F698" s="42" t="s">
        <v>11</v>
      </c>
      <c r="G698" s="42" t="s">
        <v>28</v>
      </c>
      <c r="H698" s="42">
        <v>-14392.9635908823</v>
      </c>
      <c r="I698" s="42">
        <v>-3254.49</v>
      </c>
    </row>
    <row r="699" spans="1:9" ht="18" customHeight="1">
      <c r="A699" s="41" t="str">
        <f t="shared" si="13"/>
        <v>888USD</v>
      </c>
      <c r="B699" s="42" t="s">
        <v>441</v>
      </c>
      <c r="C699" s="42">
        <v>888</v>
      </c>
      <c r="D699" s="42">
        <v>20020</v>
      </c>
      <c r="E699" s="42" t="s">
        <v>28</v>
      </c>
      <c r="F699" s="42" t="s">
        <v>11</v>
      </c>
      <c r="G699" s="42" t="s">
        <v>11</v>
      </c>
      <c r="H699" s="42">
        <v>3270.2459608924801</v>
      </c>
      <c r="I699" s="42">
        <v>3270.25</v>
      </c>
    </row>
    <row r="700" spans="1:9" ht="18" customHeight="1">
      <c r="A700" s="41" t="str">
        <f t="shared" si="13"/>
        <v>888JPY</v>
      </c>
      <c r="B700" s="42" t="s">
        <v>442</v>
      </c>
      <c r="C700" s="42">
        <v>888</v>
      </c>
      <c r="D700" s="42">
        <v>20020</v>
      </c>
      <c r="E700" s="42" t="s">
        <v>10</v>
      </c>
      <c r="F700" s="42" t="s">
        <v>11</v>
      </c>
      <c r="G700" s="42" t="s">
        <v>10</v>
      </c>
      <c r="H700" s="42">
        <v>-93.055152625000005</v>
      </c>
      <c r="I700" s="42">
        <v>-0.84</v>
      </c>
    </row>
    <row r="701" spans="1:9" ht="18" customHeight="1">
      <c r="A701" s="41" t="str">
        <f t="shared" si="13"/>
        <v>888USD</v>
      </c>
      <c r="B701" s="42" t="s">
        <v>442</v>
      </c>
      <c r="C701" s="42">
        <v>888</v>
      </c>
      <c r="D701" s="42">
        <v>20020</v>
      </c>
      <c r="E701" s="42" t="s">
        <v>10</v>
      </c>
      <c r="F701" s="42" t="s">
        <v>11</v>
      </c>
      <c r="G701" s="42" t="s">
        <v>11</v>
      </c>
      <c r="H701" s="42">
        <v>0.79970098424500002</v>
      </c>
      <c r="I701" s="42">
        <v>0.8</v>
      </c>
    </row>
    <row r="702" spans="1:9" ht="18" customHeight="1">
      <c r="A702" s="41" t="str">
        <f t="shared" si="13"/>
        <v>888USD</v>
      </c>
      <c r="B702" s="42" t="s">
        <v>443</v>
      </c>
      <c r="C702" s="42">
        <v>888</v>
      </c>
      <c r="D702" s="42">
        <v>20020</v>
      </c>
      <c r="E702" s="42" t="s">
        <v>11</v>
      </c>
      <c r="F702" s="42" t="s">
        <v>10</v>
      </c>
      <c r="G702" s="42" t="s">
        <v>11</v>
      </c>
      <c r="H702" s="42">
        <v>-0.80546600999999995</v>
      </c>
      <c r="I702" s="42">
        <v>-0.81</v>
      </c>
    </row>
    <row r="703" spans="1:9" ht="18" customHeight="1">
      <c r="A703" s="41" t="str">
        <f t="shared" si="13"/>
        <v>888JPY</v>
      </c>
      <c r="B703" s="42" t="s">
        <v>443</v>
      </c>
      <c r="C703" s="42">
        <v>888</v>
      </c>
      <c r="D703" s="42">
        <v>20020</v>
      </c>
      <c r="E703" s="42" t="s">
        <v>11</v>
      </c>
      <c r="F703" s="42" t="s">
        <v>10</v>
      </c>
      <c r="G703" s="42" t="s">
        <v>10</v>
      </c>
      <c r="H703" s="42">
        <v>93.532650557425001</v>
      </c>
      <c r="I703" s="42">
        <v>0.84</v>
      </c>
    </row>
    <row r="704" spans="1:9" ht="18" customHeight="1">
      <c r="A704" s="41" t="str">
        <f t="shared" si="13"/>
        <v>888MYR</v>
      </c>
      <c r="B704" s="42" t="s">
        <v>444</v>
      </c>
      <c r="C704" s="42">
        <v>888</v>
      </c>
      <c r="D704" s="42">
        <v>20020</v>
      </c>
      <c r="E704" s="42" t="s">
        <v>28</v>
      </c>
      <c r="F704" s="42" t="s">
        <v>11</v>
      </c>
      <c r="G704" s="42" t="s">
        <v>28</v>
      </c>
      <c r="H704" s="42">
        <v>-7.1527373906099996</v>
      </c>
      <c r="I704" s="42">
        <v>-1.62</v>
      </c>
    </row>
    <row r="705" spans="1:9" ht="18" customHeight="1">
      <c r="A705" s="41" t="str">
        <f t="shared" si="13"/>
        <v>888USD</v>
      </c>
      <c r="B705" s="42" t="s">
        <v>444</v>
      </c>
      <c r="C705" s="42">
        <v>888</v>
      </c>
      <c r="D705" s="42">
        <v>20020</v>
      </c>
      <c r="E705" s="42" t="s">
        <v>28</v>
      </c>
      <c r="F705" s="42" t="s">
        <v>11</v>
      </c>
      <c r="G705" s="42" t="s">
        <v>11</v>
      </c>
      <c r="H705" s="42">
        <v>1.609198198374</v>
      </c>
      <c r="I705" s="42">
        <v>1.61</v>
      </c>
    </row>
    <row r="706" spans="1:9" ht="18" customHeight="1">
      <c r="A706" s="41" t="str">
        <f t="shared" si="13"/>
        <v>888MYR</v>
      </c>
      <c r="B706" s="42" t="s">
        <v>445</v>
      </c>
      <c r="C706" s="42">
        <v>888</v>
      </c>
      <c r="D706" s="42">
        <v>20020</v>
      </c>
      <c r="E706" s="42" t="s">
        <v>28</v>
      </c>
      <c r="F706" s="42" t="s">
        <v>11</v>
      </c>
      <c r="G706" s="42" t="s">
        <v>28</v>
      </c>
      <c r="H706" s="42">
        <v>-64.539661821495997</v>
      </c>
      <c r="I706" s="42">
        <v>-14.59</v>
      </c>
    </row>
    <row r="707" spans="1:9" ht="18" customHeight="1">
      <c r="A707" s="41" t="str">
        <f t="shared" ref="A707:A770" si="14">CONCATENATE(C707,G707)</f>
        <v>888USD</v>
      </c>
      <c r="B707" s="42" t="s">
        <v>445</v>
      </c>
      <c r="C707" s="42">
        <v>888</v>
      </c>
      <c r="D707" s="42">
        <v>20020</v>
      </c>
      <c r="E707" s="42" t="s">
        <v>28</v>
      </c>
      <c r="F707" s="42" t="s">
        <v>11</v>
      </c>
      <c r="G707" s="42" t="s">
        <v>11</v>
      </c>
      <c r="H707" s="42">
        <v>14.575248394742999</v>
      </c>
      <c r="I707" s="42">
        <v>14.58</v>
      </c>
    </row>
    <row r="708" spans="1:9" ht="18" customHeight="1">
      <c r="A708" s="41" t="str">
        <f t="shared" si="14"/>
        <v>888MYR</v>
      </c>
      <c r="B708" s="42" t="s">
        <v>446</v>
      </c>
      <c r="C708" s="42">
        <v>888</v>
      </c>
      <c r="D708" s="42">
        <v>20020</v>
      </c>
      <c r="E708" s="42" t="s">
        <v>28</v>
      </c>
      <c r="F708" s="42" t="s">
        <v>11</v>
      </c>
      <c r="G708" s="42" t="s">
        <v>28</v>
      </c>
      <c r="H708" s="42">
        <v>-61.317156773888001</v>
      </c>
      <c r="I708" s="42">
        <v>-13.86</v>
      </c>
    </row>
    <row r="709" spans="1:9" ht="18" customHeight="1">
      <c r="A709" s="41" t="str">
        <f t="shared" si="14"/>
        <v>888USD</v>
      </c>
      <c r="B709" s="42" t="s">
        <v>446</v>
      </c>
      <c r="C709" s="42">
        <v>888</v>
      </c>
      <c r="D709" s="42">
        <v>20020</v>
      </c>
      <c r="E709" s="42" t="s">
        <v>28</v>
      </c>
      <c r="F709" s="42" t="s">
        <v>11</v>
      </c>
      <c r="G709" s="42" t="s">
        <v>11</v>
      </c>
      <c r="H709" s="42">
        <v>13.912349580776</v>
      </c>
      <c r="I709" s="42">
        <v>13.91</v>
      </c>
    </row>
    <row r="710" spans="1:9" ht="18" customHeight="1">
      <c r="A710" s="41" t="str">
        <f t="shared" si="14"/>
        <v>888USD</v>
      </c>
      <c r="B710" s="42" t="s">
        <v>447</v>
      </c>
      <c r="C710" s="42">
        <v>888</v>
      </c>
      <c r="D710" s="42">
        <v>20030</v>
      </c>
      <c r="E710" s="42" t="s">
        <v>11</v>
      </c>
      <c r="F710" s="42" t="s">
        <v>28</v>
      </c>
      <c r="G710" s="42" t="s">
        <v>11</v>
      </c>
      <c r="H710" s="42">
        <v>-32.171745399999999</v>
      </c>
      <c r="I710" s="42">
        <v>-32.17</v>
      </c>
    </row>
    <row r="711" spans="1:9" ht="18" customHeight="1">
      <c r="A711" s="41" t="str">
        <f t="shared" si="14"/>
        <v>888MYR</v>
      </c>
      <c r="B711" s="42" t="s">
        <v>447</v>
      </c>
      <c r="C711" s="42">
        <v>888</v>
      </c>
      <c r="D711" s="42">
        <v>20030</v>
      </c>
      <c r="E711" s="42" t="s">
        <v>11</v>
      </c>
      <c r="F711" s="42" t="s">
        <v>28</v>
      </c>
      <c r="G711" s="42" t="s">
        <v>28</v>
      </c>
      <c r="H711" s="42">
        <v>141.20211133251999</v>
      </c>
      <c r="I711" s="42">
        <v>31.93</v>
      </c>
    </row>
    <row r="712" spans="1:9" ht="18" customHeight="1">
      <c r="A712" s="41" t="str">
        <f t="shared" si="14"/>
        <v>888MYR</v>
      </c>
      <c r="B712" s="42" t="s">
        <v>448</v>
      </c>
      <c r="C712" s="42">
        <v>888</v>
      </c>
      <c r="D712" s="42">
        <v>20020</v>
      </c>
      <c r="E712" s="42" t="s">
        <v>28</v>
      </c>
      <c r="F712" s="42" t="s">
        <v>11</v>
      </c>
      <c r="G712" s="42" t="s">
        <v>28</v>
      </c>
      <c r="H712" s="42">
        <v>-2.349267503463</v>
      </c>
      <c r="I712" s="42">
        <v>-0.53</v>
      </c>
    </row>
    <row r="713" spans="1:9" ht="18" customHeight="1">
      <c r="A713" s="41" t="str">
        <f t="shared" si="14"/>
        <v>888USD</v>
      </c>
      <c r="B713" s="42" t="s">
        <v>448</v>
      </c>
      <c r="C713" s="42">
        <v>888</v>
      </c>
      <c r="D713" s="42">
        <v>20020</v>
      </c>
      <c r="E713" s="42" t="s">
        <v>28</v>
      </c>
      <c r="F713" s="42" t="s">
        <v>11</v>
      </c>
      <c r="G713" s="42" t="s">
        <v>11</v>
      </c>
      <c r="H713" s="42">
        <v>0.53189781599700003</v>
      </c>
      <c r="I713" s="42">
        <v>0.53</v>
      </c>
    </row>
    <row r="714" spans="1:9" ht="18" customHeight="1">
      <c r="A714" s="41" t="str">
        <f t="shared" si="14"/>
        <v>888EUR</v>
      </c>
      <c r="B714" s="42" t="s">
        <v>449</v>
      </c>
      <c r="C714" s="42">
        <v>888</v>
      </c>
      <c r="D714" s="42">
        <v>20020</v>
      </c>
      <c r="E714" s="42" t="s">
        <v>31</v>
      </c>
      <c r="F714" s="42" t="s">
        <v>28</v>
      </c>
      <c r="G714" s="42" t="s">
        <v>31</v>
      </c>
      <c r="H714" s="42">
        <v>-1.66780693</v>
      </c>
      <c r="I714" s="42">
        <v>-1.8</v>
      </c>
    </row>
    <row r="715" spans="1:9" ht="18" customHeight="1">
      <c r="A715" s="41" t="str">
        <f t="shared" si="14"/>
        <v>888MYR</v>
      </c>
      <c r="B715" s="42" t="s">
        <v>449</v>
      </c>
      <c r="C715" s="42">
        <v>888</v>
      </c>
      <c r="D715" s="42">
        <v>20020</v>
      </c>
      <c r="E715" s="42" t="s">
        <v>31</v>
      </c>
      <c r="F715" s="42" t="s">
        <v>28</v>
      </c>
      <c r="G715" s="42" t="s">
        <v>28</v>
      </c>
      <c r="H715" s="42">
        <v>7.8079462993800002</v>
      </c>
      <c r="I715" s="42">
        <v>1.77</v>
      </c>
    </row>
    <row r="716" spans="1:9" ht="18" customHeight="1">
      <c r="A716" s="41" t="str">
        <f t="shared" si="14"/>
        <v>888EUR</v>
      </c>
      <c r="B716" s="42" t="s">
        <v>450</v>
      </c>
      <c r="C716" s="42">
        <v>888</v>
      </c>
      <c r="D716" s="42">
        <v>20020</v>
      </c>
      <c r="E716" s="42" t="s">
        <v>31</v>
      </c>
      <c r="F716" s="42" t="s">
        <v>28</v>
      </c>
      <c r="G716" s="42" t="s">
        <v>31</v>
      </c>
      <c r="H716" s="42">
        <v>-3.44909277</v>
      </c>
      <c r="I716" s="42">
        <v>-3.72</v>
      </c>
    </row>
    <row r="717" spans="1:9" ht="18" customHeight="1">
      <c r="A717" s="41" t="str">
        <f t="shared" si="14"/>
        <v>888MYR</v>
      </c>
      <c r="B717" s="42" t="s">
        <v>450</v>
      </c>
      <c r="C717" s="42">
        <v>888</v>
      </c>
      <c r="D717" s="42">
        <v>20020</v>
      </c>
      <c r="E717" s="42" t="s">
        <v>31</v>
      </c>
      <c r="F717" s="42" t="s">
        <v>28</v>
      </c>
      <c r="G717" s="42" t="s">
        <v>28</v>
      </c>
      <c r="H717" s="42">
        <v>16.081293031034999</v>
      </c>
      <c r="I717" s="42">
        <v>3.64</v>
      </c>
    </row>
    <row r="718" spans="1:9" ht="18" customHeight="1">
      <c r="A718" s="41" t="str">
        <f t="shared" si="14"/>
        <v>888EUR</v>
      </c>
      <c r="B718" s="42" t="s">
        <v>451</v>
      </c>
      <c r="C718" s="42">
        <v>888</v>
      </c>
      <c r="D718" s="42">
        <v>20020</v>
      </c>
      <c r="E718" s="42" t="s">
        <v>31</v>
      </c>
      <c r="F718" s="42" t="s">
        <v>28</v>
      </c>
      <c r="G718" s="42" t="s">
        <v>31</v>
      </c>
      <c r="H718" s="42">
        <v>-5.0650853199999997</v>
      </c>
      <c r="I718" s="42">
        <v>-5.46</v>
      </c>
    </row>
    <row r="719" spans="1:9" ht="18" customHeight="1">
      <c r="A719" s="41" t="str">
        <f t="shared" si="14"/>
        <v>888MYR</v>
      </c>
      <c r="B719" s="42" t="s">
        <v>451</v>
      </c>
      <c r="C719" s="42">
        <v>888</v>
      </c>
      <c r="D719" s="42">
        <v>20020</v>
      </c>
      <c r="E719" s="42" t="s">
        <v>31</v>
      </c>
      <c r="F719" s="42" t="s">
        <v>28</v>
      </c>
      <c r="G719" s="42" t="s">
        <v>28</v>
      </c>
      <c r="H719" s="42">
        <v>23.513872539520001</v>
      </c>
      <c r="I719" s="42">
        <v>5.32</v>
      </c>
    </row>
    <row r="720" spans="1:9" ht="18" customHeight="1">
      <c r="A720" s="41" t="str">
        <f t="shared" si="14"/>
        <v>888USD</v>
      </c>
      <c r="B720" s="42" t="s">
        <v>452</v>
      </c>
      <c r="C720" s="42">
        <v>888</v>
      </c>
      <c r="D720" s="42">
        <v>20020</v>
      </c>
      <c r="E720" s="42" t="s">
        <v>11</v>
      </c>
      <c r="F720" s="42" t="s">
        <v>28</v>
      </c>
      <c r="G720" s="42" t="s">
        <v>11</v>
      </c>
      <c r="H720" s="42">
        <v>-14.6158607175</v>
      </c>
      <c r="I720" s="42">
        <v>-14.62</v>
      </c>
    </row>
    <row r="721" spans="1:9" ht="18" customHeight="1">
      <c r="A721" s="41" t="str">
        <f t="shared" si="14"/>
        <v>888MYR</v>
      </c>
      <c r="B721" s="42" t="s">
        <v>452</v>
      </c>
      <c r="C721" s="42">
        <v>888</v>
      </c>
      <c r="D721" s="42">
        <v>20020</v>
      </c>
      <c r="E721" s="42" t="s">
        <v>11</v>
      </c>
      <c r="F721" s="42" t="s">
        <v>28</v>
      </c>
      <c r="G721" s="42" t="s">
        <v>28</v>
      </c>
      <c r="H721" s="42">
        <v>63.271361863079001</v>
      </c>
      <c r="I721" s="42">
        <v>14.31</v>
      </c>
    </row>
    <row r="722" spans="1:9" ht="18" customHeight="1">
      <c r="A722" s="41" t="str">
        <f t="shared" si="14"/>
        <v>888USD</v>
      </c>
      <c r="B722" s="42" t="s">
        <v>453</v>
      </c>
      <c r="C722" s="42">
        <v>888</v>
      </c>
      <c r="D722" s="42">
        <v>20020</v>
      </c>
      <c r="E722" s="42" t="s">
        <v>11</v>
      </c>
      <c r="F722" s="42" t="s">
        <v>28</v>
      </c>
      <c r="G722" s="42" t="s">
        <v>11</v>
      </c>
      <c r="H722" s="42">
        <v>-17.536536184999999</v>
      </c>
      <c r="I722" s="42">
        <v>-17.54</v>
      </c>
    </row>
    <row r="723" spans="1:9" ht="18" customHeight="1">
      <c r="A723" s="41" t="str">
        <f t="shared" si="14"/>
        <v>888MYR</v>
      </c>
      <c r="B723" s="42" t="s">
        <v>453</v>
      </c>
      <c r="C723" s="42">
        <v>888</v>
      </c>
      <c r="D723" s="42">
        <v>20020</v>
      </c>
      <c r="E723" s="42" t="s">
        <v>11</v>
      </c>
      <c r="F723" s="42" t="s">
        <v>28</v>
      </c>
      <c r="G723" s="42" t="s">
        <v>28</v>
      </c>
      <c r="H723" s="42">
        <v>75.765729673725005</v>
      </c>
      <c r="I723" s="42">
        <v>17.13</v>
      </c>
    </row>
    <row r="724" spans="1:9" ht="18" customHeight="1">
      <c r="A724" s="41" t="str">
        <f t="shared" si="14"/>
        <v>888USD</v>
      </c>
      <c r="B724" s="42" t="s">
        <v>454</v>
      </c>
      <c r="C724" s="42">
        <v>888</v>
      </c>
      <c r="D724" s="42">
        <v>20020</v>
      </c>
      <c r="E724" s="42" t="s">
        <v>11</v>
      </c>
      <c r="F724" s="42" t="s">
        <v>28</v>
      </c>
      <c r="G724" s="42" t="s">
        <v>11</v>
      </c>
      <c r="H724" s="42">
        <v>-2.9119465899999999</v>
      </c>
      <c r="I724" s="42">
        <v>-2.91</v>
      </c>
    </row>
    <row r="725" spans="1:9" ht="18" customHeight="1">
      <c r="A725" s="41" t="str">
        <f t="shared" si="14"/>
        <v>888MYR</v>
      </c>
      <c r="B725" s="42" t="s">
        <v>454</v>
      </c>
      <c r="C725" s="42">
        <v>888</v>
      </c>
      <c r="D725" s="42">
        <v>20020</v>
      </c>
      <c r="E725" s="42" t="s">
        <v>11</v>
      </c>
      <c r="F725" s="42" t="s">
        <v>28</v>
      </c>
      <c r="G725" s="42" t="s">
        <v>28</v>
      </c>
      <c r="H725" s="42">
        <v>12.74668288418</v>
      </c>
      <c r="I725" s="42">
        <v>2.88</v>
      </c>
    </row>
    <row r="726" spans="1:9" ht="18" customHeight="1">
      <c r="A726" s="41" t="str">
        <f t="shared" si="14"/>
        <v>888USD</v>
      </c>
      <c r="B726" s="42" t="s">
        <v>455</v>
      </c>
      <c r="C726" s="42">
        <v>888</v>
      </c>
      <c r="D726" s="42">
        <v>20020</v>
      </c>
      <c r="E726" s="42" t="s">
        <v>11</v>
      </c>
      <c r="F726" s="42" t="s">
        <v>28</v>
      </c>
      <c r="G726" s="42" t="s">
        <v>11</v>
      </c>
      <c r="H726" s="42">
        <v>-6.0076631474999997</v>
      </c>
      <c r="I726" s="42">
        <v>-6.01</v>
      </c>
    </row>
    <row r="727" spans="1:9" ht="18" customHeight="1">
      <c r="A727" s="41" t="str">
        <f t="shared" si="14"/>
        <v>888MYR</v>
      </c>
      <c r="B727" s="42" t="s">
        <v>455</v>
      </c>
      <c r="C727" s="42">
        <v>888</v>
      </c>
      <c r="D727" s="42">
        <v>20020</v>
      </c>
      <c r="E727" s="42" t="s">
        <v>11</v>
      </c>
      <c r="F727" s="42" t="s">
        <v>28</v>
      </c>
      <c r="G727" s="42" t="s">
        <v>28</v>
      </c>
      <c r="H727" s="42">
        <v>26.210844579884998</v>
      </c>
      <c r="I727" s="42">
        <v>5.93</v>
      </c>
    </row>
    <row r="728" spans="1:9" ht="18" customHeight="1">
      <c r="A728" s="41" t="str">
        <f t="shared" si="14"/>
        <v>888USD</v>
      </c>
      <c r="B728" s="42" t="s">
        <v>456</v>
      </c>
      <c r="C728" s="42">
        <v>888</v>
      </c>
      <c r="D728" s="42">
        <v>20020</v>
      </c>
      <c r="E728" s="42" t="s">
        <v>11</v>
      </c>
      <c r="F728" s="42" t="s">
        <v>28</v>
      </c>
      <c r="G728" s="42" t="s">
        <v>11</v>
      </c>
      <c r="H728" s="42">
        <v>-20.544603904999999</v>
      </c>
      <c r="I728" s="42">
        <v>-20.54</v>
      </c>
    </row>
    <row r="729" spans="1:9" ht="18" customHeight="1">
      <c r="A729" s="41" t="str">
        <f t="shared" si="14"/>
        <v>888MYR</v>
      </c>
      <c r="B729" s="42" t="s">
        <v>456</v>
      </c>
      <c r="C729" s="42">
        <v>888</v>
      </c>
      <c r="D729" s="42">
        <v>20020</v>
      </c>
      <c r="E729" s="42" t="s">
        <v>11</v>
      </c>
      <c r="F729" s="42" t="s">
        <v>28</v>
      </c>
      <c r="G729" s="42" t="s">
        <v>28</v>
      </c>
      <c r="H729" s="42">
        <v>88.506500253080006</v>
      </c>
      <c r="I729" s="42">
        <v>20.010000000000002</v>
      </c>
    </row>
    <row r="730" spans="1:9" ht="18" customHeight="1">
      <c r="A730" s="41" t="str">
        <f t="shared" si="14"/>
        <v>888USD</v>
      </c>
      <c r="B730" s="42" t="s">
        <v>457</v>
      </c>
      <c r="C730" s="42">
        <v>888</v>
      </c>
      <c r="D730" s="42">
        <v>20020</v>
      </c>
      <c r="E730" s="42" t="s">
        <v>11</v>
      </c>
      <c r="F730" s="42" t="s">
        <v>28</v>
      </c>
      <c r="G730" s="42" t="s">
        <v>11</v>
      </c>
      <c r="H730" s="42">
        <v>-8.7994941475000008</v>
      </c>
      <c r="I730" s="42">
        <v>-8.8000000000000007</v>
      </c>
    </row>
    <row r="731" spans="1:9" ht="18" customHeight="1">
      <c r="A731" s="41" t="str">
        <f t="shared" si="14"/>
        <v>888MYR</v>
      </c>
      <c r="B731" s="42" t="s">
        <v>457</v>
      </c>
      <c r="C731" s="42">
        <v>888</v>
      </c>
      <c r="D731" s="42">
        <v>20020</v>
      </c>
      <c r="E731" s="42" t="s">
        <v>11</v>
      </c>
      <c r="F731" s="42" t="s">
        <v>28</v>
      </c>
      <c r="G731" s="42" t="s">
        <v>28</v>
      </c>
      <c r="H731" s="42">
        <v>38.283585013520003</v>
      </c>
      <c r="I731" s="42">
        <v>8.66</v>
      </c>
    </row>
    <row r="732" spans="1:9" ht="18" customHeight="1">
      <c r="A732" s="41" t="str">
        <f t="shared" si="14"/>
        <v>888USD</v>
      </c>
      <c r="B732" s="42" t="s">
        <v>458</v>
      </c>
      <c r="C732" s="42">
        <v>888</v>
      </c>
      <c r="D732" s="42">
        <v>20020</v>
      </c>
      <c r="E732" s="42" t="s">
        <v>11</v>
      </c>
      <c r="F732" s="42" t="s">
        <v>28</v>
      </c>
      <c r="G732" s="42" t="s">
        <v>11</v>
      </c>
      <c r="H732" s="42">
        <v>-23.253944104999999</v>
      </c>
      <c r="I732" s="42">
        <v>-23.25</v>
      </c>
    </row>
    <row r="733" spans="1:9" ht="18" customHeight="1">
      <c r="A733" s="41" t="str">
        <f t="shared" si="14"/>
        <v>888MYR</v>
      </c>
      <c r="B733" s="42" t="s">
        <v>458</v>
      </c>
      <c r="C733" s="42">
        <v>888</v>
      </c>
      <c r="D733" s="42">
        <v>20020</v>
      </c>
      <c r="E733" s="42" t="s">
        <v>11</v>
      </c>
      <c r="F733" s="42" t="s">
        <v>28</v>
      </c>
      <c r="G733" s="42" t="s">
        <v>28</v>
      </c>
      <c r="H733" s="42">
        <v>99.937788576439004</v>
      </c>
      <c r="I733" s="42">
        <v>22.6</v>
      </c>
    </row>
    <row r="734" spans="1:9" ht="18" customHeight="1">
      <c r="A734" s="41" t="str">
        <f t="shared" si="14"/>
        <v>888USD</v>
      </c>
      <c r="B734" s="42" t="s">
        <v>459</v>
      </c>
      <c r="C734" s="42">
        <v>888</v>
      </c>
      <c r="D734" s="42">
        <v>20020</v>
      </c>
      <c r="E734" s="42" t="s">
        <v>11</v>
      </c>
      <c r="F734" s="42" t="s">
        <v>28</v>
      </c>
      <c r="G734" s="42" t="s">
        <v>11</v>
      </c>
      <c r="H734" s="42">
        <v>-11.67052677</v>
      </c>
      <c r="I734" s="42">
        <v>-11.67</v>
      </c>
    </row>
    <row r="735" spans="1:9" ht="18" customHeight="1">
      <c r="A735" s="41" t="str">
        <f t="shared" si="14"/>
        <v>888MYR</v>
      </c>
      <c r="B735" s="42" t="s">
        <v>459</v>
      </c>
      <c r="C735" s="42">
        <v>888</v>
      </c>
      <c r="D735" s="42">
        <v>20020</v>
      </c>
      <c r="E735" s="42" t="s">
        <v>11</v>
      </c>
      <c r="F735" s="42" t="s">
        <v>28</v>
      </c>
      <c r="G735" s="42" t="s">
        <v>28</v>
      </c>
      <c r="H735" s="42">
        <v>50.635943701560002</v>
      </c>
      <c r="I735" s="42">
        <v>11.45</v>
      </c>
    </row>
    <row r="736" spans="1:9" ht="18" customHeight="1">
      <c r="A736" s="41" t="str">
        <f t="shared" si="14"/>
        <v>888USD</v>
      </c>
      <c r="B736" s="42" t="s">
        <v>460</v>
      </c>
      <c r="C736" s="42">
        <v>888</v>
      </c>
      <c r="D736" s="42">
        <v>20020</v>
      </c>
      <c r="E736" s="42" t="s">
        <v>11</v>
      </c>
      <c r="F736" s="42" t="s">
        <v>28</v>
      </c>
      <c r="G736" s="42" t="s">
        <v>11</v>
      </c>
      <c r="H736" s="42">
        <v>-26.038075594999999</v>
      </c>
      <c r="I736" s="42">
        <v>-26.04</v>
      </c>
    </row>
    <row r="737" spans="1:9" ht="18" customHeight="1">
      <c r="A737" s="41" t="str">
        <f t="shared" si="14"/>
        <v>888MYR</v>
      </c>
      <c r="B737" s="42" t="s">
        <v>460</v>
      </c>
      <c r="C737" s="42">
        <v>888</v>
      </c>
      <c r="D737" s="42">
        <v>20020</v>
      </c>
      <c r="E737" s="42" t="s">
        <v>11</v>
      </c>
      <c r="F737" s="42" t="s">
        <v>28</v>
      </c>
      <c r="G737" s="42" t="s">
        <v>28</v>
      </c>
      <c r="H737" s="42">
        <v>111.63441879282</v>
      </c>
      <c r="I737" s="42">
        <v>25.24</v>
      </c>
    </row>
    <row r="738" spans="1:9" ht="18" customHeight="1">
      <c r="A738" s="41" t="str">
        <f t="shared" si="14"/>
        <v>888MYR</v>
      </c>
      <c r="B738" s="42" t="s">
        <v>461</v>
      </c>
      <c r="C738" s="42">
        <v>888</v>
      </c>
      <c r="D738" s="42">
        <v>20030</v>
      </c>
      <c r="E738" s="42" t="s">
        <v>28</v>
      </c>
      <c r="F738" s="42" t="s">
        <v>11</v>
      </c>
      <c r="G738" s="42" t="s">
        <v>28</v>
      </c>
      <c r="H738" s="42">
        <v>-304.79571273261598</v>
      </c>
      <c r="I738" s="42">
        <v>-68.92</v>
      </c>
    </row>
    <row r="739" spans="1:9" ht="18" customHeight="1">
      <c r="A739" s="41" t="str">
        <f t="shared" si="14"/>
        <v>888USD</v>
      </c>
      <c r="B739" s="42" t="s">
        <v>461</v>
      </c>
      <c r="C739" s="42">
        <v>888</v>
      </c>
      <c r="D739" s="42">
        <v>20030</v>
      </c>
      <c r="E739" s="42" t="s">
        <v>28</v>
      </c>
      <c r="F739" s="42" t="s">
        <v>11</v>
      </c>
      <c r="G739" s="42" t="s">
        <v>11</v>
      </c>
      <c r="H739" s="42">
        <v>70.023160619999999</v>
      </c>
      <c r="I739" s="42">
        <v>70.02</v>
      </c>
    </row>
    <row r="740" spans="1:9" ht="18" customHeight="1">
      <c r="A740" s="41" t="str">
        <f t="shared" si="14"/>
        <v>888USD</v>
      </c>
      <c r="B740" s="42" t="s">
        <v>462</v>
      </c>
      <c r="C740" s="42">
        <v>888</v>
      </c>
      <c r="D740" s="42">
        <v>20020</v>
      </c>
      <c r="E740" s="42" t="s">
        <v>11</v>
      </c>
      <c r="F740" s="42" t="s">
        <v>28</v>
      </c>
      <c r="G740" s="42" t="s">
        <v>11</v>
      </c>
      <c r="H740" s="42">
        <v>-2.0799618500000001</v>
      </c>
      <c r="I740" s="42">
        <v>-2.08</v>
      </c>
    </row>
    <row r="741" spans="1:9" ht="18" customHeight="1">
      <c r="A741" s="41" t="str">
        <f t="shared" si="14"/>
        <v>888MYR</v>
      </c>
      <c r="B741" s="42" t="s">
        <v>462</v>
      </c>
      <c r="C741" s="42">
        <v>888</v>
      </c>
      <c r="D741" s="42">
        <v>20020</v>
      </c>
      <c r="E741" s="42" t="s">
        <v>11</v>
      </c>
      <c r="F741" s="42" t="s">
        <v>28</v>
      </c>
      <c r="G741" s="42" t="s">
        <v>28</v>
      </c>
      <c r="H741" s="42">
        <v>9.0863758772499992</v>
      </c>
      <c r="I741" s="42">
        <v>2.0499999999999998</v>
      </c>
    </row>
    <row r="742" spans="1:9" ht="18" customHeight="1">
      <c r="A742" s="41" t="str">
        <f t="shared" si="14"/>
        <v>888USD</v>
      </c>
      <c r="B742" s="42" t="s">
        <v>463</v>
      </c>
      <c r="C742" s="42">
        <v>888</v>
      </c>
      <c r="D742" s="42">
        <v>20020</v>
      </c>
      <c r="E742" s="42" t="s">
        <v>11</v>
      </c>
      <c r="F742" s="42" t="s">
        <v>28</v>
      </c>
      <c r="G742" s="42" t="s">
        <v>11</v>
      </c>
      <c r="H742" s="42">
        <v>-4.2911879624999996</v>
      </c>
      <c r="I742" s="42">
        <v>-4.29</v>
      </c>
    </row>
    <row r="743" spans="1:9" ht="18" customHeight="1">
      <c r="A743" s="41" t="str">
        <f t="shared" si="14"/>
        <v>888MYR</v>
      </c>
      <c r="B743" s="42" t="s">
        <v>463</v>
      </c>
      <c r="C743" s="42">
        <v>888</v>
      </c>
      <c r="D743" s="42">
        <v>20020</v>
      </c>
      <c r="E743" s="42" t="s">
        <v>11</v>
      </c>
      <c r="F743" s="42" t="s">
        <v>28</v>
      </c>
      <c r="G743" s="42" t="s">
        <v>28</v>
      </c>
      <c r="H743" s="42">
        <v>18.690534480993001</v>
      </c>
      <c r="I743" s="42">
        <v>4.2300000000000004</v>
      </c>
    </row>
    <row r="744" spans="1:9" ht="18" customHeight="1">
      <c r="A744" s="41" t="str">
        <f t="shared" si="14"/>
        <v>888USD</v>
      </c>
      <c r="B744" s="42" t="s">
        <v>464</v>
      </c>
      <c r="C744" s="42">
        <v>888</v>
      </c>
      <c r="D744" s="42">
        <v>20020</v>
      </c>
      <c r="E744" s="42" t="s">
        <v>11</v>
      </c>
      <c r="F744" s="42" t="s">
        <v>28</v>
      </c>
      <c r="G744" s="42" t="s">
        <v>11</v>
      </c>
      <c r="H744" s="42">
        <v>-6.2853529625000002</v>
      </c>
      <c r="I744" s="42">
        <v>-6.29</v>
      </c>
    </row>
    <row r="745" spans="1:9" ht="18" customHeight="1">
      <c r="A745" s="41" t="str">
        <f t="shared" si="14"/>
        <v>888MYR</v>
      </c>
      <c r="B745" s="42" t="s">
        <v>464</v>
      </c>
      <c r="C745" s="42">
        <v>888</v>
      </c>
      <c r="D745" s="42">
        <v>20020</v>
      </c>
      <c r="E745" s="42" t="s">
        <v>11</v>
      </c>
      <c r="F745" s="42" t="s">
        <v>28</v>
      </c>
      <c r="G745" s="42" t="s">
        <v>28</v>
      </c>
      <c r="H745" s="42">
        <v>27.299454031300002</v>
      </c>
      <c r="I745" s="42">
        <v>6.17</v>
      </c>
    </row>
    <row r="746" spans="1:9" ht="18" customHeight="1">
      <c r="A746" s="41" t="str">
        <f t="shared" si="14"/>
        <v>888MYR</v>
      </c>
      <c r="B746" s="42" t="s">
        <v>465</v>
      </c>
      <c r="C746" s="42">
        <v>888</v>
      </c>
      <c r="D746" s="42">
        <v>20020</v>
      </c>
      <c r="E746" s="42" t="s">
        <v>28</v>
      </c>
      <c r="F746" s="42" t="s">
        <v>11</v>
      </c>
      <c r="G746" s="42" t="s">
        <v>28</v>
      </c>
      <c r="H746" s="42">
        <v>-11.52908287278</v>
      </c>
      <c r="I746" s="42">
        <v>-2.61</v>
      </c>
    </row>
    <row r="747" spans="1:9" ht="18" customHeight="1">
      <c r="A747" s="41" t="str">
        <f t="shared" si="14"/>
        <v>888USD</v>
      </c>
      <c r="B747" s="42" t="s">
        <v>465</v>
      </c>
      <c r="C747" s="42">
        <v>888</v>
      </c>
      <c r="D747" s="42">
        <v>20020</v>
      </c>
      <c r="E747" s="42" t="s">
        <v>28</v>
      </c>
      <c r="F747" s="42" t="s">
        <v>11</v>
      </c>
      <c r="G747" s="42" t="s">
        <v>11</v>
      </c>
      <c r="H747" s="42">
        <v>2.6253959622299998</v>
      </c>
      <c r="I747" s="42">
        <v>2.63</v>
      </c>
    </row>
    <row r="748" spans="1:9" ht="18" customHeight="1">
      <c r="A748" s="41" t="str">
        <f t="shared" si="14"/>
        <v>888MYR</v>
      </c>
      <c r="B748" s="42" t="s">
        <v>466</v>
      </c>
      <c r="C748" s="42">
        <v>888</v>
      </c>
      <c r="D748" s="42">
        <v>20020</v>
      </c>
      <c r="E748" s="42" t="s">
        <v>28</v>
      </c>
      <c r="F748" s="42" t="s">
        <v>11</v>
      </c>
      <c r="G748" s="42" t="s">
        <v>28</v>
      </c>
      <c r="H748" s="42">
        <v>-153.32309820520001</v>
      </c>
      <c r="I748" s="42">
        <v>-34.67</v>
      </c>
    </row>
    <row r="749" spans="1:9" ht="18" customHeight="1">
      <c r="A749" s="41" t="str">
        <f t="shared" si="14"/>
        <v>888USD</v>
      </c>
      <c r="B749" s="42" t="s">
        <v>466</v>
      </c>
      <c r="C749" s="42">
        <v>888</v>
      </c>
      <c r="D749" s="42">
        <v>20020</v>
      </c>
      <c r="E749" s="42" t="s">
        <v>28</v>
      </c>
      <c r="F749" s="42" t="s">
        <v>11</v>
      </c>
      <c r="G749" s="42" t="s">
        <v>11</v>
      </c>
      <c r="H749" s="42">
        <v>35.197976590000003</v>
      </c>
      <c r="I749" s="42">
        <v>35.200000000000003</v>
      </c>
    </row>
    <row r="750" spans="1:9" ht="18" customHeight="1">
      <c r="A750" s="41" t="str">
        <f t="shared" si="14"/>
        <v>888MYR</v>
      </c>
      <c r="B750" s="42" t="s">
        <v>467</v>
      </c>
      <c r="C750" s="42">
        <v>888</v>
      </c>
      <c r="D750" s="42">
        <v>20030</v>
      </c>
      <c r="E750" s="42" t="s">
        <v>28</v>
      </c>
      <c r="F750" s="42" t="s">
        <v>11</v>
      </c>
      <c r="G750" s="42" t="s">
        <v>28</v>
      </c>
      <c r="H750" s="42">
        <v>-69.253760829005998</v>
      </c>
      <c r="I750" s="42">
        <v>-15.66</v>
      </c>
    </row>
    <row r="751" spans="1:9" ht="18" customHeight="1">
      <c r="A751" s="41" t="str">
        <f t="shared" si="14"/>
        <v>888USD</v>
      </c>
      <c r="B751" s="42" t="s">
        <v>467</v>
      </c>
      <c r="C751" s="42">
        <v>888</v>
      </c>
      <c r="D751" s="42">
        <v>20030</v>
      </c>
      <c r="E751" s="42" t="s">
        <v>28</v>
      </c>
      <c r="F751" s="42" t="s">
        <v>11</v>
      </c>
      <c r="G751" s="42" t="s">
        <v>11</v>
      </c>
      <c r="H751" s="42">
        <v>15.80771006</v>
      </c>
      <c r="I751" s="42">
        <v>15.81</v>
      </c>
    </row>
    <row r="752" spans="1:9" ht="18" customHeight="1">
      <c r="A752" s="41" t="str">
        <f t="shared" si="14"/>
        <v>888USD</v>
      </c>
      <c r="B752" s="42" t="s">
        <v>468</v>
      </c>
      <c r="C752" s="42">
        <v>888</v>
      </c>
      <c r="D752" s="42">
        <v>20020</v>
      </c>
      <c r="E752" s="42" t="s">
        <v>11</v>
      </c>
      <c r="F752" s="42" t="s">
        <v>28</v>
      </c>
      <c r="G752" s="42" t="s">
        <v>11</v>
      </c>
      <c r="H752" s="42">
        <v>-8.3198474000000004</v>
      </c>
      <c r="I752" s="42">
        <v>-8.32</v>
      </c>
    </row>
    <row r="753" spans="1:9" ht="18" customHeight="1">
      <c r="A753" s="41" t="str">
        <f t="shared" si="14"/>
        <v>888MYR</v>
      </c>
      <c r="B753" s="42" t="s">
        <v>468</v>
      </c>
      <c r="C753" s="42">
        <v>888</v>
      </c>
      <c r="D753" s="42">
        <v>20020</v>
      </c>
      <c r="E753" s="42" t="s">
        <v>11</v>
      </c>
      <c r="F753" s="42" t="s">
        <v>28</v>
      </c>
      <c r="G753" s="42" t="s">
        <v>28</v>
      </c>
      <c r="H753" s="42">
        <v>36.365945299499998</v>
      </c>
      <c r="I753" s="42">
        <v>8.2200000000000006</v>
      </c>
    </row>
    <row r="754" spans="1:9" ht="18" customHeight="1">
      <c r="A754" s="41" t="str">
        <f t="shared" si="14"/>
        <v>888USD</v>
      </c>
      <c r="B754" s="42" t="s">
        <v>469</v>
      </c>
      <c r="C754" s="42">
        <v>888</v>
      </c>
      <c r="D754" s="42">
        <v>20020</v>
      </c>
      <c r="E754" s="42" t="s">
        <v>11</v>
      </c>
      <c r="F754" s="42" t="s">
        <v>28</v>
      </c>
      <c r="G754" s="42" t="s">
        <v>11</v>
      </c>
      <c r="H754" s="42">
        <v>-4.2911879624999996</v>
      </c>
      <c r="I754" s="42">
        <v>-4.29</v>
      </c>
    </row>
    <row r="755" spans="1:9" ht="18" customHeight="1">
      <c r="A755" s="41" t="str">
        <f t="shared" si="14"/>
        <v>888MYR</v>
      </c>
      <c r="B755" s="42" t="s">
        <v>469</v>
      </c>
      <c r="C755" s="42">
        <v>888</v>
      </c>
      <c r="D755" s="42">
        <v>20020</v>
      </c>
      <c r="E755" s="42" t="s">
        <v>11</v>
      </c>
      <c r="F755" s="42" t="s">
        <v>28</v>
      </c>
      <c r="G755" s="42" t="s">
        <v>28</v>
      </c>
      <c r="H755" s="42">
        <v>18.703133425705001</v>
      </c>
      <c r="I755" s="42">
        <v>4.2300000000000004</v>
      </c>
    </row>
    <row r="756" spans="1:9" ht="18" customHeight="1">
      <c r="A756" s="41" t="str">
        <f t="shared" si="14"/>
        <v>888USD</v>
      </c>
      <c r="B756" s="42" t="s">
        <v>470</v>
      </c>
      <c r="C756" s="42">
        <v>888</v>
      </c>
      <c r="D756" s="42">
        <v>20020</v>
      </c>
      <c r="E756" s="42" t="s">
        <v>11</v>
      </c>
      <c r="F756" s="42" t="s">
        <v>28</v>
      </c>
      <c r="G756" s="42" t="s">
        <v>11</v>
      </c>
      <c r="H756" s="42">
        <v>-6.2853529625000002</v>
      </c>
      <c r="I756" s="42">
        <v>-6.29</v>
      </c>
    </row>
    <row r="757" spans="1:9" ht="18" customHeight="1">
      <c r="A757" s="41" t="str">
        <f t="shared" si="14"/>
        <v>888MYR</v>
      </c>
      <c r="B757" s="42" t="s">
        <v>470</v>
      </c>
      <c r="C757" s="42">
        <v>888</v>
      </c>
      <c r="D757" s="42">
        <v>20020</v>
      </c>
      <c r="E757" s="42" t="s">
        <v>11</v>
      </c>
      <c r="F757" s="42" t="s">
        <v>28</v>
      </c>
      <c r="G757" s="42" t="s">
        <v>28</v>
      </c>
      <c r="H757" s="42">
        <v>27.314775309800002</v>
      </c>
      <c r="I757" s="42">
        <v>6.18</v>
      </c>
    </row>
    <row r="758" spans="1:9" ht="18" customHeight="1">
      <c r="A758" s="41" t="str">
        <f t="shared" si="14"/>
        <v>888USD</v>
      </c>
      <c r="B758" s="42" t="s">
        <v>471</v>
      </c>
      <c r="C758" s="42">
        <v>888</v>
      </c>
      <c r="D758" s="42">
        <v>20020</v>
      </c>
      <c r="E758" s="42" t="s">
        <v>11</v>
      </c>
      <c r="F758" s="42" t="s">
        <v>28</v>
      </c>
      <c r="G758" s="42" t="s">
        <v>11</v>
      </c>
      <c r="H758" s="42">
        <v>-8.3360905499999998</v>
      </c>
      <c r="I758" s="42">
        <v>-8.34</v>
      </c>
    </row>
    <row r="759" spans="1:9" ht="18" customHeight="1">
      <c r="A759" s="41" t="str">
        <f t="shared" si="14"/>
        <v>888MYR</v>
      </c>
      <c r="B759" s="42" t="s">
        <v>471</v>
      </c>
      <c r="C759" s="42">
        <v>888</v>
      </c>
      <c r="D759" s="42">
        <v>20020</v>
      </c>
      <c r="E759" s="42" t="s">
        <v>11</v>
      </c>
      <c r="F759" s="42" t="s">
        <v>28</v>
      </c>
      <c r="G759" s="42" t="s">
        <v>28</v>
      </c>
      <c r="H759" s="42">
        <v>36.140173272018998</v>
      </c>
      <c r="I759" s="42">
        <v>8.17</v>
      </c>
    </row>
    <row r="760" spans="1:9" ht="18" customHeight="1">
      <c r="A760" s="41" t="str">
        <f t="shared" si="14"/>
        <v>888EUR</v>
      </c>
      <c r="B760" s="42" t="s">
        <v>472</v>
      </c>
      <c r="C760" s="42">
        <v>888</v>
      </c>
      <c r="D760" s="42">
        <v>20020</v>
      </c>
      <c r="E760" s="42" t="s">
        <v>31</v>
      </c>
      <c r="F760" s="42" t="s">
        <v>28</v>
      </c>
      <c r="G760" s="42" t="s">
        <v>31</v>
      </c>
      <c r="H760" s="42">
        <v>-1.66780693</v>
      </c>
      <c r="I760" s="42">
        <v>-1.8</v>
      </c>
    </row>
    <row r="761" spans="1:9" ht="18" customHeight="1">
      <c r="A761" s="41" t="str">
        <f t="shared" si="14"/>
        <v>888MYR</v>
      </c>
      <c r="B761" s="42" t="s">
        <v>472</v>
      </c>
      <c r="C761" s="42">
        <v>888</v>
      </c>
      <c r="D761" s="42">
        <v>20020</v>
      </c>
      <c r="E761" s="42" t="s">
        <v>31</v>
      </c>
      <c r="F761" s="42" t="s">
        <v>28</v>
      </c>
      <c r="G761" s="42" t="s">
        <v>28</v>
      </c>
      <c r="H761" s="42">
        <v>7.8349294628399999</v>
      </c>
      <c r="I761" s="42">
        <v>1.77</v>
      </c>
    </row>
    <row r="762" spans="1:9" ht="18" customHeight="1">
      <c r="A762" s="41" t="str">
        <f t="shared" si="14"/>
        <v>888EUR</v>
      </c>
      <c r="B762" s="42" t="s">
        <v>473</v>
      </c>
      <c r="C762" s="42">
        <v>888</v>
      </c>
      <c r="D762" s="42">
        <v>20020</v>
      </c>
      <c r="E762" s="42" t="s">
        <v>31</v>
      </c>
      <c r="F762" s="42" t="s">
        <v>28</v>
      </c>
      <c r="G762" s="42" t="s">
        <v>31</v>
      </c>
      <c r="H762" s="42">
        <v>-3.44909277</v>
      </c>
      <c r="I762" s="42">
        <v>-3.72</v>
      </c>
    </row>
    <row r="763" spans="1:9" ht="18" customHeight="1">
      <c r="A763" s="41" t="str">
        <f t="shared" si="14"/>
        <v>888MYR</v>
      </c>
      <c r="B763" s="42" t="s">
        <v>473</v>
      </c>
      <c r="C763" s="42">
        <v>888</v>
      </c>
      <c r="D763" s="42">
        <v>20020</v>
      </c>
      <c r="E763" s="42" t="s">
        <v>31</v>
      </c>
      <c r="F763" s="42" t="s">
        <v>28</v>
      </c>
      <c r="G763" s="42" t="s">
        <v>28</v>
      </c>
      <c r="H763" s="42">
        <v>16.14008810636</v>
      </c>
      <c r="I763" s="42">
        <v>3.65</v>
      </c>
    </row>
    <row r="764" spans="1:9" ht="18" customHeight="1">
      <c r="A764" s="41" t="str">
        <f t="shared" si="14"/>
        <v>888EUR</v>
      </c>
      <c r="B764" s="42" t="s">
        <v>474</v>
      </c>
      <c r="C764" s="42">
        <v>888</v>
      </c>
      <c r="D764" s="42">
        <v>20020</v>
      </c>
      <c r="E764" s="42" t="s">
        <v>31</v>
      </c>
      <c r="F764" s="42" t="s">
        <v>28</v>
      </c>
      <c r="G764" s="42" t="s">
        <v>31</v>
      </c>
      <c r="H764" s="42">
        <v>-5.0650853199999997</v>
      </c>
      <c r="I764" s="42">
        <v>-5.46</v>
      </c>
    </row>
    <row r="765" spans="1:9" ht="18" customHeight="1">
      <c r="A765" s="41" t="str">
        <f t="shared" si="14"/>
        <v>888MYR</v>
      </c>
      <c r="B765" s="42" t="s">
        <v>474</v>
      </c>
      <c r="C765" s="42">
        <v>888</v>
      </c>
      <c r="D765" s="42">
        <v>20020</v>
      </c>
      <c r="E765" s="42" t="s">
        <v>31</v>
      </c>
      <c r="F765" s="42" t="s">
        <v>28</v>
      </c>
      <c r="G765" s="42" t="s">
        <v>28</v>
      </c>
      <c r="H765" s="42">
        <v>23.60212310368</v>
      </c>
      <c r="I765" s="42">
        <v>5.34</v>
      </c>
    </row>
    <row r="766" spans="1:9" ht="18" customHeight="1">
      <c r="A766" s="41" t="str">
        <f t="shared" si="14"/>
        <v>888EUR</v>
      </c>
      <c r="B766" s="42" t="s">
        <v>475</v>
      </c>
      <c r="C766" s="42">
        <v>888</v>
      </c>
      <c r="D766" s="42">
        <v>20020</v>
      </c>
      <c r="E766" s="42" t="s">
        <v>31</v>
      </c>
      <c r="F766" s="42" t="s">
        <v>28</v>
      </c>
      <c r="G766" s="42" t="s">
        <v>31</v>
      </c>
      <c r="H766" s="42">
        <v>-6.7378830199999999</v>
      </c>
      <c r="I766" s="42">
        <v>-7.27</v>
      </c>
    </row>
    <row r="767" spans="1:9" ht="18" customHeight="1">
      <c r="A767" s="41" t="str">
        <f t="shared" si="14"/>
        <v>888MYR</v>
      </c>
      <c r="B767" s="42" t="s">
        <v>475</v>
      </c>
      <c r="C767" s="42">
        <v>888</v>
      </c>
      <c r="D767" s="42">
        <v>20020</v>
      </c>
      <c r="E767" s="42" t="s">
        <v>31</v>
      </c>
      <c r="F767" s="42" t="s">
        <v>28</v>
      </c>
      <c r="G767" s="42" t="s">
        <v>28</v>
      </c>
      <c r="H767" s="42">
        <v>31.290964953825</v>
      </c>
      <c r="I767" s="42">
        <v>7.08</v>
      </c>
    </row>
    <row r="768" spans="1:9" ht="18" customHeight="1">
      <c r="A768" s="41" t="str">
        <f t="shared" si="14"/>
        <v>888MYR</v>
      </c>
      <c r="B768" s="42" t="s">
        <v>476</v>
      </c>
      <c r="C768" s="42">
        <v>888</v>
      </c>
      <c r="D768" s="42">
        <v>20030</v>
      </c>
      <c r="E768" s="42" t="s">
        <v>28</v>
      </c>
      <c r="F768" s="42" t="s">
        <v>11</v>
      </c>
      <c r="G768" s="42" t="s">
        <v>28</v>
      </c>
      <c r="H768" s="42">
        <v>-74.909965541934994</v>
      </c>
      <c r="I768" s="42">
        <v>-16.940000000000001</v>
      </c>
    </row>
    <row r="769" spans="1:9" ht="18" customHeight="1">
      <c r="A769" s="41" t="str">
        <f t="shared" si="14"/>
        <v>888USD</v>
      </c>
      <c r="B769" s="42" t="s">
        <v>476</v>
      </c>
      <c r="C769" s="42">
        <v>888</v>
      </c>
      <c r="D769" s="42">
        <v>20030</v>
      </c>
      <c r="E769" s="42" t="s">
        <v>28</v>
      </c>
      <c r="F769" s="42" t="s">
        <v>11</v>
      </c>
      <c r="G769" s="42" t="s">
        <v>11</v>
      </c>
      <c r="H769" s="42">
        <v>17.164751849999998</v>
      </c>
      <c r="I769" s="42">
        <v>17.16</v>
      </c>
    </row>
    <row r="770" spans="1:9" ht="18" customHeight="1">
      <c r="A770" s="41" t="str">
        <f t="shared" si="14"/>
        <v>888USD</v>
      </c>
      <c r="B770" s="42" t="s">
        <v>477</v>
      </c>
      <c r="C770" s="42">
        <v>888</v>
      </c>
      <c r="D770" s="42">
        <v>20020</v>
      </c>
      <c r="E770" s="42" t="s">
        <v>11</v>
      </c>
      <c r="F770" s="42" t="s">
        <v>28</v>
      </c>
      <c r="G770" s="42" t="s">
        <v>11</v>
      </c>
      <c r="H770" s="42">
        <v>-12.479771100000001</v>
      </c>
      <c r="I770" s="42">
        <v>-12.48</v>
      </c>
    </row>
    <row r="771" spans="1:9" ht="18" customHeight="1">
      <c r="A771" s="41" t="str">
        <f t="shared" ref="A771:A834" si="15">CONCATENATE(C771,G771)</f>
        <v>888MYR</v>
      </c>
      <c r="B771" s="42" t="s">
        <v>477</v>
      </c>
      <c r="C771" s="42">
        <v>888</v>
      </c>
      <c r="D771" s="42">
        <v>20020</v>
      </c>
      <c r="E771" s="42" t="s">
        <v>11</v>
      </c>
      <c r="F771" s="42" t="s">
        <v>28</v>
      </c>
      <c r="G771" s="42" t="s">
        <v>28</v>
      </c>
      <c r="H771" s="42">
        <v>54.444664817700001</v>
      </c>
      <c r="I771" s="42">
        <v>12.31</v>
      </c>
    </row>
    <row r="772" spans="1:9" ht="18" customHeight="1">
      <c r="A772" s="41" t="str">
        <f t="shared" si="15"/>
        <v>888USD</v>
      </c>
      <c r="B772" s="42" t="s">
        <v>478</v>
      </c>
      <c r="C772" s="42">
        <v>888</v>
      </c>
      <c r="D772" s="42">
        <v>20020</v>
      </c>
      <c r="E772" s="42" t="s">
        <v>11</v>
      </c>
      <c r="F772" s="42" t="s">
        <v>28</v>
      </c>
      <c r="G772" s="42" t="s">
        <v>11</v>
      </c>
      <c r="H772" s="42">
        <v>-4.2911879624999996</v>
      </c>
      <c r="I772" s="42">
        <v>-4.29</v>
      </c>
    </row>
    <row r="773" spans="1:9" ht="18" customHeight="1">
      <c r="A773" s="41" t="str">
        <f t="shared" si="15"/>
        <v>888MYR</v>
      </c>
      <c r="B773" s="42" t="s">
        <v>478</v>
      </c>
      <c r="C773" s="42">
        <v>888</v>
      </c>
      <c r="D773" s="42">
        <v>20020</v>
      </c>
      <c r="E773" s="42" t="s">
        <v>11</v>
      </c>
      <c r="F773" s="42" t="s">
        <v>28</v>
      </c>
      <c r="G773" s="42" t="s">
        <v>28</v>
      </c>
      <c r="H773" s="42">
        <v>18.665336591568</v>
      </c>
      <c r="I773" s="42">
        <v>4.22</v>
      </c>
    </row>
    <row r="774" spans="1:9" ht="18" customHeight="1">
      <c r="A774" s="41" t="str">
        <f t="shared" si="15"/>
        <v>888USD</v>
      </c>
      <c r="B774" s="42" t="s">
        <v>479</v>
      </c>
      <c r="C774" s="42">
        <v>888</v>
      </c>
      <c r="D774" s="42">
        <v>20020</v>
      </c>
      <c r="E774" s="42" t="s">
        <v>11</v>
      </c>
      <c r="F774" s="42" t="s">
        <v>28</v>
      </c>
      <c r="G774" s="42" t="s">
        <v>11</v>
      </c>
      <c r="H774" s="42">
        <v>-12.570705925</v>
      </c>
      <c r="I774" s="42">
        <v>-12.57</v>
      </c>
    </row>
    <row r="775" spans="1:9" ht="18" customHeight="1">
      <c r="A775" s="41" t="str">
        <f t="shared" si="15"/>
        <v>888MYR</v>
      </c>
      <c r="B775" s="42" t="s">
        <v>479</v>
      </c>
      <c r="C775" s="42">
        <v>888</v>
      </c>
      <c r="D775" s="42">
        <v>20020</v>
      </c>
      <c r="E775" s="42" t="s">
        <v>11</v>
      </c>
      <c r="F775" s="42" t="s">
        <v>28</v>
      </c>
      <c r="G775" s="42" t="s">
        <v>28</v>
      </c>
      <c r="H775" s="42">
        <v>54.525365925800003</v>
      </c>
      <c r="I775" s="42">
        <v>12.33</v>
      </c>
    </row>
    <row r="776" spans="1:9" ht="18" customHeight="1">
      <c r="A776" s="41" t="str">
        <f t="shared" si="15"/>
        <v>888USD</v>
      </c>
      <c r="B776" s="42" t="s">
        <v>480</v>
      </c>
      <c r="C776" s="42">
        <v>888</v>
      </c>
      <c r="D776" s="42">
        <v>20020</v>
      </c>
      <c r="E776" s="42" t="s">
        <v>11</v>
      </c>
      <c r="F776" s="42" t="s">
        <v>28</v>
      </c>
      <c r="G776" s="42" t="s">
        <v>11</v>
      </c>
      <c r="H776" s="42">
        <v>-16.6721811</v>
      </c>
      <c r="I776" s="42">
        <v>-16.670000000000002</v>
      </c>
    </row>
    <row r="777" spans="1:9" ht="18" customHeight="1">
      <c r="A777" s="41" t="str">
        <f t="shared" si="15"/>
        <v>888MYR</v>
      </c>
      <c r="B777" s="42" t="s">
        <v>480</v>
      </c>
      <c r="C777" s="42">
        <v>888</v>
      </c>
      <c r="D777" s="42">
        <v>20020</v>
      </c>
      <c r="E777" s="42" t="s">
        <v>11</v>
      </c>
      <c r="F777" s="42" t="s">
        <v>28</v>
      </c>
      <c r="G777" s="42" t="s">
        <v>28</v>
      </c>
      <c r="H777" s="42">
        <v>72.142607961899998</v>
      </c>
      <c r="I777" s="42">
        <v>16.309999999999999</v>
      </c>
    </row>
    <row r="778" spans="1:9" ht="18" customHeight="1">
      <c r="A778" s="41" t="str">
        <f t="shared" si="15"/>
        <v>888EUR</v>
      </c>
      <c r="B778" s="42" t="s">
        <v>481</v>
      </c>
      <c r="C778" s="42">
        <v>888</v>
      </c>
      <c r="D778" s="42">
        <v>20020</v>
      </c>
      <c r="E778" s="42" t="s">
        <v>31</v>
      </c>
      <c r="F778" s="42" t="s">
        <v>28</v>
      </c>
      <c r="G778" s="42" t="s">
        <v>31</v>
      </c>
      <c r="H778" s="42">
        <v>-3.33561386</v>
      </c>
      <c r="I778" s="42">
        <v>-3.6</v>
      </c>
    </row>
    <row r="779" spans="1:9" ht="18" customHeight="1">
      <c r="A779" s="41" t="str">
        <f t="shared" si="15"/>
        <v>888MYR</v>
      </c>
      <c r="B779" s="42" t="s">
        <v>481</v>
      </c>
      <c r="C779" s="42">
        <v>888</v>
      </c>
      <c r="D779" s="42">
        <v>20020</v>
      </c>
      <c r="E779" s="42" t="s">
        <v>31</v>
      </c>
      <c r="F779" s="42" t="s">
        <v>28</v>
      </c>
      <c r="G779" s="42" t="s">
        <v>28</v>
      </c>
      <c r="H779" s="42">
        <v>15.642058090600001</v>
      </c>
      <c r="I779" s="42">
        <v>3.54</v>
      </c>
    </row>
    <row r="780" spans="1:9" ht="18" customHeight="1">
      <c r="A780" s="41" t="str">
        <f t="shared" si="15"/>
        <v>888MYR</v>
      </c>
      <c r="B780" s="42" t="s">
        <v>482</v>
      </c>
      <c r="C780" s="42">
        <v>888</v>
      </c>
      <c r="D780" s="42">
        <v>20020</v>
      </c>
      <c r="E780" s="42" t="s">
        <v>28</v>
      </c>
      <c r="F780" s="42" t="s">
        <v>11</v>
      </c>
      <c r="G780" s="42" t="s">
        <v>28</v>
      </c>
      <c r="H780" s="42">
        <v>-54.564862545840001</v>
      </c>
      <c r="I780" s="42">
        <v>-12.34</v>
      </c>
    </row>
    <row r="781" spans="1:9" ht="18" customHeight="1">
      <c r="A781" s="41" t="str">
        <f t="shared" si="15"/>
        <v>888USD</v>
      </c>
      <c r="B781" s="42" t="s">
        <v>482</v>
      </c>
      <c r="C781" s="42">
        <v>888</v>
      </c>
      <c r="D781" s="42">
        <v>20020</v>
      </c>
      <c r="E781" s="42" t="s">
        <v>28</v>
      </c>
      <c r="F781" s="42" t="s">
        <v>11</v>
      </c>
      <c r="G781" s="42" t="s">
        <v>11</v>
      </c>
      <c r="H781" s="42">
        <v>12.479771100000001</v>
      </c>
      <c r="I781" s="42">
        <v>12.48</v>
      </c>
    </row>
    <row r="782" spans="1:9" ht="18" customHeight="1">
      <c r="A782" s="41" t="str">
        <f t="shared" si="15"/>
        <v>888EUR</v>
      </c>
      <c r="B782" s="42" t="s">
        <v>483</v>
      </c>
      <c r="C782" s="42">
        <v>888</v>
      </c>
      <c r="D782" s="42">
        <v>20020</v>
      </c>
      <c r="E782" s="42" t="s">
        <v>31</v>
      </c>
      <c r="F782" s="42" t="s">
        <v>28</v>
      </c>
      <c r="G782" s="42" t="s">
        <v>31</v>
      </c>
      <c r="H782" s="42">
        <v>-5.0650853199999997</v>
      </c>
      <c r="I782" s="42">
        <v>-5.46</v>
      </c>
    </row>
    <row r="783" spans="1:9" ht="18" customHeight="1">
      <c r="A783" s="41" t="str">
        <f t="shared" si="15"/>
        <v>888MYR</v>
      </c>
      <c r="B783" s="42" t="s">
        <v>483</v>
      </c>
      <c r="C783" s="42">
        <v>888</v>
      </c>
      <c r="D783" s="42">
        <v>20020</v>
      </c>
      <c r="E783" s="42" t="s">
        <v>31</v>
      </c>
      <c r="F783" s="42" t="s">
        <v>28</v>
      </c>
      <c r="G783" s="42" t="s">
        <v>28</v>
      </c>
      <c r="H783" s="42">
        <v>23.562900630720002</v>
      </c>
      <c r="I783" s="42">
        <v>5.33</v>
      </c>
    </row>
    <row r="784" spans="1:9" ht="18" customHeight="1">
      <c r="A784" s="41" t="str">
        <f t="shared" si="15"/>
        <v>888EUR</v>
      </c>
      <c r="B784" s="42" t="s">
        <v>484</v>
      </c>
      <c r="C784" s="42">
        <v>888</v>
      </c>
      <c r="D784" s="42">
        <v>20020</v>
      </c>
      <c r="E784" s="42" t="s">
        <v>31</v>
      </c>
      <c r="F784" s="42" t="s">
        <v>28</v>
      </c>
      <c r="G784" s="42" t="s">
        <v>31</v>
      </c>
      <c r="H784" s="42">
        <v>-6.7378830199999999</v>
      </c>
      <c r="I784" s="42">
        <v>-7.27</v>
      </c>
    </row>
    <row r="785" spans="1:9" ht="18" customHeight="1">
      <c r="A785" s="41" t="str">
        <f t="shared" si="15"/>
        <v>888MYR</v>
      </c>
      <c r="B785" s="42" t="s">
        <v>484</v>
      </c>
      <c r="C785" s="42">
        <v>888</v>
      </c>
      <c r="D785" s="42">
        <v>20020</v>
      </c>
      <c r="E785" s="42" t="s">
        <v>31</v>
      </c>
      <c r="F785" s="42" t="s">
        <v>28</v>
      </c>
      <c r="G785" s="42" t="s">
        <v>28</v>
      </c>
      <c r="H785" s="42">
        <v>31.235869520969999</v>
      </c>
      <c r="I785" s="42">
        <v>7.06</v>
      </c>
    </row>
    <row r="786" spans="1:9" ht="18" customHeight="1">
      <c r="A786" s="41" t="str">
        <f t="shared" si="15"/>
        <v>888USD</v>
      </c>
      <c r="B786" s="42" t="s">
        <v>485</v>
      </c>
      <c r="C786" s="42">
        <v>888</v>
      </c>
      <c r="D786" s="42">
        <v>20020</v>
      </c>
      <c r="E786" s="42" t="s">
        <v>11</v>
      </c>
      <c r="F786" s="42" t="s">
        <v>31</v>
      </c>
      <c r="G786" s="42" t="s">
        <v>11</v>
      </c>
      <c r="H786" s="42">
        <v>-3.5891821683599998</v>
      </c>
      <c r="I786" s="42">
        <v>-3.59</v>
      </c>
    </row>
    <row r="787" spans="1:9" ht="18" customHeight="1">
      <c r="A787" s="41" t="str">
        <f t="shared" si="15"/>
        <v>888EUR</v>
      </c>
      <c r="B787" s="42" t="s">
        <v>485</v>
      </c>
      <c r="C787" s="42">
        <v>888</v>
      </c>
      <c r="D787" s="42">
        <v>20020</v>
      </c>
      <c r="E787" s="42" t="s">
        <v>11</v>
      </c>
      <c r="F787" s="42" t="s">
        <v>31</v>
      </c>
      <c r="G787" s="42" t="s">
        <v>31</v>
      </c>
      <c r="H787" s="42">
        <v>3.33561386</v>
      </c>
      <c r="I787" s="42">
        <v>3.6</v>
      </c>
    </row>
    <row r="788" spans="1:9" ht="18" customHeight="1">
      <c r="A788" s="41" t="str">
        <f t="shared" si="15"/>
        <v>888USD</v>
      </c>
      <c r="B788" s="42" t="s">
        <v>486</v>
      </c>
      <c r="C788" s="42">
        <v>888</v>
      </c>
      <c r="D788" s="42">
        <v>20020</v>
      </c>
      <c r="E788" s="42" t="s">
        <v>11</v>
      </c>
      <c r="F788" s="42" t="s">
        <v>31</v>
      </c>
      <c r="G788" s="42" t="s">
        <v>11</v>
      </c>
      <c r="H788" s="42">
        <v>-10.876174766309999</v>
      </c>
      <c r="I788" s="42">
        <v>-10.88</v>
      </c>
    </row>
    <row r="789" spans="1:9" ht="18" customHeight="1">
      <c r="A789" s="41" t="str">
        <f t="shared" si="15"/>
        <v>888EUR</v>
      </c>
      <c r="B789" s="42" t="s">
        <v>486</v>
      </c>
      <c r="C789" s="42">
        <v>888</v>
      </c>
      <c r="D789" s="42">
        <v>20020</v>
      </c>
      <c r="E789" s="42" t="s">
        <v>11</v>
      </c>
      <c r="F789" s="42" t="s">
        <v>31</v>
      </c>
      <c r="G789" s="42" t="s">
        <v>31</v>
      </c>
      <c r="H789" s="42">
        <v>10.130170639999999</v>
      </c>
      <c r="I789" s="42">
        <v>10.93</v>
      </c>
    </row>
    <row r="790" spans="1:9" ht="18" customHeight="1">
      <c r="A790" s="41" t="str">
        <f t="shared" si="15"/>
        <v>888MYR</v>
      </c>
      <c r="B790" s="42" t="s">
        <v>487</v>
      </c>
      <c r="C790" s="42">
        <v>888</v>
      </c>
      <c r="D790" s="42">
        <v>20020</v>
      </c>
      <c r="E790" s="42" t="s">
        <v>28</v>
      </c>
      <c r="F790" s="42" t="s">
        <v>11</v>
      </c>
      <c r="G790" s="42" t="s">
        <v>28</v>
      </c>
      <c r="H790" s="42">
        <v>-156.24752578909701</v>
      </c>
      <c r="I790" s="42">
        <v>-35.33</v>
      </c>
    </row>
    <row r="791" spans="1:9" ht="18" customHeight="1">
      <c r="A791" s="41" t="str">
        <f t="shared" si="15"/>
        <v>888USD</v>
      </c>
      <c r="B791" s="42" t="s">
        <v>487</v>
      </c>
      <c r="C791" s="42">
        <v>888</v>
      </c>
      <c r="D791" s="42">
        <v>20020</v>
      </c>
      <c r="E791" s="42" t="s">
        <v>28</v>
      </c>
      <c r="F791" s="42" t="s">
        <v>11</v>
      </c>
      <c r="G791" s="42" t="s">
        <v>11</v>
      </c>
      <c r="H791" s="42">
        <v>35.9522189455</v>
      </c>
      <c r="I791" s="42">
        <v>35.950000000000003</v>
      </c>
    </row>
    <row r="792" spans="1:9" ht="18" customHeight="1">
      <c r="A792" s="41" t="str">
        <f t="shared" si="15"/>
        <v>888MYR</v>
      </c>
      <c r="B792" s="42" t="s">
        <v>488</v>
      </c>
      <c r="C792" s="42">
        <v>888</v>
      </c>
      <c r="D792" s="42">
        <v>20030</v>
      </c>
      <c r="E792" s="42" t="s">
        <v>28</v>
      </c>
      <c r="F792" s="42" t="s">
        <v>11</v>
      </c>
      <c r="G792" s="42" t="s">
        <v>28</v>
      </c>
      <c r="H792" s="42">
        <v>-159.052412382847</v>
      </c>
      <c r="I792" s="42">
        <v>-35.96</v>
      </c>
    </row>
    <row r="793" spans="1:9" ht="18" customHeight="1">
      <c r="A793" s="41" t="str">
        <f t="shared" si="15"/>
        <v>888USD</v>
      </c>
      <c r="B793" s="42" t="s">
        <v>488</v>
      </c>
      <c r="C793" s="42">
        <v>888</v>
      </c>
      <c r="D793" s="42">
        <v>20030</v>
      </c>
      <c r="E793" s="42" t="s">
        <v>28</v>
      </c>
      <c r="F793" s="42" t="s">
        <v>11</v>
      </c>
      <c r="G793" s="42" t="s">
        <v>11</v>
      </c>
      <c r="H793" s="42">
        <v>36.67879842</v>
      </c>
      <c r="I793" s="42">
        <v>36.68</v>
      </c>
    </row>
    <row r="794" spans="1:9" ht="18" customHeight="1">
      <c r="A794" s="41" t="str">
        <f t="shared" si="15"/>
        <v>888USD</v>
      </c>
      <c r="B794" s="42" t="s">
        <v>489</v>
      </c>
      <c r="C794" s="42">
        <v>888</v>
      </c>
      <c r="D794" s="42">
        <v>20020</v>
      </c>
      <c r="E794" s="42" t="s">
        <v>11</v>
      </c>
      <c r="F794" s="42" t="s">
        <v>28</v>
      </c>
      <c r="G794" s="42" t="s">
        <v>11</v>
      </c>
      <c r="H794" s="42">
        <v>-8.3198474000000004</v>
      </c>
      <c r="I794" s="42">
        <v>-8.32</v>
      </c>
    </row>
    <row r="795" spans="1:9" ht="18" customHeight="1">
      <c r="A795" s="41" t="str">
        <f t="shared" si="15"/>
        <v>888MYR</v>
      </c>
      <c r="B795" s="42" t="s">
        <v>489</v>
      </c>
      <c r="C795" s="42">
        <v>888</v>
      </c>
      <c r="D795" s="42">
        <v>20020</v>
      </c>
      <c r="E795" s="42" t="s">
        <v>11</v>
      </c>
      <c r="F795" s="42" t="s">
        <v>28</v>
      </c>
      <c r="G795" s="42" t="s">
        <v>28</v>
      </c>
      <c r="H795" s="42">
        <v>36.280089779400001</v>
      </c>
      <c r="I795" s="42">
        <v>8.1999999999999993</v>
      </c>
    </row>
    <row r="796" spans="1:9" ht="18" customHeight="1">
      <c r="A796" s="41" t="str">
        <f t="shared" si="15"/>
        <v>888USD</v>
      </c>
      <c r="B796" s="42" t="s">
        <v>490</v>
      </c>
      <c r="C796" s="42">
        <v>888</v>
      </c>
      <c r="D796" s="42">
        <v>20020</v>
      </c>
      <c r="E796" s="42" t="s">
        <v>11</v>
      </c>
      <c r="F796" s="42" t="s">
        <v>28</v>
      </c>
      <c r="G796" s="42" t="s">
        <v>11</v>
      </c>
      <c r="H796" s="42">
        <v>-8.5823759249999991</v>
      </c>
      <c r="I796" s="42">
        <v>-8.58</v>
      </c>
    </row>
    <row r="797" spans="1:9" ht="18" customHeight="1">
      <c r="A797" s="41" t="str">
        <f t="shared" si="15"/>
        <v>888MYR</v>
      </c>
      <c r="B797" s="42" t="s">
        <v>490</v>
      </c>
      <c r="C797" s="42">
        <v>888</v>
      </c>
      <c r="D797" s="42">
        <v>20020</v>
      </c>
      <c r="E797" s="42" t="s">
        <v>11</v>
      </c>
      <c r="F797" s="42" t="s">
        <v>28</v>
      </c>
      <c r="G797" s="42" t="s">
        <v>28</v>
      </c>
      <c r="H797" s="42">
        <v>37.313874590186998</v>
      </c>
      <c r="I797" s="42">
        <v>8.44</v>
      </c>
    </row>
    <row r="798" spans="1:9" ht="18" customHeight="1">
      <c r="A798" s="41" t="str">
        <f t="shared" si="15"/>
        <v>888USD</v>
      </c>
      <c r="B798" s="42" t="s">
        <v>491</v>
      </c>
      <c r="C798" s="42">
        <v>888</v>
      </c>
      <c r="D798" s="42">
        <v>20020</v>
      </c>
      <c r="E798" s="42" t="s">
        <v>11</v>
      </c>
      <c r="F798" s="42" t="s">
        <v>28</v>
      </c>
      <c r="G798" s="42" t="s">
        <v>11</v>
      </c>
      <c r="H798" s="42">
        <v>-6.2853529625000002</v>
      </c>
      <c r="I798" s="42">
        <v>-6.29</v>
      </c>
    </row>
    <row r="799" spans="1:9" ht="18" customHeight="1">
      <c r="A799" s="41" t="str">
        <f t="shared" si="15"/>
        <v>888MYR</v>
      </c>
      <c r="B799" s="42" t="s">
        <v>491</v>
      </c>
      <c r="C799" s="42">
        <v>888</v>
      </c>
      <c r="D799" s="42">
        <v>20020</v>
      </c>
      <c r="E799" s="42" t="s">
        <v>11</v>
      </c>
      <c r="F799" s="42" t="s">
        <v>28</v>
      </c>
      <c r="G799" s="42" t="s">
        <v>28</v>
      </c>
      <c r="H799" s="42">
        <v>27.247361684400001</v>
      </c>
      <c r="I799" s="42">
        <v>6.16</v>
      </c>
    </row>
    <row r="800" spans="1:9" ht="18" customHeight="1">
      <c r="A800" s="41" t="str">
        <f t="shared" si="15"/>
        <v>888USD</v>
      </c>
      <c r="B800" s="42" t="s">
        <v>492</v>
      </c>
      <c r="C800" s="42">
        <v>888</v>
      </c>
      <c r="D800" s="42">
        <v>20020</v>
      </c>
      <c r="E800" s="42" t="s">
        <v>11</v>
      </c>
      <c r="F800" s="42" t="s">
        <v>28</v>
      </c>
      <c r="G800" s="42" t="s">
        <v>11</v>
      </c>
      <c r="H800" s="42">
        <v>-8.3360905499999998</v>
      </c>
      <c r="I800" s="42">
        <v>-8.34</v>
      </c>
    </row>
    <row r="801" spans="1:9" ht="18" customHeight="1">
      <c r="A801" s="41" t="str">
        <f t="shared" si="15"/>
        <v>888MYR</v>
      </c>
      <c r="B801" s="42" t="s">
        <v>492</v>
      </c>
      <c r="C801" s="42">
        <v>888</v>
      </c>
      <c r="D801" s="42">
        <v>20020</v>
      </c>
      <c r="E801" s="42" t="s">
        <v>11</v>
      </c>
      <c r="F801" s="42" t="s">
        <v>28</v>
      </c>
      <c r="G801" s="42" t="s">
        <v>28</v>
      </c>
      <c r="H801" s="42">
        <v>36.046997172337001</v>
      </c>
      <c r="I801" s="42">
        <v>8.15</v>
      </c>
    </row>
    <row r="802" spans="1:9" ht="18" customHeight="1">
      <c r="A802" s="41" t="str">
        <f t="shared" si="15"/>
        <v>888MYR</v>
      </c>
      <c r="B802" s="42" t="s">
        <v>493</v>
      </c>
      <c r="C802" s="42">
        <v>888</v>
      </c>
      <c r="D802" s="42">
        <v>20020</v>
      </c>
      <c r="E802" s="42" t="s">
        <v>28</v>
      </c>
      <c r="F802" s="42" t="s">
        <v>11</v>
      </c>
      <c r="G802" s="42" t="s">
        <v>28</v>
      </c>
      <c r="H802" s="42">
        <v>-74.778936516925</v>
      </c>
      <c r="I802" s="42">
        <v>-16.91</v>
      </c>
    </row>
    <row r="803" spans="1:9" ht="18" customHeight="1">
      <c r="A803" s="41" t="str">
        <f t="shared" si="15"/>
        <v>888USD</v>
      </c>
      <c r="B803" s="42" t="s">
        <v>493</v>
      </c>
      <c r="C803" s="42">
        <v>888</v>
      </c>
      <c r="D803" s="42">
        <v>20020</v>
      </c>
      <c r="E803" s="42" t="s">
        <v>28</v>
      </c>
      <c r="F803" s="42" t="s">
        <v>11</v>
      </c>
      <c r="G803" s="42" t="s">
        <v>11</v>
      </c>
      <c r="H803" s="42">
        <v>17.164751849999998</v>
      </c>
      <c r="I803" s="42">
        <v>17.16</v>
      </c>
    </row>
    <row r="804" spans="1:9" ht="18" customHeight="1">
      <c r="A804" s="41" t="str">
        <f t="shared" si="15"/>
        <v>888USD</v>
      </c>
      <c r="B804" s="42" t="s">
        <v>494</v>
      </c>
      <c r="C804" s="42">
        <v>888</v>
      </c>
      <c r="D804" s="42">
        <v>20020</v>
      </c>
      <c r="E804" s="42" t="s">
        <v>11</v>
      </c>
      <c r="F804" s="42" t="s">
        <v>28</v>
      </c>
      <c r="G804" s="42" t="s">
        <v>11</v>
      </c>
      <c r="H804" s="42">
        <v>-1.1101334375</v>
      </c>
      <c r="I804" s="42">
        <v>-1.1100000000000001</v>
      </c>
    </row>
    <row r="805" spans="1:9" ht="18" customHeight="1">
      <c r="A805" s="41" t="str">
        <f t="shared" si="15"/>
        <v>888MYR</v>
      </c>
      <c r="B805" s="42" t="s">
        <v>494</v>
      </c>
      <c r="C805" s="42">
        <v>888</v>
      </c>
      <c r="D805" s="42">
        <v>20020</v>
      </c>
      <c r="E805" s="42" t="s">
        <v>11</v>
      </c>
      <c r="F805" s="42" t="s">
        <v>28</v>
      </c>
      <c r="G805" s="42" t="s">
        <v>28</v>
      </c>
      <c r="H805" s="42">
        <v>4.8457653498750002</v>
      </c>
      <c r="I805" s="42">
        <v>1.1000000000000001</v>
      </c>
    </row>
    <row r="806" spans="1:9" ht="18" customHeight="1">
      <c r="A806" s="41" t="str">
        <f t="shared" si="15"/>
        <v>888USD</v>
      </c>
      <c r="B806" s="42" t="s">
        <v>495</v>
      </c>
      <c r="C806" s="42">
        <v>888</v>
      </c>
      <c r="D806" s="42">
        <v>20020</v>
      </c>
      <c r="E806" s="42" t="s">
        <v>11</v>
      </c>
      <c r="F806" s="42" t="s">
        <v>28</v>
      </c>
      <c r="G806" s="42" t="s">
        <v>11</v>
      </c>
      <c r="H806" s="42">
        <v>-8.5823759249999991</v>
      </c>
      <c r="I806" s="42">
        <v>-8.58</v>
      </c>
    </row>
    <row r="807" spans="1:9" ht="18" customHeight="1">
      <c r="A807" s="41" t="str">
        <f t="shared" si="15"/>
        <v>888MYR</v>
      </c>
      <c r="B807" s="42" t="s">
        <v>495</v>
      </c>
      <c r="C807" s="42">
        <v>888</v>
      </c>
      <c r="D807" s="42">
        <v>20020</v>
      </c>
      <c r="E807" s="42" t="s">
        <v>11</v>
      </c>
      <c r="F807" s="42" t="s">
        <v>28</v>
      </c>
      <c r="G807" s="42" t="s">
        <v>28</v>
      </c>
      <c r="H807" s="42">
        <v>37.305475293712</v>
      </c>
      <c r="I807" s="42">
        <v>8.44</v>
      </c>
    </row>
    <row r="808" spans="1:9" ht="18" customHeight="1">
      <c r="A808" s="41" t="str">
        <f t="shared" si="15"/>
        <v>888USD</v>
      </c>
      <c r="B808" s="42" t="s">
        <v>496</v>
      </c>
      <c r="C808" s="42">
        <v>888</v>
      </c>
      <c r="D808" s="42">
        <v>20020</v>
      </c>
      <c r="E808" s="42" t="s">
        <v>11</v>
      </c>
      <c r="F808" s="42" t="s">
        <v>28</v>
      </c>
      <c r="G808" s="42" t="s">
        <v>11</v>
      </c>
      <c r="H808" s="42">
        <v>-12.570705925</v>
      </c>
      <c r="I808" s="42">
        <v>-12.57</v>
      </c>
    </row>
    <row r="809" spans="1:9" ht="18" customHeight="1">
      <c r="A809" s="41" t="str">
        <f t="shared" si="15"/>
        <v>888MYR</v>
      </c>
      <c r="B809" s="42" t="s">
        <v>496</v>
      </c>
      <c r="C809" s="42">
        <v>888</v>
      </c>
      <c r="D809" s="42">
        <v>20020</v>
      </c>
      <c r="E809" s="42" t="s">
        <v>11</v>
      </c>
      <c r="F809" s="42" t="s">
        <v>28</v>
      </c>
      <c r="G809" s="42" t="s">
        <v>28</v>
      </c>
      <c r="H809" s="42">
        <v>54.494723368800003</v>
      </c>
      <c r="I809" s="42">
        <v>12.32</v>
      </c>
    </row>
    <row r="810" spans="1:9" ht="18" customHeight="1">
      <c r="A810" s="41" t="str">
        <f t="shared" si="15"/>
        <v>888USD</v>
      </c>
      <c r="B810" s="42" t="s">
        <v>497</v>
      </c>
      <c r="C810" s="42">
        <v>888</v>
      </c>
      <c r="D810" s="42">
        <v>20020</v>
      </c>
      <c r="E810" s="42" t="s">
        <v>11</v>
      </c>
      <c r="F810" s="42" t="s">
        <v>28</v>
      </c>
      <c r="G810" s="42" t="s">
        <v>11</v>
      </c>
      <c r="H810" s="42">
        <v>-8.3360905499999998</v>
      </c>
      <c r="I810" s="42">
        <v>-8.34</v>
      </c>
    </row>
    <row r="811" spans="1:9" ht="18" customHeight="1">
      <c r="A811" s="41" t="str">
        <f t="shared" si="15"/>
        <v>888MYR</v>
      </c>
      <c r="B811" s="42" t="s">
        <v>497</v>
      </c>
      <c r="C811" s="42">
        <v>888</v>
      </c>
      <c r="D811" s="42">
        <v>20020</v>
      </c>
      <c r="E811" s="42" t="s">
        <v>11</v>
      </c>
      <c r="F811" s="42" t="s">
        <v>28</v>
      </c>
      <c r="G811" s="42" t="s">
        <v>28</v>
      </c>
      <c r="H811" s="42">
        <v>36.042946037569003</v>
      </c>
      <c r="I811" s="42">
        <v>8.15</v>
      </c>
    </row>
    <row r="812" spans="1:9" ht="18" customHeight="1">
      <c r="A812" s="41" t="str">
        <f t="shared" si="15"/>
        <v>888USD</v>
      </c>
      <c r="B812" s="42" t="s">
        <v>498</v>
      </c>
      <c r="C812" s="42">
        <v>888</v>
      </c>
      <c r="D812" s="42">
        <v>20020</v>
      </c>
      <c r="E812" s="42" t="s">
        <v>11</v>
      </c>
      <c r="F812" s="42" t="s">
        <v>28</v>
      </c>
      <c r="G812" s="42" t="s">
        <v>11</v>
      </c>
      <c r="H812" s="42">
        <v>-3.4329503699999999</v>
      </c>
      <c r="I812" s="42">
        <v>-3.43</v>
      </c>
    </row>
    <row r="813" spans="1:9" ht="18" customHeight="1">
      <c r="A813" s="41" t="str">
        <f t="shared" si="15"/>
        <v>888MYR</v>
      </c>
      <c r="B813" s="42" t="s">
        <v>498</v>
      </c>
      <c r="C813" s="42">
        <v>888</v>
      </c>
      <c r="D813" s="42">
        <v>20020</v>
      </c>
      <c r="E813" s="42" t="s">
        <v>11</v>
      </c>
      <c r="F813" s="42" t="s">
        <v>28</v>
      </c>
      <c r="G813" s="42" t="s">
        <v>28</v>
      </c>
      <c r="H813" s="42">
        <v>14.940668569730001</v>
      </c>
      <c r="I813" s="42">
        <v>3.38</v>
      </c>
    </row>
    <row r="814" spans="1:9" ht="18" customHeight="1">
      <c r="A814" s="41" t="str">
        <f t="shared" si="15"/>
        <v>888USD</v>
      </c>
      <c r="B814" s="42" t="s">
        <v>499</v>
      </c>
      <c r="C814" s="42">
        <v>888</v>
      </c>
      <c r="D814" s="42">
        <v>20020</v>
      </c>
      <c r="E814" s="42" t="s">
        <v>11</v>
      </c>
      <c r="F814" s="42" t="s">
        <v>28</v>
      </c>
      <c r="G814" s="42" t="s">
        <v>11</v>
      </c>
      <c r="H814" s="42">
        <v>-6.6688724400000003</v>
      </c>
      <c r="I814" s="42">
        <v>-6.67</v>
      </c>
    </row>
    <row r="815" spans="1:9" ht="18" customHeight="1">
      <c r="A815" s="41" t="str">
        <f t="shared" si="15"/>
        <v>888MYR</v>
      </c>
      <c r="B815" s="42" t="s">
        <v>499</v>
      </c>
      <c r="C815" s="42">
        <v>888</v>
      </c>
      <c r="D815" s="42">
        <v>20020</v>
      </c>
      <c r="E815" s="42" t="s">
        <v>11</v>
      </c>
      <c r="F815" s="42" t="s">
        <v>28</v>
      </c>
      <c r="G815" s="42" t="s">
        <v>28</v>
      </c>
      <c r="H815" s="42">
        <v>28.870006816019998</v>
      </c>
      <c r="I815" s="42">
        <v>6.53</v>
      </c>
    </row>
    <row r="816" spans="1:9" ht="18" customHeight="1">
      <c r="A816" s="41" t="str">
        <f t="shared" si="15"/>
        <v>888USD</v>
      </c>
      <c r="B816" s="42" t="s">
        <v>500</v>
      </c>
      <c r="C816" s="42">
        <v>888</v>
      </c>
      <c r="D816" s="42">
        <v>20020</v>
      </c>
      <c r="E816" s="42" t="s">
        <v>11</v>
      </c>
      <c r="F816" s="42" t="s">
        <v>28</v>
      </c>
      <c r="G816" s="42" t="s">
        <v>11</v>
      </c>
      <c r="H816" s="42">
        <v>-8.35192041</v>
      </c>
      <c r="I816" s="42">
        <v>-8.35</v>
      </c>
    </row>
    <row r="817" spans="1:9" ht="18" customHeight="1">
      <c r="A817" s="41" t="str">
        <f t="shared" si="15"/>
        <v>888MYR</v>
      </c>
      <c r="B817" s="42" t="s">
        <v>500</v>
      </c>
      <c r="C817" s="42">
        <v>888</v>
      </c>
      <c r="D817" s="42">
        <v>20020</v>
      </c>
      <c r="E817" s="42" t="s">
        <v>11</v>
      </c>
      <c r="F817" s="42" t="s">
        <v>28</v>
      </c>
      <c r="G817" s="42" t="s">
        <v>28</v>
      </c>
      <c r="H817" s="42">
        <v>36.070078882319997</v>
      </c>
      <c r="I817" s="42">
        <v>8.16</v>
      </c>
    </row>
    <row r="818" spans="1:9" ht="18" customHeight="1">
      <c r="A818" s="41" t="str">
        <f t="shared" si="15"/>
        <v>888EUR</v>
      </c>
      <c r="B818" s="42" t="s">
        <v>501</v>
      </c>
      <c r="C818" s="42">
        <v>888</v>
      </c>
      <c r="D818" s="42">
        <v>20020</v>
      </c>
      <c r="E818" s="42" t="s">
        <v>31</v>
      </c>
      <c r="F818" s="42" t="s">
        <v>28</v>
      </c>
      <c r="G818" s="42" t="s">
        <v>31</v>
      </c>
      <c r="H818" s="42">
        <v>-3.44909277</v>
      </c>
      <c r="I818" s="42">
        <v>-3.72</v>
      </c>
    </row>
    <row r="819" spans="1:9" ht="18" customHeight="1">
      <c r="A819" s="41" t="str">
        <f t="shared" si="15"/>
        <v>888MYR</v>
      </c>
      <c r="B819" s="42" t="s">
        <v>501</v>
      </c>
      <c r="C819" s="42">
        <v>888</v>
      </c>
      <c r="D819" s="42">
        <v>20020</v>
      </c>
      <c r="E819" s="42" t="s">
        <v>31</v>
      </c>
      <c r="F819" s="42" t="s">
        <v>28</v>
      </c>
      <c r="G819" s="42" t="s">
        <v>28</v>
      </c>
      <c r="H819" s="42">
        <v>16.200563040980001</v>
      </c>
      <c r="I819" s="42">
        <v>3.66</v>
      </c>
    </row>
    <row r="820" spans="1:9" ht="18" customHeight="1">
      <c r="A820" s="41" t="str">
        <f t="shared" si="15"/>
        <v>888USD</v>
      </c>
      <c r="B820" s="42" t="s">
        <v>502</v>
      </c>
      <c r="C820" s="42">
        <v>888</v>
      </c>
      <c r="D820" s="42">
        <v>20030</v>
      </c>
      <c r="E820" s="42" t="s">
        <v>11</v>
      </c>
      <c r="F820" s="42" t="s">
        <v>28</v>
      </c>
      <c r="G820" s="42" t="s">
        <v>11</v>
      </c>
      <c r="H820" s="42">
        <v>-54.881637277499998</v>
      </c>
      <c r="I820" s="42">
        <v>-54.88</v>
      </c>
    </row>
    <row r="821" spans="1:9" ht="18" customHeight="1">
      <c r="A821" s="41" t="str">
        <f t="shared" si="15"/>
        <v>888MYR</v>
      </c>
      <c r="B821" s="42" t="s">
        <v>502</v>
      </c>
      <c r="C821" s="42">
        <v>888</v>
      </c>
      <c r="D821" s="42">
        <v>20030</v>
      </c>
      <c r="E821" s="42" t="s">
        <v>11</v>
      </c>
      <c r="F821" s="42" t="s">
        <v>28</v>
      </c>
      <c r="G821" s="42" t="s">
        <v>28</v>
      </c>
      <c r="H821" s="42">
        <v>239.439023289576</v>
      </c>
      <c r="I821" s="42">
        <v>54.14</v>
      </c>
    </row>
    <row r="822" spans="1:9" ht="18" customHeight="1">
      <c r="A822" s="41" t="str">
        <f t="shared" si="15"/>
        <v>888MYR</v>
      </c>
      <c r="B822" s="42" t="s">
        <v>503</v>
      </c>
      <c r="C822" s="42">
        <v>888</v>
      </c>
      <c r="D822" s="42">
        <v>20020</v>
      </c>
      <c r="E822" s="42" t="s">
        <v>28</v>
      </c>
      <c r="F822" s="42" t="s">
        <v>11</v>
      </c>
      <c r="G822" s="42" t="s">
        <v>28</v>
      </c>
      <c r="H822" s="42">
        <v>-240.49374290638201</v>
      </c>
      <c r="I822" s="42">
        <v>-54.38</v>
      </c>
    </row>
    <row r="823" spans="1:9" ht="18" customHeight="1">
      <c r="A823" s="41" t="str">
        <f t="shared" si="15"/>
        <v>888USD</v>
      </c>
      <c r="B823" s="42" t="s">
        <v>503</v>
      </c>
      <c r="C823" s="42">
        <v>888</v>
      </c>
      <c r="D823" s="42">
        <v>20020</v>
      </c>
      <c r="E823" s="42" t="s">
        <v>28</v>
      </c>
      <c r="F823" s="42" t="s">
        <v>11</v>
      </c>
      <c r="G823" s="42" t="s">
        <v>11</v>
      </c>
      <c r="H823" s="42">
        <v>55.052789266689999</v>
      </c>
      <c r="I823" s="42">
        <v>55.05</v>
      </c>
    </row>
    <row r="824" spans="1:9" ht="18" customHeight="1">
      <c r="A824" s="41" t="str">
        <f t="shared" si="15"/>
        <v>888MYR</v>
      </c>
      <c r="B824" s="42" t="s">
        <v>504</v>
      </c>
      <c r="C824" s="42">
        <v>888</v>
      </c>
      <c r="D824" s="42">
        <v>20020</v>
      </c>
      <c r="E824" s="42" t="s">
        <v>28</v>
      </c>
      <c r="F824" s="42" t="s">
        <v>10</v>
      </c>
      <c r="G824" s="42" t="s">
        <v>28</v>
      </c>
      <c r="H824" s="42">
        <v>-0.215555640385</v>
      </c>
      <c r="I824" s="42">
        <v>-0.05</v>
      </c>
    </row>
    <row r="825" spans="1:9" ht="18" customHeight="1">
      <c r="A825" s="41" t="str">
        <f t="shared" si="15"/>
        <v>888JPY</v>
      </c>
      <c r="B825" s="42" t="s">
        <v>504</v>
      </c>
      <c r="C825" s="42">
        <v>888</v>
      </c>
      <c r="D825" s="42">
        <v>20020</v>
      </c>
      <c r="E825" s="42" t="s">
        <v>28</v>
      </c>
      <c r="F825" s="42" t="s">
        <v>10</v>
      </c>
      <c r="G825" s="42" t="s">
        <v>10</v>
      </c>
      <c r="H825" s="42">
        <v>5.5253094086400001</v>
      </c>
      <c r="I825" s="42">
        <v>0.05</v>
      </c>
    </row>
    <row r="826" spans="1:9" ht="18" customHeight="1">
      <c r="A826" s="41" t="str">
        <f t="shared" si="15"/>
        <v>888USD</v>
      </c>
      <c r="B826" s="42" t="s">
        <v>505</v>
      </c>
      <c r="C826" s="42">
        <v>888</v>
      </c>
      <c r="D826" s="42">
        <v>20020</v>
      </c>
      <c r="E826" s="42" t="s">
        <v>11</v>
      </c>
      <c r="F826" s="42" t="s">
        <v>28</v>
      </c>
      <c r="G826" s="42" t="s">
        <v>11</v>
      </c>
      <c r="H826" s="42">
        <v>-2.2202668750000001</v>
      </c>
      <c r="I826" s="42">
        <v>-2.2200000000000002</v>
      </c>
    </row>
    <row r="827" spans="1:9" ht="18" customHeight="1">
      <c r="A827" s="41" t="str">
        <f t="shared" si="15"/>
        <v>888MYR</v>
      </c>
      <c r="B827" s="42" t="s">
        <v>505</v>
      </c>
      <c r="C827" s="42">
        <v>888</v>
      </c>
      <c r="D827" s="42">
        <v>20020</v>
      </c>
      <c r="E827" s="42" t="s">
        <v>11</v>
      </c>
      <c r="F827" s="42" t="s">
        <v>28</v>
      </c>
      <c r="G827" s="42" t="s">
        <v>28</v>
      </c>
      <c r="H827" s="42">
        <v>9.6729519873120005</v>
      </c>
      <c r="I827" s="42">
        <v>2.19</v>
      </c>
    </row>
    <row r="828" spans="1:9" ht="18" customHeight="1">
      <c r="A828" s="41" t="str">
        <f t="shared" si="15"/>
        <v>888USD</v>
      </c>
      <c r="B828" s="42" t="s">
        <v>506</v>
      </c>
      <c r="C828" s="42">
        <v>888</v>
      </c>
      <c r="D828" s="42">
        <v>20020</v>
      </c>
      <c r="E828" s="42" t="s">
        <v>11</v>
      </c>
      <c r="F828" s="42" t="s">
        <v>28</v>
      </c>
      <c r="G828" s="42" t="s">
        <v>11</v>
      </c>
      <c r="H828" s="42">
        <v>-2.6045076599999999</v>
      </c>
      <c r="I828" s="42">
        <v>-2.6</v>
      </c>
    </row>
    <row r="829" spans="1:9" ht="18" customHeight="1">
      <c r="A829" s="41" t="str">
        <f t="shared" si="15"/>
        <v>888MYR</v>
      </c>
      <c r="B829" s="42" t="s">
        <v>506</v>
      </c>
      <c r="C829" s="42">
        <v>888</v>
      </c>
      <c r="D829" s="42">
        <v>20020</v>
      </c>
      <c r="E829" s="42" t="s">
        <v>11</v>
      </c>
      <c r="F829" s="42" t="s">
        <v>28</v>
      </c>
      <c r="G829" s="42" t="s">
        <v>28</v>
      </c>
      <c r="H829" s="42">
        <v>11.318647701474999</v>
      </c>
      <c r="I829" s="42">
        <v>2.56</v>
      </c>
    </row>
    <row r="830" spans="1:9" ht="18" customHeight="1">
      <c r="A830" s="41" t="str">
        <f t="shared" si="15"/>
        <v>888USD</v>
      </c>
      <c r="B830" s="42" t="s">
        <v>507</v>
      </c>
      <c r="C830" s="42">
        <v>888</v>
      </c>
      <c r="D830" s="42">
        <v>20020</v>
      </c>
      <c r="E830" s="42" t="s">
        <v>11</v>
      </c>
      <c r="F830" s="42" t="s">
        <v>28</v>
      </c>
      <c r="G830" s="42" t="s">
        <v>11</v>
      </c>
      <c r="H830" s="42">
        <v>-5.0282823700000003</v>
      </c>
      <c r="I830" s="42">
        <v>-5.03</v>
      </c>
    </row>
    <row r="831" spans="1:9" ht="18" customHeight="1">
      <c r="A831" s="41" t="str">
        <f t="shared" si="15"/>
        <v>888MYR</v>
      </c>
      <c r="B831" s="42" t="s">
        <v>507</v>
      </c>
      <c r="C831" s="42">
        <v>888</v>
      </c>
      <c r="D831" s="42">
        <v>20020</v>
      </c>
      <c r="E831" s="42" t="s">
        <v>11</v>
      </c>
      <c r="F831" s="42" t="s">
        <v>28</v>
      </c>
      <c r="G831" s="42" t="s">
        <v>28</v>
      </c>
      <c r="H831" s="42">
        <v>21.76356968368</v>
      </c>
      <c r="I831" s="42">
        <v>4.92</v>
      </c>
    </row>
    <row r="832" spans="1:9" ht="18" customHeight="1">
      <c r="A832" s="41" t="str">
        <f t="shared" si="15"/>
        <v>888USD</v>
      </c>
      <c r="B832" s="42" t="s">
        <v>508</v>
      </c>
      <c r="C832" s="42">
        <v>888</v>
      </c>
      <c r="D832" s="42">
        <v>20020</v>
      </c>
      <c r="E832" s="42" t="s">
        <v>11</v>
      </c>
      <c r="F832" s="42" t="s">
        <v>28</v>
      </c>
      <c r="G832" s="42" t="s">
        <v>11</v>
      </c>
      <c r="H832" s="42">
        <v>-8.35192041</v>
      </c>
      <c r="I832" s="42">
        <v>-8.35</v>
      </c>
    </row>
    <row r="833" spans="1:9" ht="18" customHeight="1">
      <c r="A833" s="41" t="str">
        <f t="shared" si="15"/>
        <v>888MYR</v>
      </c>
      <c r="B833" s="42" t="s">
        <v>508</v>
      </c>
      <c r="C833" s="42">
        <v>888</v>
      </c>
      <c r="D833" s="42">
        <v>20020</v>
      </c>
      <c r="E833" s="42" t="s">
        <v>11</v>
      </c>
      <c r="F833" s="42" t="s">
        <v>28</v>
      </c>
      <c r="G833" s="42" t="s">
        <v>28</v>
      </c>
      <c r="H833" s="42">
        <v>35.977000029599999</v>
      </c>
      <c r="I833" s="42">
        <v>8.1300000000000008</v>
      </c>
    </row>
    <row r="834" spans="1:9" ht="18" customHeight="1">
      <c r="A834" s="41" t="str">
        <f t="shared" si="15"/>
        <v>888USD</v>
      </c>
      <c r="B834" s="42" t="s">
        <v>509</v>
      </c>
      <c r="C834" s="42">
        <v>888</v>
      </c>
      <c r="D834" s="42">
        <v>20020</v>
      </c>
      <c r="E834" s="42" t="s">
        <v>11</v>
      </c>
      <c r="F834" s="42" t="s">
        <v>28</v>
      </c>
      <c r="G834" s="42" t="s">
        <v>11</v>
      </c>
      <c r="H834" s="42">
        <v>-2.508037223598</v>
      </c>
      <c r="I834" s="42">
        <v>-2.5099999999999998</v>
      </c>
    </row>
    <row r="835" spans="1:9" ht="18" customHeight="1">
      <c r="A835" s="41" t="str">
        <f t="shared" ref="A835:A898" si="16">CONCATENATE(C835,G835)</f>
        <v>888MYR</v>
      </c>
      <c r="B835" s="42" t="s">
        <v>509</v>
      </c>
      <c r="C835" s="42">
        <v>888</v>
      </c>
      <c r="D835" s="42">
        <v>20020</v>
      </c>
      <c r="E835" s="42" t="s">
        <v>11</v>
      </c>
      <c r="F835" s="42" t="s">
        <v>28</v>
      </c>
      <c r="G835" s="42" t="s">
        <v>28</v>
      </c>
      <c r="H835" s="42">
        <v>10.845889753709001</v>
      </c>
      <c r="I835" s="42">
        <v>2.4500000000000002</v>
      </c>
    </row>
    <row r="836" spans="1:9" ht="18" customHeight="1">
      <c r="A836" s="41" t="str">
        <f t="shared" si="16"/>
        <v>888USD</v>
      </c>
      <c r="B836" s="42" t="s">
        <v>510</v>
      </c>
      <c r="C836" s="42">
        <v>888</v>
      </c>
      <c r="D836" s="42">
        <v>20020</v>
      </c>
      <c r="E836" s="42" t="s">
        <v>11</v>
      </c>
      <c r="F836" s="42" t="s">
        <v>28</v>
      </c>
      <c r="G836" s="42" t="s">
        <v>11</v>
      </c>
      <c r="H836" s="42">
        <v>-0.88810674999999994</v>
      </c>
      <c r="I836" s="42">
        <v>-0.89</v>
      </c>
    </row>
    <row r="837" spans="1:9" ht="18" customHeight="1">
      <c r="A837" s="41" t="str">
        <f t="shared" si="16"/>
        <v>888MYR</v>
      </c>
      <c r="B837" s="42" t="s">
        <v>510</v>
      </c>
      <c r="C837" s="42">
        <v>888</v>
      </c>
      <c r="D837" s="42">
        <v>20020</v>
      </c>
      <c r="E837" s="42" t="s">
        <v>11</v>
      </c>
      <c r="F837" s="42" t="s">
        <v>28</v>
      </c>
      <c r="G837" s="42" t="s">
        <v>28</v>
      </c>
      <c r="H837" s="42">
        <v>3.8779237184249999</v>
      </c>
      <c r="I837" s="42">
        <v>0.88</v>
      </c>
    </row>
    <row r="838" spans="1:9" ht="18" customHeight="1">
      <c r="A838" s="41" t="str">
        <f t="shared" si="16"/>
        <v>888JPY</v>
      </c>
      <c r="B838" s="42" t="s">
        <v>511</v>
      </c>
      <c r="C838" s="42">
        <v>888</v>
      </c>
      <c r="D838" s="42">
        <v>20020</v>
      </c>
      <c r="E838" s="42" t="s">
        <v>10</v>
      </c>
      <c r="F838" s="42" t="s">
        <v>28</v>
      </c>
      <c r="G838" s="42" t="s">
        <v>10</v>
      </c>
      <c r="H838" s="42">
        <v>-39704.829310000001</v>
      </c>
      <c r="I838" s="42">
        <v>-357.4</v>
      </c>
    </row>
    <row r="839" spans="1:9" ht="18" customHeight="1">
      <c r="A839" s="41" t="str">
        <f t="shared" si="16"/>
        <v>888MYR</v>
      </c>
      <c r="B839" s="42" t="s">
        <v>511</v>
      </c>
      <c r="C839" s="42">
        <v>888</v>
      </c>
      <c r="D839" s="42">
        <v>20020</v>
      </c>
      <c r="E839" s="42" t="s">
        <v>10</v>
      </c>
      <c r="F839" s="42" t="s">
        <v>28</v>
      </c>
      <c r="G839" s="42" t="s">
        <v>28</v>
      </c>
      <c r="H839" s="42">
        <v>1332.69730964887</v>
      </c>
      <c r="I839" s="42">
        <v>301.33999999999997</v>
      </c>
    </row>
    <row r="840" spans="1:9" ht="18" customHeight="1">
      <c r="A840" s="41" t="str">
        <f t="shared" si="16"/>
        <v>888USD</v>
      </c>
      <c r="B840" s="42" t="s">
        <v>512</v>
      </c>
      <c r="C840" s="42">
        <v>888</v>
      </c>
      <c r="D840" s="42">
        <v>20020</v>
      </c>
      <c r="E840" s="42" t="s">
        <v>11</v>
      </c>
      <c r="F840" s="42" t="s">
        <v>28</v>
      </c>
      <c r="G840" s="42" t="s">
        <v>11</v>
      </c>
      <c r="H840" s="42">
        <v>-6.5112691500000004</v>
      </c>
      <c r="I840" s="42">
        <v>-6.51</v>
      </c>
    </row>
    <row r="841" spans="1:9" ht="18" customHeight="1">
      <c r="A841" s="41" t="str">
        <f t="shared" si="16"/>
        <v>888MYR</v>
      </c>
      <c r="B841" s="42" t="s">
        <v>512</v>
      </c>
      <c r="C841" s="42">
        <v>888</v>
      </c>
      <c r="D841" s="42">
        <v>20020</v>
      </c>
      <c r="E841" s="42" t="s">
        <v>11</v>
      </c>
      <c r="F841" s="42" t="s">
        <v>28</v>
      </c>
      <c r="G841" s="42" t="s">
        <v>28</v>
      </c>
      <c r="H841" s="42">
        <v>28.357279951624999</v>
      </c>
      <c r="I841" s="42">
        <v>6.41</v>
      </c>
    </row>
    <row r="842" spans="1:9" ht="18" customHeight="1">
      <c r="A842" s="41" t="str">
        <f t="shared" si="16"/>
        <v>888USD</v>
      </c>
      <c r="B842" s="42" t="s">
        <v>513</v>
      </c>
      <c r="C842" s="42">
        <v>888</v>
      </c>
      <c r="D842" s="42">
        <v>20020</v>
      </c>
      <c r="E842" s="42" t="s">
        <v>11</v>
      </c>
      <c r="F842" s="42" t="s">
        <v>28</v>
      </c>
      <c r="G842" s="42" t="s">
        <v>11</v>
      </c>
      <c r="H842" s="42">
        <v>-5.0282823700000003</v>
      </c>
      <c r="I842" s="42">
        <v>-5.03</v>
      </c>
    </row>
    <row r="843" spans="1:9" ht="18" customHeight="1">
      <c r="A843" s="41" t="str">
        <f t="shared" si="16"/>
        <v>888MYR</v>
      </c>
      <c r="B843" s="42" t="s">
        <v>513</v>
      </c>
      <c r="C843" s="42">
        <v>888</v>
      </c>
      <c r="D843" s="42">
        <v>20020</v>
      </c>
      <c r="E843" s="42" t="s">
        <v>11</v>
      </c>
      <c r="F843" s="42" t="s">
        <v>28</v>
      </c>
      <c r="G843" s="42" t="s">
        <v>28</v>
      </c>
      <c r="H843" s="42">
        <v>21.815049179439999</v>
      </c>
      <c r="I843" s="42">
        <v>4.93</v>
      </c>
    </row>
    <row r="844" spans="1:9" ht="18" customHeight="1">
      <c r="A844" s="41" t="str">
        <f t="shared" si="16"/>
        <v>888USD</v>
      </c>
      <c r="B844" s="42" t="s">
        <v>514</v>
      </c>
      <c r="C844" s="42">
        <v>888</v>
      </c>
      <c r="D844" s="42">
        <v>20020</v>
      </c>
      <c r="E844" s="42" t="s">
        <v>11</v>
      </c>
      <c r="F844" s="42" t="s">
        <v>28</v>
      </c>
      <c r="G844" s="42" t="s">
        <v>11</v>
      </c>
      <c r="H844" s="42">
        <v>-6.6688724400000003</v>
      </c>
      <c r="I844" s="42">
        <v>-6.67</v>
      </c>
    </row>
    <row r="845" spans="1:9" ht="18" customHeight="1">
      <c r="A845" s="41" t="str">
        <f t="shared" si="16"/>
        <v>888MYR</v>
      </c>
      <c r="B845" s="42" t="s">
        <v>514</v>
      </c>
      <c r="C845" s="42">
        <v>888</v>
      </c>
      <c r="D845" s="42">
        <v>20020</v>
      </c>
      <c r="E845" s="42" t="s">
        <v>11</v>
      </c>
      <c r="F845" s="42" t="s">
        <v>28</v>
      </c>
      <c r="G845" s="42" t="s">
        <v>28</v>
      </c>
      <c r="H845" s="42">
        <v>28.863525000389998</v>
      </c>
      <c r="I845" s="42">
        <v>6.53</v>
      </c>
    </row>
    <row r="846" spans="1:9" ht="18" customHeight="1">
      <c r="A846" s="41" t="str">
        <f t="shared" si="16"/>
        <v>888USD</v>
      </c>
      <c r="B846" s="42" t="s">
        <v>515</v>
      </c>
      <c r="C846" s="42">
        <v>888</v>
      </c>
      <c r="D846" s="42">
        <v>20020</v>
      </c>
      <c r="E846" s="42" t="s">
        <v>11</v>
      </c>
      <c r="F846" s="42" t="s">
        <v>28</v>
      </c>
      <c r="G846" s="42" t="s">
        <v>11</v>
      </c>
      <c r="H846" s="42">
        <v>-8.35192041</v>
      </c>
      <c r="I846" s="42">
        <v>-8.35</v>
      </c>
    </row>
    <row r="847" spans="1:9" ht="18" customHeight="1">
      <c r="A847" s="41" t="str">
        <f t="shared" si="16"/>
        <v>888MYR</v>
      </c>
      <c r="B847" s="42" t="s">
        <v>515</v>
      </c>
      <c r="C847" s="42">
        <v>888</v>
      </c>
      <c r="D847" s="42">
        <v>20020</v>
      </c>
      <c r="E847" s="42" t="s">
        <v>11</v>
      </c>
      <c r="F847" s="42" t="s">
        <v>28</v>
      </c>
      <c r="G847" s="42" t="s">
        <v>28</v>
      </c>
      <c r="H847" s="42">
        <v>36.066031975679998</v>
      </c>
      <c r="I847" s="42">
        <v>8.16</v>
      </c>
    </row>
    <row r="848" spans="1:9" ht="18" customHeight="1">
      <c r="A848" s="41" t="str">
        <f t="shared" si="16"/>
        <v>888EUR</v>
      </c>
      <c r="B848" s="42" t="s">
        <v>516</v>
      </c>
      <c r="C848" s="42">
        <v>888</v>
      </c>
      <c r="D848" s="42">
        <v>20020</v>
      </c>
      <c r="E848" s="42" t="s">
        <v>31</v>
      </c>
      <c r="F848" s="42" t="s">
        <v>28</v>
      </c>
      <c r="G848" s="42" t="s">
        <v>31</v>
      </c>
      <c r="H848" s="42">
        <v>-8.4672006100000008</v>
      </c>
      <c r="I848" s="42">
        <v>-9.1300000000000008</v>
      </c>
    </row>
    <row r="849" spans="1:9" ht="18" customHeight="1">
      <c r="A849" s="41" t="str">
        <f t="shared" si="16"/>
        <v>888MYR</v>
      </c>
      <c r="B849" s="42" t="s">
        <v>516</v>
      </c>
      <c r="C849" s="42">
        <v>888</v>
      </c>
      <c r="D849" s="42">
        <v>20020</v>
      </c>
      <c r="E849" s="42" t="s">
        <v>31</v>
      </c>
      <c r="F849" s="42" t="s">
        <v>28</v>
      </c>
      <c r="G849" s="42" t="s">
        <v>28</v>
      </c>
      <c r="H849" s="42">
        <v>39.076930515839997</v>
      </c>
      <c r="I849" s="42">
        <v>8.84</v>
      </c>
    </row>
    <row r="850" spans="1:9" ht="18" customHeight="1">
      <c r="A850" s="41" t="str">
        <f t="shared" si="16"/>
        <v>888USD</v>
      </c>
      <c r="B850" s="42" t="s">
        <v>517</v>
      </c>
      <c r="C850" s="42">
        <v>888</v>
      </c>
      <c r="D850" s="42">
        <v>20020</v>
      </c>
      <c r="E850" s="42" t="s">
        <v>11</v>
      </c>
      <c r="F850" s="42" t="s">
        <v>31</v>
      </c>
      <c r="G850" s="42" t="s">
        <v>11</v>
      </c>
      <c r="H850" s="42">
        <v>-9.0405362478040008</v>
      </c>
      <c r="I850" s="42">
        <v>-9.0399999999999991</v>
      </c>
    </row>
    <row r="851" spans="1:9" ht="18" customHeight="1">
      <c r="A851" s="41" t="str">
        <f t="shared" si="16"/>
        <v>888EUR</v>
      </c>
      <c r="B851" s="42" t="s">
        <v>517</v>
      </c>
      <c r="C851" s="42">
        <v>888</v>
      </c>
      <c r="D851" s="42">
        <v>20020</v>
      </c>
      <c r="E851" s="42" t="s">
        <v>11</v>
      </c>
      <c r="F851" s="42" t="s">
        <v>31</v>
      </c>
      <c r="G851" s="42" t="s">
        <v>31</v>
      </c>
      <c r="H851" s="42">
        <v>8.4672006100000008</v>
      </c>
      <c r="I851" s="42">
        <v>9.1300000000000008</v>
      </c>
    </row>
    <row r="852" spans="1:9" ht="18" customHeight="1">
      <c r="A852" s="41" t="str">
        <f t="shared" si="16"/>
        <v>888MYR</v>
      </c>
      <c r="B852" s="42" t="s">
        <v>518</v>
      </c>
      <c r="C852" s="42">
        <v>888</v>
      </c>
      <c r="D852" s="42">
        <v>20030</v>
      </c>
      <c r="E852" s="42" t="s">
        <v>28</v>
      </c>
      <c r="F852" s="42" t="s">
        <v>11</v>
      </c>
      <c r="G852" s="42" t="s">
        <v>28</v>
      </c>
      <c r="H852" s="42">
        <v>-87.388163784528004</v>
      </c>
      <c r="I852" s="42">
        <v>-19.760000000000002</v>
      </c>
    </row>
    <row r="853" spans="1:9" ht="18" customHeight="1">
      <c r="A853" s="41" t="str">
        <f t="shared" si="16"/>
        <v>888USD</v>
      </c>
      <c r="B853" s="42" t="s">
        <v>518</v>
      </c>
      <c r="C853" s="42">
        <v>888</v>
      </c>
      <c r="D853" s="42">
        <v>20030</v>
      </c>
      <c r="E853" s="42" t="s">
        <v>28</v>
      </c>
      <c r="F853" s="42" t="s">
        <v>11</v>
      </c>
      <c r="G853" s="42" t="s">
        <v>11</v>
      </c>
      <c r="H853" s="42">
        <v>19.967633759999998</v>
      </c>
      <c r="I853" s="42">
        <v>19.97</v>
      </c>
    </row>
    <row r="854" spans="1:9" ht="18" customHeight="1">
      <c r="A854" s="41" t="str">
        <f t="shared" si="16"/>
        <v>888MYR</v>
      </c>
      <c r="B854" s="42" t="s">
        <v>519</v>
      </c>
      <c r="C854" s="42">
        <v>888</v>
      </c>
      <c r="D854" s="42">
        <v>20030</v>
      </c>
      <c r="E854" s="42" t="s">
        <v>28</v>
      </c>
      <c r="F854" s="42" t="s">
        <v>11</v>
      </c>
      <c r="G854" s="42" t="s">
        <v>28</v>
      </c>
      <c r="H854" s="42">
        <v>-19.455190518375002</v>
      </c>
      <c r="I854" s="42">
        <v>-4.4000000000000004</v>
      </c>
    </row>
    <row r="855" spans="1:9" ht="18" customHeight="1">
      <c r="A855" s="41" t="str">
        <f t="shared" si="16"/>
        <v>888USD</v>
      </c>
      <c r="B855" s="42" t="s">
        <v>519</v>
      </c>
      <c r="C855" s="42">
        <v>888</v>
      </c>
      <c r="D855" s="42">
        <v>20030</v>
      </c>
      <c r="E855" s="42" t="s">
        <v>28</v>
      </c>
      <c r="F855" s="42" t="s">
        <v>11</v>
      </c>
      <c r="G855" s="42" t="s">
        <v>11</v>
      </c>
      <c r="H855" s="42">
        <v>4.4405337500000002</v>
      </c>
      <c r="I855" s="42">
        <v>4.4400000000000004</v>
      </c>
    </row>
    <row r="856" spans="1:9" ht="18" customHeight="1">
      <c r="A856" s="41" t="str">
        <f t="shared" si="16"/>
        <v>888MYR</v>
      </c>
      <c r="B856" s="42" t="s">
        <v>520</v>
      </c>
      <c r="C856" s="42">
        <v>888</v>
      </c>
      <c r="D856" s="42">
        <v>20030</v>
      </c>
      <c r="E856" s="42" t="s">
        <v>28</v>
      </c>
      <c r="F856" s="42" t="s">
        <v>11</v>
      </c>
      <c r="G856" s="42" t="s">
        <v>28</v>
      </c>
      <c r="H856" s="42">
        <v>-56.908674136649999</v>
      </c>
      <c r="I856" s="42">
        <v>-12.87</v>
      </c>
    </row>
    <row r="857" spans="1:9" ht="18" customHeight="1">
      <c r="A857" s="41" t="str">
        <f t="shared" si="16"/>
        <v>888USD</v>
      </c>
      <c r="B857" s="42" t="s">
        <v>520</v>
      </c>
      <c r="C857" s="42">
        <v>888</v>
      </c>
      <c r="D857" s="42">
        <v>20030</v>
      </c>
      <c r="E857" s="42" t="s">
        <v>28</v>
      </c>
      <c r="F857" s="42" t="s">
        <v>11</v>
      </c>
      <c r="G857" s="42" t="s">
        <v>11</v>
      </c>
      <c r="H857" s="42">
        <v>13.022538300000001</v>
      </c>
      <c r="I857" s="42">
        <v>13.02</v>
      </c>
    </row>
    <row r="858" spans="1:9" ht="18" customHeight="1">
      <c r="A858" s="41" t="str">
        <f t="shared" si="16"/>
        <v>888USD</v>
      </c>
      <c r="B858" s="42" t="s">
        <v>521</v>
      </c>
      <c r="C858" s="42">
        <v>888</v>
      </c>
      <c r="D858" s="42">
        <v>20020</v>
      </c>
      <c r="E858" s="42" t="s">
        <v>11</v>
      </c>
      <c r="F858" s="42" t="s">
        <v>31</v>
      </c>
      <c r="G858" s="42" t="s">
        <v>11</v>
      </c>
      <c r="H858" s="42">
        <v>-3.6969442534530002</v>
      </c>
      <c r="I858" s="42">
        <v>-3.7</v>
      </c>
    </row>
    <row r="859" spans="1:9" ht="18" customHeight="1">
      <c r="A859" s="41" t="str">
        <f t="shared" si="16"/>
        <v>888EUR</v>
      </c>
      <c r="B859" s="42" t="s">
        <v>521</v>
      </c>
      <c r="C859" s="42">
        <v>888</v>
      </c>
      <c r="D859" s="42">
        <v>20020</v>
      </c>
      <c r="E859" s="42" t="s">
        <v>11</v>
      </c>
      <c r="F859" s="42" t="s">
        <v>31</v>
      </c>
      <c r="G859" s="42" t="s">
        <v>31</v>
      </c>
      <c r="H859" s="42">
        <v>3.44909277</v>
      </c>
      <c r="I859" s="42">
        <v>3.72</v>
      </c>
    </row>
    <row r="860" spans="1:9" ht="18" customHeight="1">
      <c r="A860" s="41" t="str">
        <f t="shared" si="16"/>
        <v>888MYR</v>
      </c>
      <c r="B860" s="42" t="s">
        <v>522</v>
      </c>
      <c r="C860" s="42">
        <v>888</v>
      </c>
      <c r="D860" s="42">
        <v>20030</v>
      </c>
      <c r="E860" s="42" t="s">
        <v>28</v>
      </c>
      <c r="F860" s="42" t="s">
        <v>11</v>
      </c>
      <c r="G860" s="42" t="s">
        <v>28</v>
      </c>
      <c r="H860" s="42">
        <v>-76.098379766500003</v>
      </c>
      <c r="I860" s="42">
        <v>-17.21</v>
      </c>
    </row>
    <row r="861" spans="1:9" ht="18" customHeight="1">
      <c r="A861" s="41" t="str">
        <f t="shared" si="16"/>
        <v>888USD</v>
      </c>
      <c r="B861" s="42" t="s">
        <v>522</v>
      </c>
      <c r="C861" s="42">
        <v>888</v>
      </c>
      <c r="D861" s="42">
        <v>20030</v>
      </c>
      <c r="E861" s="42" t="s">
        <v>28</v>
      </c>
      <c r="F861" s="42" t="s">
        <v>11</v>
      </c>
      <c r="G861" s="42" t="s">
        <v>11</v>
      </c>
      <c r="H861" s="42">
        <v>17.440452650000001</v>
      </c>
      <c r="I861" s="42">
        <v>17.440000000000001</v>
      </c>
    </row>
    <row r="862" spans="1:9" ht="18" customHeight="1">
      <c r="A862" s="41" t="str">
        <f t="shared" si="16"/>
        <v>888MYR</v>
      </c>
      <c r="B862" s="42" t="s">
        <v>523</v>
      </c>
      <c r="C862" s="42">
        <v>888</v>
      </c>
      <c r="D862" s="42">
        <v>20030</v>
      </c>
      <c r="E862" s="42" t="s">
        <v>28</v>
      </c>
      <c r="F862" s="42" t="s">
        <v>11</v>
      </c>
      <c r="G862" s="42" t="s">
        <v>28</v>
      </c>
      <c r="H862" s="42">
        <v>-111.80159374396</v>
      </c>
      <c r="I862" s="42">
        <v>-25.28</v>
      </c>
    </row>
    <row r="863" spans="1:9" ht="18" customHeight="1">
      <c r="A863" s="41" t="str">
        <f t="shared" si="16"/>
        <v>888USD</v>
      </c>
      <c r="B863" s="42" t="s">
        <v>523</v>
      </c>
      <c r="C863" s="42">
        <v>888</v>
      </c>
      <c r="D863" s="42">
        <v>20030</v>
      </c>
      <c r="E863" s="42" t="s">
        <v>28</v>
      </c>
      <c r="F863" s="42" t="s">
        <v>11</v>
      </c>
      <c r="G863" s="42" t="s">
        <v>11</v>
      </c>
      <c r="H863" s="42">
        <v>25.689947799999999</v>
      </c>
      <c r="I863" s="42">
        <v>25.69</v>
      </c>
    </row>
    <row r="864" spans="1:9" ht="18" customHeight="1">
      <c r="A864" s="41" t="str">
        <f t="shared" si="16"/>
        <v>888USD</v>
      </c>
      <c r="B864" s="42" t="s">
        <v>524</v>
      </c>
      <c r="C864" s="42">
        <v>888</v>
      </c>
      <c r="D864" s="42">
        <v>20020</v>
      </c>
      <c r="E864" s="42" t="s">
        <v>11</v>
      </c>
      <c r="F864" s="42" t="s">
        <v>28</v>
      </c>
      <c r="G864" s="42" t="s">
        <v>11</v>
      </c>
      <c r="H864" s="42">
        <v>-0.88810674999999994</v>
      </c>
      <c r="I864" s="42">
        <v>-0.89</v>
      </c>
    </row>
    <row r="865" spans="1:9" ht="18" customHeight="1">
      <c r="A865" s="41" t="str">
        <f t="shared" si="16"/>
        <v>888MYR</v>
      </c>
      <c r="B865" s="42" t="s">
        <v>524</v>
      </c>
      <c r="C865" s="42">
        <v>888</v>
      </c>
      <c r="D865" s="42">
        <v>20020</v>
      </c>
      <c r="E865" s="42" t="s">
        <v>11</v>
      </c>
      <c r="F865" s="42" t="s">
        <v>28</v>
      </c>
      <c r="G865" s="42" t="s">
        <v>28</v>
      </c>
      <c r="H865" s="42">
        <v>3.8853552034000001</v>
      </c>
      <c r="I865" s="42">
        <v>0.88</v>
      </c>
    </row>
    <row r="866" spans="1:9" ht="18" customHeight="1">
      <c r="A866" s="41" t="str">
        <f t="shared" si="16"/>
        <v>888USD</v>
      </c>
      <c r="B866" s="42" t="s">
        <v>525</v>
      </c>
      <c r="C866" s="42">
        <v>888</v>
      </c>
      <c r="D866" s="42">
        <v>20020</v>
      </c>
      <c r="E866" s="42" t="s">
        <v>11</v>
      </c>
      <c r="F866" s="42" t="s">
        <v>28</v>
      </c>
      <c r="G866" s="42" t="s">
        <v>11</v>
      </c>
      <c r="H866" s="42">
        <v>-2.6045076599999999</v>
      </c>
      <c r="I866" s="42">
        <v>-2.6</v>
      </c>
    </row>
    <row r="867" spans="1:9" ht="18" customHeight="1">
      <c r="A867" s="41" t="str">
        <f t="shared" si="16"/>
        <v>888MYR</v>
      </c>
      <c r="B867" s="42" t="s">
        <v>525</v>
      </c>
      <c r="C867" s="42">
        <v>888</v>
      </c>
      <c r="D867" s="42">
        <v>20020</v>
      </c>
      <c r="E867" s="42" t="s">
        <v>11</v>
      </c>
      <c r="F867" s="42" t="s">
        <v>28</v>
      </c>
      <c r="G867" s="42" t="s">
        <v>28</v>
      </c>
      <c r="H867" s="42">
        <v>11.365899192500001</v>
      </c>
      <c r="I867" s="42">
        <v>2.57</v>
      </c>
    </row>
    <row r="868" spans="1:9" ht="18" customHeight="1">
      <c r="A868" s="41" t="str">
        <f t="shared" si="16"/>
        <v>888USD</v>
      </c>
      <c r="B868" s="42" t="s">
        <v>526</v>
      </c>
      <c r="C868" s="42">
        <v>888</v>
      </c>
      <c r="D868" s="42">
        <v>20020</v>
      </c>
      <c r="E868" s="42" t="s">
        <v>11</v>
      </c>
      <c r="F868" s="42" t="s">
        <v>28</v>
      </c>
      <c r="G868" s="42" t="s">
        <v>11</v>
      </c>
      <c r="H868" s="42">
        <v>-5.0282823700000003</v>
      </c>
      <c r="I868" s="42">
        <v>-5.03</v>
      </c>
    </row>
    <row r="869" spans="1:9" ht="18" customHeight="1">
      <c r="A869" s="41" t="str">
        <f t="shared" si="16"/>
        <v>888MYR</v>
      </c>
      <c r="B869" s="42" t="s">
        <v>526</v>
      </c>
      <c r="C869" s="42">
        <v>888</v>
      </c>
      <c r="D869" s="42">
        <v>20020</v>
      </c>
      <c r="E869" s="42" t="s">
        <v>11</v>
      </c>
      <c r="F869" s="42" t="s">
        <v>28</v>
      </c>
      <c r="G869" s="42" t="s">
        <v>28</v>
      </c>
      <c r="H869" s="42">
        <v>21.854271652400001</v>
      </c>
      <c r="I869" s="42">
        <v>4.9400000000000004</v>
      </c>
    </row>
    <row r="870" spans="1:9" ht="18" customHeight="1">
      <c r="A870" s="41" t="str">
        <f t="shared" si="16"/>
        <v>888USD</v>
      </c>
      <c r="B870" s="42" t="s">
        <v>527</v>
      </c>
      <c r="C870" s="42">
        <v>888</v>
      </c>
      <c r="D870" s="42">
        <v>20020</v>
      </c>
      <c r="E870" s="42" t="s">
        <v>11</v>
      </c>
      <c r="F870" s="42" t="s">
        <v>28</v>
      </c>
      <c r="G870" s="42" t="s">
        <v>11</v>
      </c>
      <c r="H870" s="42">
        <v>-6.6688724400000003</v>
      </c>
      <c r="I870" s="42">
        <v>-6.67</v>
      </c>
    </row>
    <row r="871" spans="1:9" ht="18" customHeight="1">
      <c r="A871" s="41" t="str">
        <f t="shared" si="16"/>
        <v>888MYR</v>
      </c>
      <c r="B871" s="42" t="s">
        <v>527</v>
      </c>
      <c r="C871" s="42">
        <v>888</v>
      </c>
      <c r="D871" s="42">
        <v>20020</v>
      </c>
      <c r="E871" s="42" t="s">
        <v>11</v>
      </c>
      <c r="F871" s="42" t="s">
        <v>28</v>
      </c>
      <c r="G871" s="42" t="s">
        <v>28</v>
      </c>
      <c r="H871" s="42">
        <v>28.905656801985</v>
      </c>
      <c r="I871" s="42">
        <v>6.54</v>
      </c>
    </row>
    <row r="872" spans="1:9" ht="18" customHeight="1">
      <c r="A872" s="41" t="str">
        <f t="shared" si="16"/>
        <v>888USD</v>
      </c>
      <c r="B872" s="42" t="s">
        <v>528</v>
      </c>
      <c r="C872" s="42">
        <v>888</v>
      </c>
      <c r="D872" s="42">
        <v>20020</v>
      </c>
      <c r="E872" s="42" t="s">
        <v>11</v>
      </c>
      <c r="F872" s="42" t="s">
        <v>28</v>
      </c>
      <c r="G872" s="42" t="s">
        <v>11</v>
      </c>
      <c r="H872" s="42">
        <v>-8.35192041</v>
      </c>
      <c r="I872" s="42">
        <v>-8.35</v>
      </c>
    </row>
    <row r="873" spans="1:9" ht="18" customHeight="1">
      <c r="A873" s="41" t="str">
        <f t="shared" si="16"/>
        <v>888MYR</v>
      </c>
      <c r="B873" s="42" t="s">
        <v>528</v>
      </c>
      <c r="C873" s="42">
        <v>888</v>
      </c>
      <c r="D873" s="42">
        <v>20020</v>
      </c>
      <c r="E873" s="42" t="s">
        <v>11</v>
      </c>
      <c r="F873" s="42" t="s">
        <v>28</v>
      </c>
      <c r="G873" s="42" t="s">
        <v>28</v>
      </c>
      <c r="H873" s="42">
        <v>36.102454135439999</v>
      </c>
      <c r="I873" s="42">
        <v>8.16</v>
      </c>
    </row>
    <row r="874" spans="1:9" ht="18" customHeight="1">
      <c r="A874" s="41" t="str">
        <f t="shared" si="16"/>
        <v>888USD</v>
      </c>
      <c r="B874" s="42" t="s">
        <v>529</v>
      </c>
      <c r="C874" s="42">
        <v>888</v>
      </c>
      <c r="D874" s="42">
        <v>20020</v>
      </c>
      <c r="E874" s="42" t="s">
        <v>11</v>
      </c>
      <c r="F874" s="42" t="s">
        <v>28</v>
      </c>
      <c r="G874" s="42" t="s">
        <v>11</v>
      </c>
      <c r="H874" s="42">
        <v>-0.88810674999999994</v>
      </c>
      <c r="I874" s="42">
        <v>-0.89</v>
      </c>
    </row>
    <row r="875" spans="1:9" ht="18" customHeight="1">
      <c r="A875" s="41" t="str">
        <f t="shared" si="16"/>
        <v>888MYR</v>
      </c>
      <c r="B875" s="42" t="s">
        <v>529</v>
      </c>
      <c r="C875" s="42">
        <v>888</v>
      </c>
      <c r="D875" s="42">
        <v>20020</v>
      </c>
      <c r="E875" s="42" t="s">
        <v>11</v>
      </c>
      <c r="F875" s="42" t="s">
        <v>28</v>
      </c>
      <c r="G875" s="42" t="s">
        <v>28</v>
      </c>
      <c r="H875" s="42">
        <v>3.8892895189750001</v>
      </c>
      <c r="I875" s="42">
        <v>0.88</v>
      </c>
    </row>
    <row r="876" spans="1:9" ht="18" customHeight="1">
      <c r="A876" s="41" t="str">
        <f t="shared" si="16"/>
        <v>888USD</v>
      </c>
      <c r="B876" s="42" t="s">
        <v>530</v>
      </c>
      <c r="C876" s="42">
        <v>888</v>
      </c>
      <c r="D876" s="42">
        <v>20020</v>
      </c>
      <c r="E876" s="42" t="s">
        <v>11</v>
      </c>
      <c r="F876" s="42" t="s">
        <v>28</v>
      </c>
      <c r="G876" s="42" t="s">
        <v>11</v>
      </c>
      <c r="H876" s="42">
        <v>-2.6045076599999999</v>
      </c>
      <c r="I876" s="42">
        <v>-2.6</v>
      </c>
    </row>
    <row r="877" spans="1:9" ht="18" customHeight="1">
      <c r="A877" s="41" t="str">
        <f t="shared" si="16"/>
        <v>888MYR</v>
      </c>
      <c r="B877" s="42" t="s">
        <v>530</v>
      </c>
      <c r="C877" s="42">
        <v>888</v>
      </c>
      <c r="D877" s="42">
        <v>20020</v>
      </c>
      <c r="E877" s="42" t="s">
        <v>11</v>
      </c>
      <c r="F877" s="42" t="s">
        <v>28</v>
      </c>
      <c r="G877" s="42" t="s">
        <v>28</v>
      </c>
      <c r="H877" s="42">
        <v>11.37866986575</v>
      </c>
      <c r="I877" s="42">
        <v>2.57</v>
      </c>
    </row>
    <row r="878" spans="1:9" ht="18" customHeight="1">
      <c r="A878" s="41" t="str">
        <f t="shared" si="16"/>
        <v>888USD</v>
      </c>
      <c r="B878" s="42" t="s">
        <v>531</v>
      </c>
      <c r="C878" s="42">
        <v>888</v>
      </c>
      <c r="D878" s="42">
        <v>20020</v>
      </c>
      <c r="E878" s="42" t="s">
        <v>11</v>
      </c>
      <c r="F878" s="42" t="s">
        <v>28</v>
      </c>
      <c r="G878" s="42" t="s">
        <v>11</v>
      </c>
      <c r="H878" s="42">
        <v>-5.0282823700000003</v>
      </c>
      <c r="I878" s="42">
        <v>-5.03</v>
      </c>
    </row>
    <row r="879" spans="1:9" ht="18" customHeight="1">
      <c r="A879" s="41" t="str">
        <f t="shared" si="16"/>
        <v>888MYR</v>
      </c>
      <c r="B879" s="42" t="s">
        <v>531</v>
      </c>
      <c r="C879" s="42">
        <v>888</v>
      </c>
      <c r="D879" s="42">
        <v>20020</v>
      </c>
      <c r="E879" s="42" t="s">
        <v>11</v>
      </c>
      <c r="F879" s="42" t="s">
        <v>28</v>
      </c>
      <c r="G879" s="42" t="s">
        <v>28</v>
      </c>
      <c r="H879" s="42">
        <v>21.878785698000002</v>
      </c>
      <c r="I879" s="42">
        <v>4.95</v>
      </c>
    </row>
    <row r="880" spans="1:9" ht="18" customHeight="1">
      <c r="A880" s="41" t="str">
        <f t="shared" si="16"/>
        <v>888USD</v>
      </c>
      <c r="B880" s="42" t="s">
        <v>532</v>
      </c>
      <c r="C880" s="42">
        <v>888</v>
      </c>
      <c r="D880" s="42">
        <v>20020</v>
      </c>
      <c r="E880" s="42" t="s">
        <v>11</v>
      </c>
      <c r="F880" s="42" t="s">
        <v>28</v>
      </c>
      <c r="G880" s="42" t="s">
        <v>11</v>
      </c>
      <c r="H880" s="42">
        <v>-6.6688724400000003</v>
      </c>
      <c r="I880" s="42">
        <v>-6.67</v>
      </c>
    </row>
    <row r="881" spans="1:9" ht="18" customHeight="1">
      <c r="A881" s="41" t="str">
        <f t="shared" si="16"/>
        <v>888MYR</v>
      </c>
      <c r="B881" s="42" t="s">
        <v>532</v>
      </c>
      <c r="C881" s="42">
        <v>888</v>
      </c>
      <c r="D881" s="42">
        <v>20020</v>
      </c>
      <c r="E881" s="42" t="s">
        <v>11</v>
      </c>
      <c r="F881" s="42" t="s">
        <v>28</v>
      </c>
      <c r="G881" s="42" t="s">
        <v>28</v>
      </c>
      <c r="H881" s="42">
        <v>28.954270419210001</v>
      </c>
      <c r="I881" s="42">
        <v>6.55</v>
      </c>
    </row>
    <row r="882" spans="1:9" ht="18" customHeight="1">
      <c r="A882" s="41" t="str">
        <f t="shared" si="16"/>
        <v>888USD</v>
      </c>
      <c r="B882" s="42" t="s">
        <v>533</v>
      </c>
      <c r="C882" s="42">
        <v>888</v>
      </c>
      <c r="D882" s="42">
        <v>20020</v>
      </c>
      <c r="E882" s="42" t="s">
        <v>11</v>
      </c>
      <c r="F882" s="42" t="s">
        <v>28</v>
      </c>
      <c r="G882" s="42" t="s">
        <v>11</v>
      </c>
      <c r="H882" s="42">
        <v>-8.35192041</v>
      </c>
      <c r="I882" s="42">
        <v>-8.35</v>
      </c>
    </row>
    <row r="883" spans="1:9" ht="18" customHeight="1">
      <c r="A883" s="41" t="str">
        <f t="shared" si="16"/>
        <v>888MYR</v>
      </c>
      <c r="B883" s="42" t="s">
        <v>533</v>
      </c>
      <c r="C883" s="42">
        <v>888</v>
      </c>
      <c r="D883" s="42">
        <v>20020</v>
      </c>
      <c r="E883" s="42" t="s">
        <v>11</v>
      </c>
      <c r="F883" s="42" t="s">
        <v>28</v>
      </c>
      <c r="G883" s="42" t="s">
        <v>28</v>
      </c>
      <c r="H883" s="42">
        <v>36.183392268239999</v>
      </c>
      <c r="I883" s="42">
        <v>8.18</v>
      </c>
    </row>
    <row r="884" spans="1:9" ht="18" customHeight="1">
      <c r="A884" s="41" t="str">
        <f t="shared" si="16"/>
        <v>888MYR</v>
      </c>
      <c r="B884" s="42" t="s">
        <v>534</v>
      </c>
      <c r="C884" s="42">
        <v>888</v>
      </c>
      <c r="D884" s="42">
        <v>20030</v>
      </c>
      <c r="E884" s="42" t="s">
        <v>28</v>
      </c>
      <c r="F884" s="42" t="s">
        <v>11</v>
      </c>
      <c r="G884" s="42" t="s">
        <v>28</v>
      </c>
      <c r="H884" s="42">
        <v>-362.80518027599999</v>
      </c>
      <c r="I884" s="42">
        <v>-82.04</v>
      </c>
    </row>
    <row r="885" spans="1:9" ht="18" customHeight="1">
      <c r="A885" s="41" t="str">
        <f t="shared" si="16"/>
        <v>888USD</v>
      </c>
      <c r="B885" s="42" t="s">
        <v>534</v>
      </c>
      <c r="C885" s="42">
        <v>888</v>
      </c>
      <c r="D885" s="42">
        <v>20030</v>
      </c>
      <c r="E885" s="42" t="s">
        <v>28</v>
      </c>
      <c r="F885" s="42" t="s">
        <v>11</v>
      </c>
      <c r="G885" s="42" t="s">
        <v>11</v>
      </c>
      <c r="H885" s="42">
        <v>83.519204099999996</v>
      </c>
      <c r="I885" s="42">
        <v>83.52</v>
      </c>
    </row>
    <row r="886" spans="1:9" ht="18" customHeight="1">
      <c r="A886" s="41" t="str">
        <f t="shared" si="16"/>
        <v>888MYR</v>
      </c>
      <c r="B886" s="42" t="s">
        <v>535</v>
      </c>
      <c r="C886" s="42">
        <v>888</v>
      </c>
      <c r="D886" s="42">
        <v>20020</v>
      </c>
      <c r="E886" s="42" t="s">
        <v>28</v>
      </c>
      <c r="F886" s="42" t="s">
        <v>11</v>
      </c>
      <c r="G886" s="42" t="s">
        <v>28</v>
      </c>
      <c r="H886" s="42">
        <v>-14.157412547837</v>
      </c>
      <c r="I886" s="42">
        <v>-3.2</v>
      </c>
    </row>
    <row r="887" spans="1:9" ht="18" customHeight="1">
      <c r="A887" s="41" t="str">
        <f t="shared" si="16"/>
        <v>888USD</v>
      </c>
      <c r="B887" s="42" t="s">
        <v>535</v>
      </c>
      <c r="C887" s="42">
        <v>888</v>
      </c>
      <c r="D887" s="42">
        <v>20020</v>
      </c>
      <c r="E887" s="42" t="s">
        <v>28</v>
      </c>
      <c r="F887" s="42" t="s">
        <v>11</v>
      </c>
      <c r="G887" s="42" t="s">
        <v>11</v>
      </c>
      <c r="H887" s="42">
        <v>3.2107955086079998</v>
      </c>
      <c r="I887" s="42">
        <v>3.21</v>
      </c>
    </row>
    <row r="888" spans="1:9" ht="18" customHeight="1">
      <c r="A888" s="41" t="str">
        <f t="shared" si="16"/>
        <v>888MYR</v>
      </c>
      <c r="B888" s="42" t="s">
        <v>536</v>
      </c>
      <c r="C888" s="42">
        <v>888</v>
      </c>
      <c r="D888" s="42">
        <v>20020</v>
      </c>
      <c r="E888" s="42" t="s">
        <v>28</v>
      </c>
      <c r="F888" s="42" t="s">
        <v>11</v>
      </c>
      <c r="G888" s="42" t="s">
        <v>28</v>
      </c>
      <c r="H888" s="42">
        <v>-46.946080512187002</v>
      </c>
      <c r="I888" s="42">
        <v>-10.62</v>
      </c>
    </row>
    <row r="889" spans="1:9" ht="18" customHeight="1">
      <c r="A889" s="41" t="str">
        <f t="shared" si="16"/>
        <v>888USD</v>
      </c>
      <c r="B889" s="42" t="s">
        <v>536</v>
      </c>
      <c r="C889" s="42">
        <v>888</v>
      </c>
      <c r="D889" s="42">
        <v>20020</v>
      </c>
      <c r="E889" s="42" t="s">
        <v>28</v>
      </c>
      <c r="F889" s="42" t="s">
        <v>11</v>
      </c>
      <c r="G889" s="42" t="s">
        <v>11</v>
      </c>
      <c r="H889" s="42">
        <v>10.653530859375</v>
      </c>
      <c r="I889" s="42">
        <v>10.65</v>
      </c>
    </row>
    <row r="890" spans="1:9" ht="18" customHeight="1">
      <c r="A890" s="41" t="str">
        <f t="shared" si="16"/>
        <v>888JPY</v>
      </c>
      <c r="B890" s="42" t="s">
        <v>537</v>
      </c>
      <c r="C890" s="42">
        <v>888</v>
      </c>
      <c r="D890" s="42">
        <v>20020</v>
      </c>
      <c r="E890" s="42" t="s">
        <v>10</v>
      </c>
      <c r="F890" s="42" t="s">
        <v>28</v>
      </c>
      <c r="G890" s="42" t="s">
        <v>10</v>
      </c>
      <c r="H890" s="42">
        <v>0</v>
      </c>
      <c r="I890" s="42">
        <v>0</v>
      </c>
    </row>
    <row r="891" spans="1:9" ht="18" customHeight="1">
      <c r="A891" s="41" t="str">
        <f t="shared" si="16"/>
        <v>888MYR</v>
      </c>
      <c r="B891" s="42" t="s">
        <v>537</v>
      </c>
      <c r="C891" s="42">
        <v>888</v>
      </c>
      <c r="D891" s="42">
        <v>20020</v>
      </c>
      <c r="E891" s="42" t="s">
        <v>10</v>
      </c>
      <c r="F891" s="42" t="s">
        <v>28</v>
      </c>
      <c r="G891" s="42" t="s">
        <v>28</v>
      </c>
      <c r="H891" s="42">
        <v>0</v>
      </c>
      <c r="I891" s="42">
        <v>0</v>
      </c>
    </row>
    <row r="892" spans="1:9" ht="18" customHeight="1">
      <c r="A892" s="41" t="str">
        <f t="shared" si="16"/>
        <v>888USD</v>
      </c>
      <c r="B892" s="42" t="s">
        <v>538</v>
      </c>
      <c r="C892" s="42">
        <v>888</v>
      </c>
      <c r="D892" s="42">
        <v>20020</v>
      </c>
      <c r="E892" s="42" t="s">
        <v>11</v>
      </c>
      <c r="F892" s="42" t="s">
        <v>10</v>
      </c>
      <c r="G892" s="42" t="s">
        <v>11</v>
      </c>
      <c r="H892" s="42">
        <v>-6.6999293025000002</v>
      </c>
      <c r="I892" s="42">
        <v>-6.7</v>
      </c>
    </row>
    <row r="893" spans="1:9" ht="18" customHeight="1">
      <c r="A893" s="41" t="str">
        <f t="shared" si="16"/>
        <v>888JPY</v>
      </c>
      <c r="B893" s="42" t="s">
        <v>538</v>
      </c>
      <c r="C893" s="42">
        <v>888</v>
      </c>
      <c r="D893" s="42">
        <v>20020</v>
      </c>
      <c r="E893" s="42" t="s">
        <v>11</v>
      </c>
      <c r="F893" s="42" t="s">
        <v>10</v>
      </c>
      <c r="G893" s="42" t="s">
        <v>10</v>
      </c>
      <c r="H893" s="42">
        <v>761.38935838875</v>
      </c>
      <c r="I893" s="42">
        <v>6.85</v>
      </c>
    </row>
    <row r="894" spans="1:9" ht="18" customHeight="1">
      <c r="A894" s="41" t="str">
        <f t="shared" si="16"/>
        <v>888USD</v>
      </c>
      <c r="B894" s="42" t="s">
        <v>539</v>
      </c>
      <c r="C894" s="42">
        <v>888</v>
      </c>
      <c r="D894" s="42">
        <v>20020</v>
      </c>
      <c r="E894" s="42" t="s">
        <v>11</v>
      </c>
      <c r="F894" s="42" t="s">
        <v>28</v>
      </c>
      <c r="G894" s="42" t="s">
        <v>11</v>
      </c>
      <c r="H894" s="42">
        <v>-0.88810674999999994</v>
      </c>
      <c r="I894" s="42">
        <v>-0.89</v>
      </c>
    </row>
    <row r="895" spans="1:9" ht="18" customHeight="1">
      <c r="A895" s="41" t="str">
        <f t="shared" si="16"/>
        <v>888MYR</v>
      </c>
      <c r="B895" s="42" t="s">
        <v>539</v>
      </c>
      <c r="C895" s="42">
        <v>888</v>
      </c>
      <c r="D895" s="42">
        <v>20020</v>
      </c>
      <c r="E895" s="42" t="s">
        <v>11</v>
      </c>
      <c r="F895" s="42" t="s">
        <v>28</v>
      </c>
      <c r="G895" s="42" t="s">
        <v>28</v>
      </c>
      <c r="H895" s="42">
        <v>3.8919123960249999</v>
      </c>
      <c r="I895" s="42">
        <v>0.88</v>
      </c>
    </row>
    <row r="896" spans="1:9" ht="18" customHeight="1">
      <c r="A896" s="41" t="str">
        <f t="shared" si="16"/>
        <v>888USD</v>
      </c>
      <c r="B896" s="42" t="s">
        <v>540</v>
      </c>
      <c r="C896" s="42">
        <v>888</v>
      </c>
      <c r="D896" s="42">
        <v>20020</v>
      </c>
      <c r="E896" s="42" t="s">
        <v>11</v>
      </c>
      <c r="F896" s="42" t="s">
        <v>28</v>
      </c>
      <c r="G896" s="42" t="s">
        <v>11</v>
      </c>
      <c r="H896" s="42">
        <v>-2.6045076599999999</v>
      </c>
      <c r="I896" s="42">
        <v>-2.6</v>
      </c>
    </row>
    <row r="897" spans="1:9" ht="18" customHeight="1">
      <c r="A897" s="41" t="str">
        <f t="shared" si="16"/>
        <v>888MYR</v>
      </c>
      <c r="B897" s="42" t="s">
        <v>540</v>
      </c>
      <c r="C897" s="42">
        <v>888</v>
      </c>
      <c r="D897" s="42">
        <v>20020</v>
      </c>
      <c r="E897" s="42" t="s">
        <v>11</v>
      </c>
      <c r="F897" s="42" t="s">
        <v>28</v>
      </c>
      <c r="G897" s="42" t="s">
        <v>28</v>
      </c>
      <c r="H897" s="42">
        <v>11.3863322697</v>
      </c>
      <c r="I897" s="42">
        <v>2.57</v>
      </c>
    </row>
    <row r="898" spans="1:9" ht="18" customHeight="1">
      <c r="A898" s="41" t="str">
        <f t="shared" si="16"/>
        <v>888USD</v>
      </c>
      <c r="B898" s="42" t="s">
        <v>541</v>
      </c>
      <c r="C898" s="42">
        <v>888</v>
      </c>
      <c r="D898" s="42">
        <v>20020</v>
      </c>
      <c r="E898" s="42" t="s">
        <v>11</v>
      </c>
      <c r="F898" s="42" t="s">
        <v>28</v>
      </c>
      <c r="G898" s="42" t="s">
        <v>11</v>
      </c>
      <c r="H898" s="42">
        <v>-5.0282823700000003</v>
      </c>
      <c r="I898" s="42">
        <v>-5.03</v>
      </c>
    </row>
    <row r="899" spans="1:9" ht="18" customHeight="1">
      <c r="A899" s="41" t="str">
        <f t="shared" ref="A899:A962" si="17">CONCATENATE(C899,G899)</f>
        <v>888MYR</v>
      </c>
      <c r="B899" s="42" t="s">
        <v>541</v>
      </c>
      <c r="C899" s="42">
        <v>888</v>
      </c>
      <c r="D899" s="42">
        <v>20020</v>
      </c>
      <c r="E899" s="42" t="s">
        <v>11</v>
      </c>
      <c r="F899" s="42" t="s">
        <v>28</v>
      </c>
      <c r="G899" s="42" t="s">
        <v>28</v>
      </c>
      <c r="H899" s="42">
        <v>21.895945529919999</v>
      </c>
      <c r="I899" s="42">
        <v>4.95</v>
      </c>
    </row>
    <row r="900" spans="1:9" ht="18" customHeight="1">
      <c r="A900" s="41" t="str">
        <f t="shared" si="17"/>
        <v>888USD</v>
      </c>
      <c r="B900" s="42" t="s">
        <v>542</v>
      </c>
      <c r="C900" s="42">
        <v>888</v>
      </c>
      <c r="D900" s="42">
        <v>20020</v>
      </c>
      <c r="E900" s="42" t="s">
        <v>11</v>
      </c>
      <c r="F900" s="42" t="s">
        <v>28</v>
      </c>
      <c r="G900" s="42" t="s">
        <v>11</v>
      </c>
      <c r="H900" s="42">
        <v>-6.6688724400000003</v>
      </c>
      <c r="I900" s="42">
        <v>-6.67</v>
      </c>
    </row>
    <row r="901" spans="1:9" ht="18" customHeight="1">
      <c r="A901" s="41" t="str">
        <f t="shared" si="17"/>
        <v>888MYR</v>
      </c>
      <c r="B901" s="42" t="s">
        <v>542</v>
      </c>
      <c r="C901" s="42">
        <v>888</v>
      </c>
      <c r="D901" s="42">
        <v>20020</v>
      </c>
      <c r="E901" s="42" t="s">
        <v>11</v>
      </c>
      <c r="F901" s="42" t="s">
        <v>28</v>
      </c>
      <c r="G901" s="42" t="s">
        <v>28</v>
      </c>
      <c r="H901" s="42">
        <v>28.973715866100001</v>
      </c>
      <c r="I901" s="42">
        <v>6.55</v>
      </c>
    </row>
    <row r="902" spans="1:9" ht="18" customHeight="1">
      <c r="A902" s="41" t="str">
        <f t="shared" si="17"/>
        <v>888USD</v>
      </c>
      <c r="B902" s="42" t="s">
        <v>543</v>
      </c>
      <c r="C902" s="42">
        <v>888</v>
      </c>
      <c r="D902" s="42">
        <v>20020</v>
      </c>
      <c r="E902" s="42" t="s">
        <v>11</v>
      </c>
      <c r="F902" s="42" t="s">
        <v>28</v>
      </c>
      <c r="G902" s="42" t="s">
        <v>11</v>
      </c>
      <c r="H902" s="42">
        <v>-8.35192041</v>
      </c>
      <c r="I902" s="42">
        <v>-8.35</v>
      </c>
    </row>
    <row r="903" spans="1:9" ht="18" customHeight="1">
      <c r="A903" s="41" t="str">
        <f t="shared" si="17"/>
        <v>888MYR</v>
      </c>
      <c r="B903" s="42" t="s">
        <v>543</v>
      </c>
      <c r="C903" s="42">
        <v>888</v>
      </c>
      <c r="D903" s="42">
        <v>20020</v>
      </c>
      <c r="E903" s="42" t="s">
        <v>11</v>
      </c>
      <c r="F903" s="42" t="s">
        <v>28</v>
      </c>
      <c r="G903" s="42" t="s">
        <v>28</v>
      </c>
      <c r="H903" s="42">
        <v>36.207673708080002</v>
      </c>
      <c r="I903" s="42">
        <v>8.19</v>
      </c>
    </row>
    <row r="904" spans="1:9" ht="18" customHeight="1">
      <c r="A904" s="41" t="str">
        <f t="shared" si="17"/>
        <v>888MYR</v>
      </c>
      <c r="B904" s="42" t="s">
        <v>544</v>
      </c>
      <c r="C904" s="42">
        <v>888</v>
      </c>
      <c r="D904" s="42">
        <v>20020</v>
      </c>
      <c r="E904" s="42" t="s">
        <v>28</v>
      </c>
      <c r="F904" s="42" t="s">
        <v>30</v>
      </c>
      <c r="G904" s="42" t="s">
        <v>28</v>
      </c>
      <c r="H904" s="42">
        <v>-15.24405054064</v>
      </c>
      <c r="I904" s="42">
        <v>-3.45</v>
      </c>
    </row>
    <row r="905" spans="1:9" ht="18" customHeight="1">
      <c r="A905" s="41" t="str">
        <f t="shared" si="17"/>
        <v>888THB</v>
      </c>
      <c r="B905" s="42" t="s">
        <v>544</v>
      </c>
      <c r="C905" s="42">
        <v>888</v>
      </c>
      <c r="D905" s="42">
        <v>20020</v>
      </c>
      <c r="E905" s="42" t="s">
        <v>28</v>
      </c>
      <c r="F905" s="42" t="s">
        <v>30</v>
      </c>
      <c r="G905" s="42" t="s">
        <v>30</v>
      </c>
      <c r="H905" s="42">
        <v>118.0942184</v>
      </c>
      <c r="I905" s="42">
        <v>3.43</v>
      </c>
    </row>
    <row r="906" spans="1:9" ht="18" customHeight="1">
      <c r="A906" s="41" t="str">
        <f t="shared" si="17"/>
        <v>888THB</v>
      </c>
      <c r="B906" s="42" t="s">
        <v>545</v>
      </c>
      <c r="C906" s="42">
        <v>888</v>
      </c>
      <c r="D906" s="42">
        <v>20020</v>
      </c>
      <c r="E906" s="42" t="s">
        <v>30</v>
      </c>
      <c r="F906" s="42" t="s">
        <v>11</v>
      </c>
      <c r="G906" s="42" t="s">
        <v>30</v>
      </c>
      <c r="H906" s="42">
        <v>-116.481494229975</v>
      </c>
      <c r="I906" s="42">
        <v>-3.38</v>
      </c>
    </row>
    <row r="907" spans="1:9" ht="18" customHeight="1">
      <c r="A907" s="41" t="str">
        <f t="shared" si="17"/>
        <v>888USD</v>
      </c>
      <c r="B907" s="42" t="s">
        <v>545</v>
      </c>
      <c r="C907" s="42">
        <v>888</v>
      </c>
      <c r="D907" s="42">
        <v>20020</v>
      </c>
      <c r="E907" s="42" t="s">
        <v>30</v>
      </c>
      <c r="F907" s="42" t="s">
        <v>11</v>
      </c>
      <c r="G907" s="42" t="s">
        <v>11</v>
      </c>
      <c r="H907" s="42">
        <v>3.3700639049999999</v>
      </c>
      <c r="I907" s="42">
        <v>3.37</v>
      </c>
    </row>
    <row r="908" spans="1:9" ht="18" customHeight="1">
      <c r="A908" s="41" t="str">
        <f t="shared" si="17"/>
        <v>888USD</v>
      </c>
      <c r="B908" s="42" t="s">
        <v>546</v>
      </c>
      <c r="C908" s="42">
        <v>888</v>
      </c>
      <c r="D908" s="42">
        <v>20020</v>
      </c>
      <c r="E908" s="42" t="s">
        <v>11</v>
      </c>
      <c r="F908" s="42" t="s">
        <v>28</v>
      </c>
      <c r="G908" s="42" t="s">
        <v>11</v>
      </c>
      <c r="H908" s="42">
        <v>-2.6045076599999999</v>
      </c>
      <c r="I908" s="42">
        <v>-2.6</v>
      </c>
    </row>
    <row r="909" spans="1:9" ht="18" customHeight="1">
      <c r="A909" s="41" t="str">
        <f t="shared" si="17"/>
        <v>888MYR</v>
      </c>
      <c r="B909" s="42" t="s">
        <v>546</v>
      </c>
      <c r="C909" s="42">
        <v>888</v>
      </c>
      <c r="D909" s="42">
        <v>20020</v>
      </c>
      <c r="E909" s="42" t="s">
        <v>11</v>
      </c>
      <c r="F909" s="42" t="s">
        <v>28</v>
      </c>
      <c r="G909" s="42" t="s">
        <v>28</v>
      </c>
      <c r="H909" s="42">
        <v>11.383778135049999</v>
      </c>
      <c r="I909" s="42">
        <v>2.57</v>
      </c>
    </row>
    <row r="910" spans="1:9" ht="18" customHeight="1">
      <c r="A910" s="41" t="str">
        <f t="shared" si="17"/>
        <v>888USD</v>
      </c>
      <c r="B910" s="42" t="s">
        <v>547</v>
      </c>
      <c r="C910" s="42">
        <v>888</v>
      </c>
      <c r="D910" s="42">
        <v>20020</v>
      </c>
      <c r="E910" s="42" t="s">
        <v>11</v>
      </c>
      <c r="F910" s="42" t="s">
        <v>28</v>
      </c>
      <c r="G910" s="42" t="s">
        <v>11</v>
      </c>
      <c r="H910" s="42">
        <v>-5.0282823700000003</v>
      </c>
      <c r="I910" s="42">
        <v>-5.03</v>
      </c>
    </row>
    <row r="911" spans="1:9" ht="18" customHeight="1">
      <c r="A911" s="41" t="str">
        <f t="shared" si="17"/>
        <v>888MYR</v>
      </c>
      <c r="B911" s="42" t="s">
        <v>547</v>
      </c>
      <c r="C911" s="42">
        <v>888</v>
      </c>
      <c r="D911" s="42">
        <v>20020</v>
      </c>
      <c r="E911" s="42" t="s">
        <v>11</v>
      </c>
      <c r="F911" s="42" t="s">
        <v>28</v>
      </c>
      <c r="G911" s="42" t="s">
        <v>28</v>
      </c>
      <c r="H911" s="42">
        <v>21.888591316239999</v>
      </c>
      <c r="I911" s="42">
        <v>4.95</v>
      </c>
    </row>
    <row r="912" spans="1:9" ht="18" customHeight="1">
      <c r="A912" s="41" t="str">
        <f t="shared" si="17"/>
        <v>888USD</v>
      </c>
      <c r="B912" s="42" t="s">
        <v>548</v>
      </c>
      <c r="C912" s="42">
        <v>888</v>
      </c>
      <c r="D912" s="42">
        <v>20020</v>
      </c>
      <c r="E912" s="42" t="s">
        <v>11</v>
      </c>
      <c r="F912" s="42" t="s">
        <v>28</v>
      </c>
      <c r="G912" s="42" t="s">
        <v>11</v>
      </c>
      <c r="H912" s="42">
        <v>-0.88810674999999994</v>
      </c>
      <c r="I912" s="42">
        <v>-0.89</v>
      </c>
    </row>
    <row r="913" spans="1:9" ht="18" customHeight="1">
      <c r="A913" s="41" t="str">
        <f t="shared" si="17"/>
        <v>888MYR</v>
      </c>
      <c r="B913" s="42" t="s">
        <v>548</v>
      </c>
      <c r="C913" s="42">
        <v>888</v>
      </c>
      <c r="D913" s="42">
        <v>20020</v>
      </c>
      <c r="E913" s="42" t="s">
        <v>11</v>
      </c>
      <c r="F913" s="42" t="s">
        <v>28</v>
      </c>
      <c r="G913" s="42" t="s">
        <v>28</v>
      </c>
      <c r="H913" s="42">
        <v>3.899781027175</v>
      </c>
      <c r="I913" s="42">
        <v>0.88</v>
      </c>
    </row>
    <row r="914" spans="1:9" ht="18" customHeight="1">
      <c r="A914" s="41" t="str">
        <f t="shared" si="17"/>
        <v>888USD</v>
      </c>
      <c r="B914" s="42" t="s">
        <v>549</v>
      </c>
      <c r="C914" s="42">
        <v>888</v>
      </c>
      <c r="D914" s="42">
        <v>20020</v>
      </c>
      <c r="E914" s="42" t="s">
        <v>11</v>
      </c>
      <c r="F914" s="42" t="s">
        <v>28</v>
      </c>
      <c r="G914" s="42" t="s">
        <v>11</v>
      </c>
      <c r="H914" s="42">
        <v>-2.6045076599999999</v>
      </c>
      <c r="I914" s="42">
        <v>-2.6</v>
      </c>
    </row>
    <row r="915" spans="1:9" ht="18" customHeight="1">
      <c r="A915" s="41" t="str">
        <f t="shared" si="17"/>
        <v>888MYR</v>
      </c>
      <c r="B915" s="42" t="s">
        <v>549</v>
      </c>
      <c r="C915" s="42">
        <v>888</v>
      </c>
      <c r="D915" s="42">
        <v>20020</v>
      </c>
      <c r="E915" s="42" t="s">
        <v>11</v>
      </c>
      <c r="F915" s="42" t="s">
        <v>28</v>
      </c>
      <c r="G915" s="42" t="s">
        <v>28</v>
      </c>
      <c r="H915" s="42">
        <v>11.405488279575</v>
      </c>
      <c r="I915" s="42">
        <v>2.58</v>
      </c>
    </row>
    <row r="916" spans="1:9" ht="18" customHeight="1">
      <c r="A916" s="41" t="str">
        <f t="shared" si="17"/>
        <v>888USD</v>
      </c>
      <c r="B916" s="42" t="s">
        <v>550</v>
      </c>
      <c r="C916" s="42">
        <v>888</v>
      </c>
      <c r="D916" s="42">
        <v>20020</v>
      </c>
      <c r="E916" s="42" t="s">
        <v>11</v>
      </c>
      <c r="F916" s="42" t="s">
        <v>28</v>
      </c>
      <c r="G916" s="42" t="s">
        <v>11</v>
      </c>
      <c r="H916" s="42">
        <v>-5.0282823700000003</v>
      </c>
      <c r="I916" s="42">
        <v>-5.03</v>
      </c>
    </row>
    <row r="917" spans="1:9" ht="18" customHeight="1">
      <c r="A917" s="41" t="str">
        <f t="shared" si="17"/>
        <v>888MYR</v>
      </c>
      <c r="B917" s="42" t="s">
        <v>550</v>
      </c>
      <c r="C917" s="42">
        <v>888</v>
      </c>
      <c r="D917" s="42">
        <v>20020</v>
      </c>
      <c r="E917" s="42" t="s">
        <v>11</v>
      </c>
      <c r="F917" s="42" t="s">
        <v>28</v>
      </c>
      <c r="G917" s="42" t="s">
        <v>28</v>
      </c>
      <c r="H917" s="42">
        <v>21.927813789199998</v>
      </c>
      <c r="I917" s="42">
        <v>4.96</v>
      </c>
    </row>
    <row r="918" spans="1:9" ht="18" customHeight="1">
      <c r="A918" s="41" t="str">
        <f t="shared" si="17"/>
        <v>888USD</v>
      </c>
      <c r="B918" s="42" t="s">
        <v>551</v>
      </c>
      <c r="C918" s="42">
        <v>888</v>
      </c>
      <c r="D918" s="42">
        <v>20020</v>
      </c>
      <c r="E918" s="42" t="s">
        <v>11</v>
      </c>
      <c r="F918" s="42" t="s">
        <v>28</v>
      </c>
      <c r="G918" s="42" t="s">
        <v>11</v>
      </c>
      <c r="H918" s="42">
        <v>-6.6688724400000003</v>
      </c>
      <c r="I918" s="42">
        <v>-6.67</v>
      </c>
    </row>
    <row r="919" spans="1:9" ht="18" customHeight="1">
      <c r="A919" s="41" t="str">
        <f t="shared" si="17"/>
        <v>888MYR</v>
      </c>
      <c r="B919" s="42" t="s">
        <v>551</v>
      </c>
      <c r="C919" s="42">
        <v>888</v>
      </c>
      <c r="D919" s="42">
        <v>20020</v>
      </c>
      <c r="E919" s="42" t="s">
        <v>11</v>
      </c>
      <c r="F919" s="42" t="s">
        <v>28</v>
      </c>
      <c r="G919" s="42" t="s">
        <v>28</v>
      </c>
      <c r="H919" s="42">
        <v>29.015847667694999</v>
      </c>
      <c r="I919" s="42">
        <v>6.56</v>
      </c>
    </row>
    <row r="920" spans="1:9" ht="18" customHeight="1">
      <c r="A920" s="41" t="str">
        <f t="shared" si="17"/>
        <v>888USD</v>
      </c>
      <c r="B920" s="42" t="s">
        <v>552</v>
      </c>
      <c r="C920" s="42">
        <v>888</v>
      </c>
      <c r="D920" s="42">
        <v>20020</v>
      </c>
      <c r="E920" s="42" t="s">
        <v>11</v>
      </c>
      <c r="F920" s="42" t="s">
        <v>28</v>
      </c>
      <c r="G920" s="42" t="s">
        <v>11</v>
      </c>
      <c r="H920" s="42">
        <v>-2.6045076599999999</v>
      </c>
      <c r="I920" s="42">
        <v>-2.6</v>
      </c>
    </row>
    <row r="921" spans="1:9" ht="18" customHeight="1">
      <c r="A921" s="41" t="str">
        <f t="shared" si="17"/>
        <v>888MYR</v>
      </c>
      <c r="B921" s="42" t="s">
        <v>552</v>
      </c>
      <c r="C921" s="42">
        <v>888</v>
      </c>
      <c r="D921" s="42">
        <v>20020</v>
      </c>
      <c r="E921" s="42" t="s">
        <v>11</v>
      </c>
      <c r="F921" s="42" t="s">
        <v>28</v>
      </c>
      <c r="G921" s="42" t="s">
        <v>28</v>
      </c>
      <c r="H921" s="42">
        <v>11.404211212250001</v>
      </c>
      <c r="I921" s="42">
        <v>2.58</v>
      </c>
    </row>
    <row r="922" spans="1:9" ht="18" customHeight="1">
      <c r="A922" s="41" t="str">
        <f t="shared" si="17"/>
        <v>888USD</v>
      </c>
      <c r="B922" s="42" t="s">
        <v>553</v>
      </c>
      <c r="C922" s="42">
        <v>888</v>
      </c>
      <c r="D922" s="42">
        <v>20020</v>
      </c>
      <c r="E922" s="42" t="s">
        <v>11</v>
      </c>
      <c r="F922" s="42" t="s">
        <v>28</v>
      </c>
      <c r="G922" s="42" t="s">
        <v>11</v>
      </c>
      <c r="H922" s="42">
        <v>-5.0282823700000003</v>
      </c>
      <c r="I922" s="42">
        <v>-5.03</v>
      </c>
    </row>
    <row r="923" spans="1:9" ht="18" customHeight="1">
      <c r="A923" s="41" t="str">
        <f t="shared" si="17"/>
        <v>888MYR</v>
      </c>
      <c r="B923" s="42" t="s">
        <v>553</v>
      </c>
      <c r="C923" s="42">
        <v>888</v>
      </c>
      <c r="D923" s="42">
        <v>20020</v>
      </c>
      <c r="E923" s="42" t="s">
        <v>11</v>
      </c>
      <c r="F923" s="42" t="s">
        <v>28</v>
      </c>
      <c r="G923" s="42" t="s">
        <v>28</v>
      </c>
      <c r="H923" s="42">
        <v>21.922910980080001</v>
      </c>
      <c r="I923" s="42">
        <v>4.96</v>
      </c>
    </row>
    <row r="924" spans="1:9" ht="18" customHeight="1">
      <c r="A924" s="41" t="str">
        <f t="shared" si="17"/>
        <v>888USD</v>
      </c>
      <c r="B924" s="42" t="s">
        <v>554</v>
      </c>
      <c r="C924" s="42">
        <v>888</v>
      </c>
      <c r="D924" s="42">
        <v>20020</v>
      </c>
      <c r="E924" s="42" t="s">
        <v>11</v>
      </c>
      <c r="F924" s="42" t="s">
        <v>28</v>
      </c>
      <c r="G924" s="42" t="s">
        <v>11</v>
      </c>
      <c r="H924" s="42">
        <v>-6.6688724400000003</v>
      </c>
      <c r="I924" s="42">
        <v>-6.67</v>
      </c>
    </row>
    <row r="925" spans="1:9" ht="18" customHeight="1">
      <c r="A925" s="41" t="str">
        <f t="shared" si="17"/>
        <v>888MYR</v>
      </c>
      <c r="B925" s="42" t="s">
        <v>554</v>
      </c>
      <c r="C925" s="42">
        <v>888</v>
      </c>
      <c r="D925" s="42">
        <v>20020</v>
      </c>
      <c r="E925" s="42" t="s">
        <v>11</v>
      </c>
      <c r="F925" s="42" t="s">
        <v>28</v>
      </c>
      <c r="G925" s="42" t="s">
        <v>28</v>
      </c>
      <c r="H925" s="42">
        <v>29.006124944250001</v>
      </c>
      <c r="I925" s="42">
        <v>6.56</v>
      </c>
    </row>
    <row r="926" spans="1:9" ht="18" customHeight="1">
      <c r="A926" s="41" t="str">
        <f t="shared" si="17"/>
        <v>888USD</v>
      </c>
      <c r="B926" s="42" t="s">
        <v>555</v>
      </c>
      <c r="C926" s="42">
        <v>888</v>
      </c>
      <c r="D926" s="42">
        <v>20020</v>
      </c>
      <c r="E926" s="42" t="s">
        <v>11</v>
      </c>
      <c r="F926" s="42" t="s">
        <v>28</v>
      </c>
      <c r="G926" s="42" t="s">
        <v>11</v>
      </c>
      <c r="H926" s="42">
        <v>-8.35192041</v>
      </c>
      <c r="I926" s="42">
        <v>-8.35</v>
      </c>
    </row>
    <row r="927" spans="1:9" ht="18" customHeight="1">
      <c r="A927" s="41" t="str">
        <f t="shared" si="17"/>
        <v>888MYR</v>
      </c>
      <c r="B927" s="42" t="s">
        <v>555</v>
      </c>
      <c r="C927" s="42">
        <v>888</v>
      </c>
      <c r="D927" s="42">
        <v>20020</v>
      </c>
      <c r="E927" s="42" t="s">
        <v>11</v>
      </c>
      <c r="F927" s="42" t="s">
        <v>28</v>
      </c>
      <c r="G927" s="42" t="s">
        <v>28</v>
      </c>
      <c r="H927" s="42">
        <v>36.231955147919997</v>
      </c>
      <c r="I927" s="42">
        <v>8.19</v>
      </c>
    </row>
    <row r="928" spans="1:9" ht="18" customHeight="1">
      <c r="A928" s="41" t="str">
        <f t="shared" si="17"/>
        <v>888USD</v>
      </c>
      <c r="B928" s="42" t="s">
        <v>556</v>
      </c>
      <c r="C928" s="42">
        <v>888</v>
      </c>
      <c r="D928" s="42">
        <v>20020</v>
      </c>
      <c r="E928" s="42" t="s">
        <v>11</v>
      </c>
      <c r="F928" s="42" t="s">
        <v>28</v>
      </c>
      <c r="G928" s="42" t="s">
        <v>11</v>
      </c>
      <c r="H928" s="42">
        <v>-0.88810674999999994</v>
      </c>
      <c r="I928" s="42">
        <v>-0.89</v>
      </c>
    </row>
    <row r="929" spans="1:9" ht="18" customHeight="1">
      <c r="A929" s="41" t="str">
        <f t="shared" si="17"/>
        <v>888MYR</v>
      </c>
      <c r="B929" s="42" t="s">
        <v>556</v>
      </c>
      <c r="C929" s="42">
        <v>888</v>
      </c>
      <c r="D929" s="42">
        <v>20020</v>
      </c>
      <c r="E929" s="42" t="s">
        <v>11</v>
      </c>
      <c r="F929" s="42" t="s">
        <v>28</v>
      </c>
      <c r="G929" s="42" t="s">
        <v>28</v>
      </c>
      <c r="H929" s="42">
        <v>3.8980324424749999</v>
      </c>
      <c r="I929" s="42">
        <v>0.88</v>
      </c>
    </row>
    <row r="930" spans="1:9" ht="18" customHeight="1">
      <c r="A930" s="41" t="str">
        <f t="shared" si="17"/>
        <v>888USD</v>
      </c>
      <c r="B930" s="42" t="s">
        <v>557</v>
      </c>
      <c r="C930" s="42">
        <v>888</v>
      </c>
      <c r="D930" s="42">
        <v>20020</v>
      </c>
      <c r="E930" s="42" t="s">
        <v>11</v>
      </c>
      <c r="F930" s="42" t="s">
        <v>28</v>
      </c>
      <c r="G930" s="42" t="s">
        <v>11</v>
      </c>
      <c r="H930" s="42">
        <v>-2.6045076599999999</v>
      </c>
      <c r="I930" s="42">
        <v>-2.6</v>
      </c>
    </row>
    <row r="931" spans="1:9" ht="18" customHeight="1">
      <c r="A931" s="41" t="str">
        <f t="shared" si="17"/>
        <v>888MYR</v>
      </c>
      <c r="B931" s="42" t="s">
        <v>557</v>
      </c>
      <c r="C931" s="42">
        <v>888</v>
      </c>
      <c r="D931" s="42">
        <v>20020</v>
      </c>
      <c r="E931" s="42" t="s">
        <v>11</v>
      </c>
      <c r="F931" s="42" t="s">
        <v>28</v>
      </c>
      <c r="G931" s="42" t="s">
        <v>28</v>
      </c>
      <c r="H931" s="42">
        <v>11.400380010275001</v>
      </c>
      <c r="I931" s="42">
        <v>2.58</v>
      </c>
    </row>
    <row r="932" spans="1:9" ht="18" customHeight="1">
      <c r="A932" s="41" t="str">
        <f t="shared" si="17"/>
        <v>888USD</v>
      </c>
      <c r="B932" s="42" t="s">
        <v>558</v>
      </c>
      <c r="C932" s="42">
        <v>888</v>
      </c>
      <c r="D932" s="42">
        <v>20020</v>
      </c>
      <c r="E932" s="42" t="s">
        <v>11</v>
      </c>
      <c r="F932" s="42" t="s">
        <v>28</v>
      </c>
      <c r="G932" s="42" t="s">
        <v>11</v>
      </c>
      <c r="H932" s="42">
        <v>-5.0282823700000003</v>
      </c>
      <c r="I932" s="42">
        <v>-5.03</v>
      </c>
    </row>
    <row r="933" spans="1:9" ht="18" customHeight="1">
      <c r="A933" s="41" t="str">
        <f t="shared" si="17"/>
        <v>888MYR</v>
      </c>
      <c r="B933" s="42" t="s">
        <v>558</v>
      </c>
      <c r="C933" s="42">
        <v>888</v>
      </c>
      <c r="D933" s="42">
        <v>20020</v>
      </c>
      <c r="E933" s="42" t="s">
        <v>11</v>
      </c>
      <c r="F933" s="42" t="s">
        <v>28</v>
      </c>
      <c r="G933" s="42" t="s">
        <v>28</v>
      </c>
      <c r="H933" s="42">
        <v>21.90575114816</v>
      </c>
      <c r="I933" s="42">
        <v>4.95</v>
      </c>
    </row>
    <row r="934" spans="1:9" ht="18" customHeight="1">
      <c r="A934" s="41" t="str">
        <f t="shared" si="17"/>
        <v>888USD</v>
      </c>
      <c r="B934" s="42" t="s">
        <v>559</v>
      </c>
      <c r="C934" s="42">
        <v>888</v>
      </c>
      <c r="D934" s="42">
        <v>20020</v>
      </c>
      <c r="E934" s="42" t="s">
        <v>11</v>
      </c>
      <c r="F934" s="42" t="s">
        <v>28</v>
      </c>
      <c r="G934" s="42" t="s">
        <v>11</v>
      </c>
      <c r="H934" s="42">
        <v>-6.6688724400000003</v>
      </c>
      <c r="I934" s="42">
        <v>-6.67</v>
      </c>
    </row>
    <row r="935" spans="1:9" ht="18" customHeight="1">
      <c r="A935" s="41" t="str">
        <f t="shared" si="17"/>
        <v>888MYR</v>
      </c>
      <c r="B935" s="42" t="s">
        <v>559</v>
      </c>
      <c r="C935" s="42">
        <v>888</v>
      </c>
      <c r="D935" s="42">
        <v>20020</v>
      </c>
      <c r="E935" s="42" t="s">
        <v>11</v>
      </c>
      <c r="F935" s="42" t="s">
        <v>28</v>
      </c>
      <c r="G935" s="42" t="s">
        <v>28</v>
      </c>
      <c r="H935" s="42">
        <v>28.989920405174999</v>
      </c>
      <c r="I935" s="42">
        <v>6.56</v>
      </c>
    </row>
    <row r="936" spans="1:9" ht="18" customHeight="1">
      <c r="A936" s="41" t="str">
        <f t="shared" si="17"/>
        <v>888USD</v>
      </c>
      <c r="B936" s="42" t="s">
        <v>560</v>
      </c>
      <c r="C936" s="42">
        <v>888</v>
      </c>
      <c r="D936" s="42">
        <v>20020</v>
      </c>
      <c r="E936" s="42" t="s">
        <v>11</v>
      </c>
      <c r="F936" s="42" t="s">
        <v>28</v>
      </c>
      <c r="G936" s="42" t="s">
        <v>11</v>
      </c>
      <c r="H936" s="42">
        <v>-8.35192041</v>
      </c>
      <c r="I936" s="42">
        <v>-8.35</v>
      </c>
    </row>
    <row r="937" spans="1:9" ht="18" customHeight="1">
      <c r="A937" s="41" t="str">
        <f t="shared" si="17"/>
        <v>888MYR</v>
      </c>
      <c r="B937" s="42" t="s">
        <v>560</v>
      </c>
      <c r="C937" s="42">
        <v>888</v>
      </c>
      <c r="D937" s="42">
        <v>20020</v>
      </c>
      <c r="E937" s="42" t="s">
        <v>11</v>
      </c>
      <c r="F937" s="42" t="s">
        <v>28</v>
      </c>
      <c r="G937" s="42" t="s">
        <v>28</v>
      </c>
      <c r="H937" s="42">
        <v>36.227908241279998</v>
      </c>
      <c r="I937" s="42">
        <v>8.19</v>
      </c>
    </row>
    <row r="938" spans="1:9" ht="18" customHeight="1">
      <c r="A938" s="41" t="str">
        <f t="shared" si="17"/>
        <v>888MYR</v>
      </c>
      <c r="B938" s="42" t="s">
        <v>561</v>
      </c>
      <c r="C938" s="42">
        <v>888</v>
      </c>
      <c r="D938" s="42">
        <v>20020</v>
      </c>
      <c r="E938" s="42" t="s">
        <v>28</v>
      </c>
      <c r="F938" s="42" t="s">
        <v>11</v>
      </c>
      <c r="G938" s="42" t="s">
        <v>28</v>
      </c>
      <c r="H938" s="42">
        <v>-67.451384059779002</v>
      </c>
      <c r="I938" s="42">
        <v>-15.25</v>
      </c>
    </row>
    <row r="939" spans="1:9" ht="18" customHeight="1">
      <c r="A939" s="41" t="str">
        <f t="shared" si="17"/>
        <v>888USD</v>
      </c>
      <c r="B939" s="42" t="s">
        <v>561</v>
      </c>
      <c r="C939" s="42">
        <v>888</v>
      </c>
      <c r="D939" s="42">
        <v>20020</v>
      </c>
      <c r="E939" s="42" t="s">
        <v>28</v>
      </c>
      <c r="F939" s="42" t="s">
        <v>11</v>
      </c>
      <c r="G939" s="42" t="s">
        <v>11</v>
      </c>
      <c r="H939" s="42">
        <v>15.35019727305</v>
      </c>
      <c r="I939" s="42">
        <v>15.35</v>
      </c>
    </row>
    <row r="940" spans="1:9" ht="18" customHeight="1">
      <c r="A940" s="41" t="str">
        <f t="shared" si="17"/>
        <v>USD</v>
      </c>
      <c r="B940" s="42" t="s">
        <v>562</v>
      </c>
      <c r="G940" s="42" t="s">
        <v>11</v>
      </c>
      <c r="H940" s="42">
        <v>-2762.4692448973801</v>
      </c>
      <c r="I940" s="42">
        <v>-2762.45</v>
      </c>
    </row>
    <row r="941" spans="1:9" ht="18" customHeight="1">
      <c r="A941" s="41" t="str">
        <f t="shared" si="17"/>
        <v>MYR</v>
      </c>
      <c r="G941" s="42" t="s">
        <v>28</v>
      </c>
      <c r="H941" s="42">
        <v>9225.6464925472392</v>
      </c>
      <c r="I941" s="42">
        <v>2086.15</v>
      </c>
    </row>
    <row r="942" spans="1:9" ht="18" customHeight="1">
      <c r="A942" s="41" t="str">
        <f t="shared" si="17"/>
        <v>THB</v>
      </c>
      <c r="G942" s="42" t="s">
        <v>30</v>
      </c>
      <c r="H942" s="42">
        <v>120.284746015236</v>
      </c>
      <c r="I942" s="42">
        <v>3.5</v>
      </c>
    </row>
    <row r="943" spans="1:9" ht="18" customHeight="1">
      <c r="A943" s="41" t="str">
        <f t="shared" si="17"/>
        <v>JPY</v>
      </c>
      <c r="G943" s="42" t="s">
        <v>10</v>
      </c>
      <c r="H943" s="42">
        <v>58589.471714017302</v>
      </c>
      <c r="I943" s="42">
        <v>527.37</v>
      </c>
    </row>
    <row r="944" spans="1:9" ht="18" customHeight="1">
      <c r="A944" s="41" t="str">
        <f t="shared" si="17"/>
        <v>SGD</v>
      </c>
      <c r="G944" s="42" t="s">
        <v>44</v>
      </c>
      <c r="H944" s="42">
        <v>-2.0051339436840001</v>
      </c>
      <c r="I944" s="42">
        <v>-1.45</v>
      </c>
    </row>
    <row r="945" spans="1:9" ht="18" customHeight="1">
      <c r="A945" s="41" t="str">
        <f t="shared" si="17"/>
        <v>EUR</v>
      </c>
      <c r="G945" s="42" t="s">
        <v>31</v>
      </c>
      <c r="H945" s="42">
        <v>-32.665223792500001</v>
      </c>
      <c r="I945" s="42">
        <v>-35.24</v>
      </c>
    </row>
    <row r="946" spans="1:9" ht="18" customHeight="1">
      <c r="A946" s="41" t="str">
        <f t="shared" si="17"/>
        <v/>
      </c>
      <c r="B946" s="42" t="s">
        <v>563</v>
      </c>
      <c r="I946" s="42">
        <v>-182.12</v>
      </c>
    </row>
    <row r="947" spans="1:9" ht="18" customHeight="1">
      <c r="A947" s="41" t="str">
        <f t="shared" si="17"/>
        <v/>
      </c>
    </row>
    <row r="948" spans="1:9" ht="18" customHeight="1">
      <c r="A948" s="41" t="str">
        <f t="shared" si="17"/>
        <v/>
      </c>
    </row>
    <row r="949" spans="1:9" ht="18" customHeight="1">
      <c r="A949" s="41" t="str">
        <f t="shared" si="17"/>
        <v/>
      </c>
    </row>
    <row r="950" spans="1:9" ht="18" customHeight="1">
      <c r="A950" s="41" t="str">
        <f t="shared" si="17"/>
        <v/>
      </c>
    </row>
    <row r="951" spans="1:9" ht="18" customHeight="1">
      <c r="A951" s="41" t="str">
        <f t="shared" si="17"/>
        <v/>
      </c>
    </row>
    <row r="952" spans="1:9" ht="18" customHeight="1">
      <c r="A952" s="41" t="str">
        <f t="shared" si="17"/>
        <v/>
      </c>
    </row>
    <row r="953" spans="1:9" ht="18" customHeight="1">
      <c r="A953" s="41" t="str">
        <f t="shared" si="17"/>
        <v/>
      </c>
    </row>
    <row r="954" spans="1:9" ht="18" customHeight="1">
      <c r="A954" s="41" t="str">
        <f t="shared" si="17"/>
        <v/>
      </c>
    </row>
    <row r="955" spans="1:9" ht="18" customHeight="1">
      <c r="A955" s="41" t="str">
        <f t="shared" si="17"/>
        <v/>
      </c>
    </row>
    <row r="956" spans="1:9" ht="18" customHeight="1">
      <c r="A956" s="41" t="str">
        <f t="shared" si="17"/>
        <v/>
      </c>
    </row>
    <row r="957" spans="1:9" ht="18" customHeight="1">
      <c r="A957" s="41" t="str">
        <f t="shared" si="17"/>
        <v/>
      </c>
    </row>
    <row r="958" spans="1:9" ht="18" customHeight="1">
      <c r="A958" s="41" t="str">
        <f t="shared" si="17"/>
        <v/>
      </c>
    </row>
    <row r="959" spans="1:9" ht="18" customHeight="1">
      <c r="A959" s="41" t="str">
        <f t="shared" si="17"/>
        <v/>
      </c>
    </row>
    <row r="960" spans="1:9" ht="18" customHeight="1">
      <c r="A960" s="41" t="str">
        <f t="shared" si="17"/>
        <v/>
      </c>
    </row>
    <row r="961" spans="1:1" ht="18" customHeight="1">
      <c r="A961" s="41" t="str">
        <f t="shared" si="17"/>
        <v/>
      </c>
    </row>
    <row r="962" spans="1:1" ht="18" customHeight="1">
      <c r="A962" s="41" t="str">
        <f t="shared" si="17"/>
        <v/>
      </c>
    </row>
    <row r="963" spans="1:1" ht="18" customHeight="1">
      <c r="A963" s="41" t="str">
        <f t="shared" ref="A963:A1026" si="18">CONCATENATE(C963,G963)</f>
        <v/>
      </c>
    </row>
    <row r="964" spans="1:1" ht="18" customHeight="1">
      <c r="A964" s="41" t="str">
        <f t="shared" si="18"/>
        <v/>
      </c>
    </row>
    <row r="965" spans="1:1" ht="18" customHeight="1">
      <c r="A965" s="41" t="str">
        <f t="shared" si="18"/>
        <v/>
      </c>
    </row>
    <row r="966" spans="1:1" ht="18" customHeight="1">
      <c r="A966" s="41" t="str">
        <f t="shared" si="18"/>
        <v/>
      </c>
    </row>
    <row r="967" spans="1:1" ht="18" customHeight="1">
      <c r="A967" s="41" t="str">
        <f t="shared" si="18"/>
        <v/>
      </c>
    </row>
    <row r="968" spans="1:1" ht="18" customHeight="1">
      <c r="A968" s="41" t="str">
        <f t="shared" si="18"/>
        <v/>
      </c>
    </row>
    <row r="969" spans="1:1" ht="18" customHeight="1">
      <c r="A969" s="41" t="str">
        <f t="shared" si="18"/>
        <v/>
      </c>
    </row>
    <row r="970" spans="1:1" ht="18" customHeight="1">
      <c r="A970" s="41" t="str">
        <f t="shared" si="18"/>
        <v/>
      </c>
    </row>
    <row r="971" spans="1:1" ht="18" customHeight="1">
      <c r="A971" s="41" t="str">
        <f t="shared" si="18"/>
        <v/>
      </c>
    </row>
    <row r="972" spans="1:1" ht="18" customHeight="1">
      <c r="A972" s="41" t="str">
        <f t="shared" si="18"/>
        <v/>
      </c>
    </row>
    <row r="973" spans="1:1" ht="18" customHeight="1">
      <c r="A973" s="41" t="str">
        <f t="shared" si="18"/>
        <v/>
      </c>
    </row>
    <row r="974" spans="1:1" ht="18" customHeight="1">
      <c r="A974" s="41" t="str">
        <f t="shared" si="18"/>
        <v/>
      </c>
    </row>
    <row r="975" spans="1:1" ht="18" customHeight="1">
      <c r="A975" s="41" t="str">
        <f t="shared" si="18"/>
        <v/>
      </c>
    </row>
    <row r="976" spans="1:1" ht="18" customHeight="1">
      <c r="A976" s="41" t="str">
        <f t="shared" si="18"/>
        <v/>
      </c>
    </row>
    <row r="977" spans="1:1" ht="18" customHeight="1">
      <c r="A977" s="41" t="str">
        <f t="shared" si="18"/>
        <v/>
      </c>
    </row>
    <row r="978" spans="1:1" ht="18" customHeight="1">
      <c r="A978" s="41" t="str">
        <f t="shared" si="18"/>
        <v/>
      </c>
    </row>
    <row r="979" spans="1:1" ht="18" customHeight="1">
      <c r="A979" s="41" t="str">
        <f t="shared" si="18"/>
        <v/>
      </c>
    </row>
    <row r="980" spans="1:1" ht="18" customHeight="1">
      <c r="A980" s="41" t="str">
        <f t="shared" si="18"/>
        <v/>
      </c>
    </row>
    <row r="981" spans="1:1" ht="18" customHeight="1">
      <c r="A981" s="41" t="str">
        <f t="shared" si="18"/>
        <v/>
      </c>
    </row>
    <row r="982" spans="1:1" ht="18" customHeight="1">
      <c r="A982" s="41" t="str">
        <f t="shared" si="18"/>
        <v/>
      </c>
    </row>
    <row r="983" spans="1:1" ht="18" customHeight="1">
      <c r="A983" s="41" t="str">
        <f t="shared" si="18"/>
        <v/>
      </c>
    </row>
    <row r="984" spans="1:1" ht="18" customHeight="1">
      <c r="A984" s="41" t="str">
        <f t="shared" si="18"/>
        <v/>
      </c>
    </row>
    <row r="985" spans="1:1" ht="18" customHeight="1">
      <c r="A985" s="41" t="str">
        <f t="shared" si="18"/>
        <v/>
      </c>
    </row>
    <row r="986" spans="1:1" ht="18" customHeight="1">
      <c r="A986" s="41" t="str">
        <f t="shared" si="18"/>
        <v/>
      </c>
    </row>
    <row r="987" spans="1:1" ht="18" customHeight="1">
      <c r="A987" s="41" t="str">
        <f t="shared" si="18"/>
        <v/>
      </c>
    </row>
    <row r="988" spans="1:1" ht="18" customHeight="1">
      <c r="A988" s="41" t="str">
        <f t="shared" si="18"/>
        <v/>
      </c>
    </row>
    <row r="989" spans="1:1" ht="18" customHeight="1">
      <c r="A989" s="41" t="str">
        <f t="shared" si="18"/>
        <v/>
      </c>
    </row>
    <row r="990" spans="1:1" ht="18" customHeight="1">
      <c r="A990" s="41" t="str">
        <f t="shared" si="18"/>
        <v/>
      </c>
    </row>
    <row r="991" spans="1:1" ht="18" customHeight="1">
      <c r="A991" s="41" t="str">
        <f t="shared" si="18"/>
        <v/>
      </c>
    </row>
    <row r="992" spans="1:1" ht="18" customHeight="1">
      <c r="A992" s="41" t="str">
        <f t="shared" si="18"/>
        <v/>
      </c>
    </row>
    <row r="993" spans="1:1" ht="18" customHeight="1">
      <c r="A993" s="41" t="str">
        <f t="shared" si="18"/>
        <v/>
      </c>
    </row>
    <row r="994" spans="1:1" ht="18" customHeight="1">
      <c r="A994" s="41" t="str">
        <f t="shared" si="18"/>
        <v/>
      </c>
    </row>
    <row r="995" spans="1:1" ht="18" customHeight="1">
      <c r="A995" s="41" t="str">
        <f t="shared" si="18"/>
        <v/>
      </c>
    </row>
    <row r="996" spans="1:1" ht="18" customHeight="1">
      <c r="A996" s="41" t="str">
        <f t="shared" si="18"/>
        <v/>
      </c>
    </row>
    <row r="997" spans="1:1" ht="18" customHeight="1">
      <c r="A997" s="41" t="str">
        <f t="shared" si="18"/>
        <v/>
      </c>
    </row>
    <row r="998" spans="1:1" ht="18" customHeight="1">
      <c r="A998" s="41" t="str">
        <f t="shared" si="18"/>
        <v/>
      </c>
    </row>
    <row r="999" spans="1:1" ht="18" customHeight="1">
      <c r="A999" s="41" t="str">
        <f t="shared" si="18"/>
        <v/>
      </c>
    </row>
    <row r="1000" spans="1:1" ht="18" customHeight="1">
      <c r="A1000" s="41" t="str">
        <f t="shared" si="18"/>
        <v/>
      </c>
    </row>
    <row r="1001" spans="1:1" ht="18" customHeight="1">
      <c r="A1001" s="41" t="str">
        <f t="shared" si="18"/>
        <v/>
      </c>
    </row>
    <row r="1002" spans="1:1" ht="18" customHeight="1">
      <c r="A1002" s="41" t="str">
        <f t="shared" si="18"/>
        <v/>
      </c>
    </row>
    <row r="1003" spans="1:1" ht="18" customHeight="1">
      <c r="A1003" s="41" t="str">
        <f t="shared" si="18"/>
        <v/>
      </c>
    </row>
    <row r="1004" spans="1:1" ht="18" customHeight="1">
      <c r="A1004" s="41" t="str">
        <f t="shared" si="18"/>
        <v/>
      </c>
    </row>
    <row r="1005" spans="1:1" ht="18" customHeight="1">
      <c r="A1005" s="41" t="str">
        <f t="shared" si="18"/>
        <v/>
      </c>
    </row>
    <row r="1006" spans="1:1" ht="18" customHeight="1">
      <c r="A1006" s="41" t="str">
        <f t="shared" si="18"/>
        <v/>
      </c>
    </row>
    <row r="1007" spans="1:1" ht="18" customHeight="1">
      <c r="A1007" s="41" t="str">
        <f t="shared" si="18"/>
        <v/>
      </c>
    </row>
    <row r="1008" spans="1:1" ht="18" customHeight="1">
      <c r="A1008" s="41" t="str">
        <f t="shared" si="18"/>
        <v/>
      </c>
    </row>
    <row r="1009" spans="1:1" ht="18" customHeight="1">
      <c r="A1009" s="41" t="str">
        <f t="shared" si="18"/>
        <v/>
      </c>
    </row>
    <row r="1010" spans="1:1" ht="18" customHeight="1">
      <c r="A1010" s="41" t="str">
        <f t="shared" si="18"/>
        <v/>
      </c>
    </row>
    <row r="1011" spans="1:1" ht="18" customHeight="1">
      <c r="A1011" s="41" t="str">
        <f t="shared" si="18"/>
        <v/>
      </c>
    </row>
    <row r="1012" spans="1:1" ht="18" customHeight="1">
      <c r="A1012" s="41" t="str">
        <f t="shared" si="18"/>
        <v/>
      </c>
    </row>
    <row r="1013" spans="1:1" ht="18" customHeight="1">
      <c r="A1013" s="41" t="str">
        <f t="shared" si="18"/>
        <v/>
      </c>
    </row>
    <row r="1014" spans="1:1" ht="18" customHeight="1">
      <c r="A1014" s="41" t="str">
        <f t="shared" si="18"/>
        <v/>
      </c>
    </row>
    <row r="1015" spans="1:1" ht="18" customHeight="1">
      <c r="A1015" s="41" t="str">
        <f t="shared" si="18"/>
        <v/>
      </c>
    </row>
    <row r="1016" spans="1:1" ht="18" customHeight="1">
      <c r="A1016" s="41" t="str">
        <f t="shared" si="18"/>
        <v/>
      </c>
    </row>
    <row r="1017" spans="1:1" ht="18" customHeight="1">
      <c r="A1017" s="41" t="str">
        <f t="shared" si="18"/>
        <v/>
      </c>
    </row>
    <row r="1018" spans="1:1" ht="18" customHeight="1">
      <c r="A1018" s="41" t="str">
        <f t="shared" si="18"/>
        <v/>
      </c>
    </row>
    <row r="1019" spans="1:1" ht="18" customHeight="1">
      <c r="A1019" s="41" t="str">
        <f t="shared" si="18"/>
        <v/>
      </c>
    </row>
    <row r="1020" spans="1:1" ht="18" customHeight="1">
      <c r="A1020" s="41" t="str">
        <f t="shared" si="18"/>
        <v/>
      </c>
    </row>
    <row r="1021" spans="1:1" ht="18" customHeight="1">
      <c r="A1021" s="41" t="str">
        <f t="shared" si="18"/>
        <v/>
      </c>
    </row>
    <row r="1022" spans="1:1" ht="18" customHeight="1">
      <c r="A1022" s="41" t="str">
        <f t="shared" si="18"/>
        <v/>
      </c>
    </row>
    <row r="1023" spans="1:1" ht="18" customHeight="1">
      <c r="A1023" s="41" t="str">
        <f t="shared" si="18"/>
        <v/>
      </c>
    </row>
    <row r="1024" spans="1:1" ht="18" customHeight="1">
      <c r="A1024" s="41" t="str">
        <f t="shared" si="18"/>
        <v/>
      </c>
    </row>
    <row r="1025" spans="1:1" ht="18" customHeight="1">
      <c r="A1025" s="41" t="str">
        <f t="shared" si="18"/>
        <v/>
      </c>
    </row>
    <row r="1026" spans="1:1" ht="18" customHeight="1">
      <c r="A1026" s="41" t="str">
        <f t="shared" si="18"/>
        <v/>
      </c>
    </row>
    <row r="1027" spans="1:1" ht="18" customHeight="1">
      <c r="A1027" s="41" t="str">
        <f t="shared" ref="A1027:A1090" si="19">CONCATENATE(C1027,G1027)</f>
        <v/>
      </c>
    </row>
    <row r="1028" spans="1:1" ht="18" customHeight="1">
      <c r="A1028" s="41" t="str">
        <f t="shared" si="19"/>
        <v/>
      </c>
    </row>
    <row r="1029" spans="1:1" ht="18" customHeight="1">
      <c r="A1029" s="41" t="str">
        <f t="shared" si="19"/>
        <v/>
      </c>
    </row>
    <row r="1030" spans="1:1" ht="18" customHeight="1">
      <c r="A1030" s="41" t="str">
        <f t="shared" si="19"/>
        <v/>
      </c>
    </row>
    <row r="1031" spans="1:1" ht="18" customHeight="1">
      <c r="A1031" s="41" t="str">
        <f t="shared" si="19"/>
        <v/>
      </c>
    </row>
    <row r="1032" spans="1:1" ht="18" customHeight="1">
      <c r="A1032" s="41" t="str">
        <f t="shared" si="19"/>
        <v/>
      </c>
    </row>
    <row r="1033" spans="1:1" ht="18" customHeight="1">
      <c r="A1033" s="41" t="str">
        <f t="shared" si="19"/>
        <v/>
      </c>
    </row>
    <row r="1034" spans="1:1" ht="18" customHeight="1">
      <c r="A1034" s="41" t="str">
        <f t="shared" si="19"/>
        <v/>
      </c>
    </row>
    <row r="1035" spans="1:1" ht="18" customHeight="1">
      <c r="A1035" s="41" t="str">
        <f t="shared" si="19"/>
        <v/>
      </c>
    </row>
    <row r="1036" spans="1:1" ht="18" customHeight="1">
      <c r="A1036" s="41" t="str">
        <f t="shared" si="19"/>
        <v/>
      </c>
    </row>
    <row r="1037" spans="1:1" ht="18" customHeight="1">
      <c r="A1037" s="41" t="str">
        <f t="shared" si="19"/>
        <v/>
      </c>
    </row>
    <row r="1038" spans="1:1" ht="18" customHeight="1">
      <c r="A1038" s="41" t="str">
        <f t="shared" si="19"/>
        <v/>
      </c>
    </row>
    <row r="1039" spans="1:1" ht="18" customHeight="1">
      <c r="A1039" s="41" t="str">
        <f t="shared" si="19"/>
        <v/>
      </c>
    </row>
    <row r="1040" spans="1:1" ht="18" customHeight="1">
      <c r="A1040" s="41" t="str">
        <f t="shared" si="19"/>
        <v/>
      </c>
    </row>
    <row r="1041" spans="1:1" ht="18" customHeight="1">
      <c r="A1041" s="41" t="str">
        <f t="shared" si="19"/>
        <v/>
      </c>
    </row>
    <row r="1042" spans="1:1" ht="18" customHeight="1">
      <c r="A1042" s="41" t="str">
        <f t="shared" si="19"/>
        <v/>
      </c>
    </row>
    <row r="1043" spans="1:1" ht="18" customHeight="1">
      <c r="A1043" s="41" t="str">
        <f t="shared" si="19"/>
        <v/>
      </c>
    </row>
    <row r="1044" spans="1:1" ht="18" customHeight="1">
      <c r="A1044" s="41" t="str">
        <f t="shared" si="19"/>
        <v/>
      </c>
    </row>
    <row r="1045" spans="1:1" ht="18" customHeight="1">
      <c r="A1045" s="41" t="str">
        <f t="shared" si="19"/>
        <v/>
      </c>
    </row>
    <row r="1046" spans="1:1" ht="18" customHeight="1">
      <c r="A1046" s="41" t="str">
        <f t="shared" si="19"/>
        <v/>
      </c>
    </row>
    <row r="1047" spans="1:1" ht="18" customHeight="1">
      <c r="A1047" s="41" t="str">
        <f t="shared" si="19"/>
        <v/>
      </c>
    </row>
    <row r="1048" spans="1:1" ht="18" customHeight="1">
      <c r="A1048" s="41" t="str">
        <f t="shared" si="19"/>
        <v/>
      </c>
    </row>
    <row r="1049" spans="1:1" ht="18" customHeight="1">
      <c r="A1049" s="41" t="str">
        <f t="shared" si="19"/>
        <v/>
      </c>
    </row>
    <row r="1050" spans="1:1" ht="18" customHeight="1">
      <c r="A1050" s="41" t="str">
        <f t="shared" si="19"/>
        <v/>
      </c>
    </row>
    <row r="1051" spans="1:1" ht="18" customHeight="1">
      <c r="A1051" s="41" t="str">
        <f t="shared" si="19"/>
        <v/>
      </c>
    </row>
    <row r="1052" spans="1:1" ht="18" customHeight="1">
      <c r="A1052" s="41" t="str">
        <f t="shared" si="19"/>
        <v/>
      </c>
    </row>
    <row r="1053" spans="1:1" ht="18" customHeight="1">
      <c r="A1053" s="41" t="str">
        <f t="shared" si="19"/>
        <v/>
      </c>
    </row>
    <row r="1054" spans="1:1" ht="18" customHeight="1">
      <c r="A1054" s="41" t="str">
        <f t="shared" si="19"/>
        <v/>
      </c>
    </row>
    <row r="1055" spans="1:1" ht="18" customHeight="1">
      <c r="A1055" s="41" t="str">
        <f t="shared" si="19"/>
        <v/>
      </c>
    </row>
    <row r="1056" spans="1:1" ht="18" customHeight="1">
      <c r="A1056" s="41" t="str">
        <f t="shared" si="19"/>
        <v/>
      </c>
    </row>
    <row r="1057" spans="1:1" ht="18" customHeight="1">
      <c r="A1057" s="41" t="str">
        <f t="shared" si="19"/>
        <v/>
      </c>
    </row>
    <row r="1058" spans="1:1" ht="18" customHeight="1">
      <c r="A1058" s="41" t="str">
        <f t="shared" si="19"/>
        <v/>
      </c>
    </row>
    <row r="1059" spans="1:1" ht="18" customHeight="1">
      <c r="A1059" s="41" t="str">
        <f t="shared" si="19"/>
        <v/>
      </c>
    </row>
    <row r="1060" spans="1:1" ht="18" customHeight="1">
      <c r="A1060" s="41" t="str">
        <f t="shared" si="19"/>
        <v/>
      </c>
    </row>
    <row r="1061" spans="1:1" ht="18" customHeight="1">
      <c r="A1061" s="41" t="str">
        <f t="shared" si="19"/>
        <v/>
      </c>
    </row>
    <row r="1062" spans="1:1" ht="18" customHeight="1">
      <c r="A1062" s="41" t="str">
        <f t="shared" si="19"/>
        <v/>
      </c>
    </row>
    <row r="1063" spans="1:1" ht="18" customHeight="1">
      <c r="A1063" s="41" t="str">
        <f t="shared" si="19"/>
        <v/>
      </c>
    </row>
    <row r="1064" spans="1:1" ht="18" customHeight="1">
      <c r="A1064" s="41" t="str">
        <f t="shared" si="19"/>
        <v/>
      </c>
    </row>
    <row r="1065" spans="1:1" ht="18" customHeight="1">
      <c r="A1065" s="41" t="str">
        <f t="shared" si="19"/>
        <v/>
      </c>
    </row>
    <row r="1066" spans="1:1" ht="18" customHeight="1">
      <c r="A1066" s="41" t="str">
        <f t="shared" si="19"/>
        <v/>
      </c>
    </row>
    <row r="1067" spans="1:1" ht="18" customHeight="1">
      <c r="A1067" s="41" t="str">
        <f t="shared" si="19"/>
        <v/>
      </c>
    </row>
    <row r="1068" spans="1:1" ht="18" customHeight="1">
      <c r="A1068" s="41" t="str">
        <f t="shared" si="19"/>
        <v/>
      </c>
    </row>
    <row r="1069" spans="1:1" ht="18" customHeight="1">
      <c r="A1069" s="41" t="str">
        <f t="shared" si="19"/>
        <v/>
      </c>
    </row>
    <row r="1070" spans="1:1" ht="18" customHeight="1">
      <c r="A1070" s="41" t="str">
        <f t="shared" si="19"/>
        <v/>
      </c>
    </row>
    <row r="1071" spans="1:1" ht="18" customHeight="1">
      <c r="A1071" s="41" t="str">
        <f t="shared" si="19"/>
        <v/>
      </c>
    </row>
    <row r="1072" spans="1:1" ht="18" customHeight="1">
      <c r="A1072" s="41" t="str">
        <f t="shared" si="19"/>
        <v/>
      </c>
    </row>
    <row r="1073" spans="1:1" ht="18" customHeight="1">
      <c r="A1073" s="41" t="str">
        <f t="shared" si="19"/>
        <v/>
      </c>
    </row>
    <row r="1074" spans="1:1" ht="18" customHeight="1">
      <c r="A1074" s="41" t="str">
        <f t="shared" si="19"/>
        <v/>
      </c>
    </row>
    <row r="1075" spans="1:1" ht="18" customHeight="1">
      <c r="A1075" s="41" t="str">
        <f t="shared" si="19"/>
        <v/>
      </c>
    </row>
    <row r="1076" spans="1:1" ht="18" customHeight="1">
      <c r="A1076" s="41" t="str">
        <f t="shared" si="19"/>
        <v/>
      </c>
    </row>
    <row r="1077" spans="1:1" ht="18" customHeight="1">
      <c r="A1077" s="41" t="str">
        <f t="shared" si="19"/>
        <v/>
      </c>
    </row>
    <row r="1078" spans="1:1" ht="18" customHeight="1">
      <c r="A1078" s="41" t="str">
        <f t="shared" si="19"/>
        <v/>
      </c>
    </row>
    <row r="1079" spans="1:1" ht="18" customHeight="1">
      <c r="A1079" s="41" t="str">
        <f t="shared" si="19"/>
        <v/>
      </c>
    </row>
    <row r="1080" spans="1:1" ht="18" customHeight="1">
      <c r="A1080" s="41" t="str">
        <f t="shared" si="19"/>
        <v/>
      </c>
    </row>
    <row r="1081" spans="1:1" ht="18" customHeight="1">
      <c r="A1081" s="41" t="str">
        <f t="shared" si="19"/>
        <v/>
      </c>
    </row>
    <row r="1082" spans="1:1" ht="18" customHeight="1">
      <c r="A1082" s="41" t="str">
        <f t="shared" si="19"/>
        <v/>
      </c>
    </row>
    <row r="1083" spans="1:1" ht="18" customHeight="1">
      <c r="A1083" s="41" t="str">
        <f t="shared" si="19"/>
        <v/>
      </c>
    </row>
    <row r="1084" spans="1:1" ht="18" customHeight="1">
      <c r="A1084" s="41" t="str">
        <f t="shared" si="19"/>
        <v/>
      </c>
    </row>
    <row r="1085" spans="1:1" ht="18" customHeight="1">
      <c r="A1085" s="41" t="str">
        <f t="shared" si="19"/>
        <v/>
      </c>
    </row>
    <row r="1086" spans="1:1" ht="18" customHeight="1">
      <c r="A1086" s="41" t="str">
        <f t="shared" si="19"/>
        <v/>
      </c>
    </row>
    <row r="1087" spans="1:1" ht="18" customHeight="1">
      <c r="A1087" s="41" t="str">
        <f t="shared" si="19"/>
        <v/>
      </c>
    </row>
    <row r="1088" spans="1:1" ht="18" customHeight="1">
      <c r="A1088" s="41" t="str">
        <f t="shared" si="19"/>
        <v/>
      </c>
    </row>
    <row r="1089" spans="1:1" ht="18" customHeight="1">
      <c r="A1089" s="41" t="str">
        <f t="shared" si="19"/>
        <v/>
      </c>
    </row>
    <row r="1090" spans="1:1" ht="18" customHeight="1">
      <c r="A1090" s="41" t="str">
        <f t="shared" si="19"/>
        <v/>
      </c>
    </row>
    <row r="1091" spans="1:1" ht="18" customHeight="1">
      <c r="A1091" s="41" t="str">
        <f t="shared" ref="A1091:A1154" si="20">CONCATENATE(C1091,G1091)</f>
        <v/>
      </c>
    </row>
    <row r="1092" spans="1:1" ht="18" customHeight="1">
      <c r="A1092" s="41" t="str">
        <f t="shared" si="20"/>
        <v/>
      </c>
    </row>
    <row r="1093" spans="1:1" ht="18" customHeight="1">
      <c r="A1093" s="41" t="str">
        <f t="shared" si="20"/>
        <v/>
      </c>
    </row>
    <row r="1094" spans="1:1" ht="18" customHeight="1">
      <c r="A1094" s="41" t="str">
        <f t="shared" si="20"/>
        <v/>
      </c>
    </row>
    <row r="1095" spans="1:1" ht="18" customHeight="1">
      <c r="A1095" s="41" t="str">
        <f t="shared" si="20"/>
        <v/>
      </c>
    </row>
    <row r="1096" spans="1:1" ht="18" customHeight="1">
      <c r="A1096" s="41" t="str">
        <f t="shared" si="20"/>
        <v/>
      </c>
    </row>
    <row r="1097" spans="1:1" ht="18" customHeight="1">
      <c r="A1097" s="41" t="str">
        <f t="shared" si="20"/>
        <v/>
      </c>
    </row>
    <row r="1098" spans="1:1" ht="18" customHeight="1">
      <c r="A1098" s="41" t="str">
        <f t="shared" si="20"/>
        <v/>
      </c>
    </row>
    <row r="1099" spans="1:1" ht="18" customHeight="1">
      <c r="A1099" s="41" t="str">
        <f t="shared" si="20"/>
        <v/>
      </c>
    </row>
    <row r="1100" spans="1:1" ht="18" customHeight="1">
      <c r="A1100" s="41" t="str">
        <f t="shared" si="20"/>
        <v/>
      </c>
    </row>
    <row r="1101" spans="1:1" ht="18" customHeight="1">
      <c r="A1101" s="41" t="str">
        <f t="shared" si="20"/>
        <v/>
      </c>
    </row>
    <row r="1102" spans="1:1" ht="18" customHeight="1">
      <c r="A1102" s="41" t="str">
        <f t="shared" si="20"/>
        <v/>
      </c>
    </row>
    <row r="1103" spans="1:1" ht="18" customHeight="1">
      <c r="A1103" s="41" t="str">
        <f t="shared" si="20"/>
        <v/>
      </c>
    </row>
    <row r="1104" spans="1:1" ht="18" customHeight="1">
      <c r="A1104" s="41" t="str">
        <f t="shared" si="20"/>
        <v/>
      </c>
    </row>
    <row r="1105" spans="1:1" ht="18" customHeight="1">
      <c r="A1105" s="41" t="str">
        <f t="shared" si="20"/>
        <v/>
      </c>
    </row>
    <row r="1106" spans="1:1" ht="18" customHeight="1">
      <c r="A1106" s="41" t="str">
        <f t="shared" si="20"/>
        <v/>
      </c>
    </row>
    <row r="1107" spans="1:1" ht="18" customHeight="1">
      <c r="A1107" s="41" t="str">
        <f t="shared" si="20"/>
        <v/>
      </c>
    </row>
    <row r="1108" spans="1:1" ht="18" customHeight="1">
      <c r="A1108" s="41" t="str">
        <f t="shared" si="20"/>
        <v/>
      </c>
    </row>
    <row r="1109" spans="1:1" ht="18" customHeight="1">
      <c r="A1109" s="41" t="str">
        <f t="shared" si="20"/>
        <v/>
      </c>
    </row>
    <row r="1110" spans="1:1" ht="18" customHeight="1">
      <c r="A1110" s="41" t="str">
        <f t="shared" si="20"/>
        <v/>
      </c>
    </row>
    <row r="1111" spans="1:1" ht="18" customHeight="1">
      <c r="A1111" s="41" t="str">
        <f t="shared" si="20"/>
        <v/>
      </c>
    </row>
    <row r="1112" spans="1:1" ht="18" customHeight="1">
      <c r="A1112" s="41" t="str">
        <f t="shared" si="20"/>
        <v/>
      </c>
    </row>
    <row r="1113" spans="1:1" ht="18" customHeight="1">
      <c r="A1113" s="41" t="str">
        <f t="shared" si="20"/>
        <v/>
      </c>
    </row>
    <row r="1114" spans="1:1" ht="18" customHeight="1">
      <c r="A1114" s="41" t="str">
        <f t="shared" si="20"/>
        <v/>
      </c>
    </row>
    <row r="1115" spans="1:1" ht="18" customHeight="1">
      <c r="A1115" s="41" t="str">
        <f t="shared" si="20"/>
        <v/>
      </c>
    </row>
    <row r="1116" spans="1:1" ht="18" customHeight="1">
      <c r="A1116" s="41" t="str">
        <f t="shared" si="20"/>
        <v/>
      </c>
    </row>
    <row r="1117" spans="1:1" ht="18" customHeight="1">
      <c r="A1117" s="41" t="str">
        <f t="shared" si="20"/>
        <v/>
      </c>
    </row>
    <row r="1118" spans="1:1" ht="18" customHeight="1">
      <c r="A1118" s="41" t="str">
        <f t="shared" si="20"/>
        <v/>
      </c>
    </row>
    <row r="1119" spans="1:1" ht="18" customHeight="1">
      <c r="A1119" s="41" t="str">
        <f t="shared" si="20"/>
        <v/>
      </c>
    </row>
    <row r="1120" spans="1:1" ht="18" customHeight="1">
      <c r="A1120" s="41" t="str">
        <f t="shared" si="20"/>
        <v/>
      </c>
    </row>
    <row r="1121" spans="1:1" ht="18" customHeight="1">
      <c r="A1121" s="41" t="str">
        <f t="shared" si="20"/>
        <v/>
      </c>
    </row>
    <row r="1122" spans="1:1" ht="18" customHeight="1">
      <c r="A1122" s="41" t="str">
        <f t="shared" si="20"/>
        <v/>
      </c>
    </row>
    <row r="1123" spans="1:1" ht="18" customHeight="1">
      <c r="A1123" s="41" t="str">
        <f t="shared" si="20"/>
        <v/>
      </c>
    </row>
    <row r="1124" spans="1:1" ht="18" customHeight="1">
      <c r="A1124" s="41" t="str">
        <f t="shared" si="20"/>
        <v/>
      </c>
    </row>
    <row r="1125" spans="1:1" ht="18" customHeight="1">
      <c r="A1125" s="41" t="str">
        <f t="shared" si="20"/>
        <v/>
      </c>
    </row>
    <row r="1126" spans="1:1" ht="18" customHeight="1">
      <c r="A1126" s="41" t="str">
        <f t="shared" si="20"/>
        <v/>
      </c>
    </row>
    <row r="1127" spans="1:1" ht="18" customHeight="1">
      <c r="A1127" s="41" t="str">
        <f t="shared" si="20"/>
        <v/>
      </c>
    </row>
    <row r="1128" spans="1:1" ht="18" customHeight="1">
      <c r="A1128" s="41" t="str">
        <f t="shared" si="20"/>
        <v/>
      </c>
    </row>
    <row r="1129" spans="1:1" ht="18" customHeight="1">
      <c r="A1129" s="41" t="str">
        <f t="shared" si="20"/>
        <v/>
      </c>
    </row>
    <row r="1130" spans="1:1" ht="18" customHeight="1">
      <c r="A1130" s="41" t="str">
        <f t="shared" si="20"/>
        <v/>
      </c>
    </row>
    <row r="1131" spans="1:1" ht="18" customHeight="1">
      <c r="A1131" s="41" t="str">
        <f t="shared" si="20"/>
        <v/>
      </c>
    </row>
    <row r="1132" spans="1:1" ht="18" customHeight="1">
      <c r="A1132" s="41" t="str">
        <f t="shared" si="20"/>
        <v/>
      </c>
    </row>
    <row r="1133" spans="1:1" ht="18" customHeight="1">
      <c r="A1133" s="41" t="str">
        <f t="shared" si="20"/>
        <v/>
      </c>
    </row>
    <row r="1134" spans="1:1" ht="18" customHeight="1">
      <c r="A1134" s="41" t="str">
        <f t="shared" si="20"/>
        <v/>
      </c>
    </row>
    <row r="1135" spans="1:1" ht="18" customHeight="1">
      <c r="A1135" s="41" t="str">
        <f t="shared" si="20"/>
        <v/>
      </c>
    </row>
    <row r="1136" spans="1:1" ht="18" customHeight="1">
      <c r="A1136" s="41" t="str">
        <f t="shared" si="20"/>
        <v/>
      </c>
    </row>
    <row r="1137" spans="1:1" ht="18" customHeight="1">
      <c r="A1137" s="41" t="str">
        <f t="shared" si="20"/>
        <v/>
      </c>
    </row>
    <row r="1138" spans="1:1" ht="18" customHeight="1">
      <c r="A1138" s="41" t="str">
        <f t="shared" si="20"/>
        <v/>
      </c>
    </row>
    <row r="1139" spans="1:1" ht="18" customHeight="1">
      <c r="A1139" s="41" t="str">
        <f t="shared" si="20"/>
        <v/>
      </c>
    </row>
    <row r="1140" spans="1:1" ht="18" customHeight="1">
      <c r="A1140" s="41" t="str">
        <f t="shared" si="20"/>
        <v/>
      </c>
    </row>
    <row r="1141" spans="1:1" ht="18" customHeight="1">
      <c r="A1141" s="41" t="str">
        <f t="shared" si="20"/>
        <v/>
      </c>
    </row>
    <row r="1142" spans="1:1" ht="18" customHeight="1">
      <c r="A1142" s="41" t="str">
        <f t="shared" si="20"/>
        <v/>
      </c>
    </row>
    <row r="1143" spans="1:1" ht="18" customHeight="1">
      <c r="A1143" s="41" t="str">
        <f t="shared" si="20"/>
        <v/>
      </c>
    </row>
    <row r="1144" spans="1:1" ht="18" customHeight="1">
      <c r="A1144" s="41" t="str">
        <f t="shared" si="20"/>
        <v/>
      </c>
    </row>
    <row r="1145" spans="1:1" ht="18" customHeight="1">
      <c r="A1145" s="41" t="str">
        <f t="shared" si="20"/>
        <v/>
      </c>
    </row>
    <row r="1146" spans="1:1" ht="18" customHeight="1">
      <c r="A1146" s="41" t="str">
        <f t="shared" si="20"/>
        <v/>
      </c>
    </row>
    <row r="1147" spans="1:1" ht="18" customHeight="1">
      <c r="A1147" s="41" t="str">
        <f t="shared" si="20"/>
        <v/>
      </c>
    </row>
    <row r="1148" spans="1:1" ht="18" customHeight="1">
      <c r="A1148" s="41" t="str">
        <f t="shared" si="20"/>
        <v/>
      </c>
    </row>
    <row r="1149" spans="1:1" ht="18" customHeight="1">
      <c r="A1149" s="41" t="str">
        <f t="shared" si="20"/>
        <v/>
      </c>
    </row>
    <row r="1150" spans="1:1" ht="18" customHeight="1">
      <c r="A1150" s="41" t="str">
        <f t="shared" si="20"/>
        <v/>
      </c>
    </row>
    <row r="1151" spans="1:1" ht="18" customHeight="1">
      <c r="A1151" s="41" t="str">
        <f t="shared" si="20"/>
        <v/>
      </c>
    </row>
    <row r="1152" spans="1:1" ht="18" customHeight="1">
      <c r="A1152" s="41" t="str">
        <f t="shared" si="20"/>
        <v/>
      </c>
    </row>
    <row r="1153" spans="1:1" ht="18" customHeight="1">
      <c r="A1153" s="41" t="str">
        <f t="shared" si="20"/>
        <v/>
      </c>
    </row>
    <row r="1154" spans="1:1" ht="18" customHeight="1">
      <c r="A1154" s="41" t="str">
        <f t="shared" si="20"/>
        <v/>
      </c>
    </row>
    <row r="1155" spans="1:1" ht="18" customHeight="1">
      <c r="A1155" s="41" t="str">
        <f t="shared" ref="A1155:A1218" si="21">CONCATENATE(C1155,G1155)</f>
        <v/>
      </c>
    </row>
    <row r="1156" spans="1:1" ht="18" customHeight="1">
      <c r="A1156" s="41" t="str">
        <f t="shared" si="21"/>
        <v/>
      </c>
    </row>
    <row r="1157" spans="1:1" ht="18" customHeight="1">
      <c r="A1157" s="41" t="str">
        <f t="shared" si="21"/>
        <v/>
      </c>
    </row>
    <row r="1158" spans="1:1" ht="18" customHeight="1">
      <c r="A1158" s="41" t="str">
        <f t="shared" si="21"/>
        <v/>
      </c>
    </row>
    <row r="1159" spans="1:1" ht="18" customHeight="1">
      <c r="A1159" s="41" t="str">
        <f t="shared" si="21"/>
        <v/>
      </c>
    </row>
    <row r="1160" spans="1:1" ht="18" customHeight="1">
      <c r="A1160" s="41" t="str">
        <f t="shared" si="21"/>
        <v/>
      </c>
    </row>
    <row r="1161" spans="1:1" ht="18" customHeight="1">
      <c r="A1161" s="41" t="str">
        <f t="shared" si="21"/>
        <v/>
      </c>
    </row>
    <row r="1162" spans="1:1" ht="18" customHeight="1">
      <c r="A1162" s="41" t="str">
        <f t="shared" si="21"/>
        <v/>
      </c>
    </row>
    <row r="1163" spans="1:1" ht="18" customHeight="1">
      <c r="A1163" s="41" t="str">
        <f t="shared" si="21"/>
        <v/>
      </c>
    </row>
    <row r="1164" spans="1:1" ht="18" customHeight="1">
      <c r="A1164" s="41" t="str">
        <f t="shared" si="21"/>
        <v/>
      </c>
    </row>
    <row r="1165" spans="1:1" ht="18" customHeight="1">
      <c r="A1165" s="41" t="str">
        <f t="shared" si="21"/>
        <v/>
      </c>
    </row>
    <row r="1166" spans="1:1" ht="18" customHeight="1">
      <c r="A1166" s="41" t="str">
        <f t="shared" si="21"/>
        <v/>
      </c>
    </row>
    <row r="1167" spans="1:1" ht="18" customHeight="1">
      <c r="A1167" s="41" t="str">
        <f t="shared" si="21"/>
        <v/>
      </c>
    </row>
    <row r="1168" spans="1:1" ht="18" customHeight="1">
      <c r="A1168" s="41" t="str">
        <f t="shared" si="21"/>
        <v/>
      </c>
    </row>
    <row r="1169" spans="1:1" ht="18" customHeight="1">
      <c r="A1169" s="41" t="str">
        <f t="shared" si="21"/>
        <v/>
      </c>
    </row>
    <row r="1170" spans="1:1" ht="18" customHeight="1">
      <c r="A1170" s="41" t="str">
        <f t="shared" si="21"/>
        <v/>
      </c>
    </row>
    <row r="1171" spans="1:1" ht="18" customHeight="1">
      <c r="A1171" s="41" t="str">
        <f t="shared" si="21"/>
        <v/>
      </c>
    </row>
    <row r="1172" spans="1:1" ht="18" customHeight="1">
      <c r="A1172" s="41" t="str">
        <f t="shared" si="21"/>
        <v/>
      </c>
    </row>
    <row r="1173" spans="1:1" ht="18" customHeight="1">
      <c r="A1173" s="41" t="str">
        <f t="shared" si="21"/>
        <v/>
      </c>
    </row>
    <row r="1174" spans="1:1" ht="18" customHeight="1">
      <c r="A1174" s="41" t="str">
        <f t="shared" si="21"/>
        <v/>
      </c>
    </row>
    <row r="1175" spans="1:1" ht="18" customHeight="1">
      <c r="A1175" s="41" t="str">
        <f t="shared" si="21"/>
        <v/>
      </c>
    </row>
    <row r="1176" spans="1:1" ht="18" customHeight="1">
      <c r="A1176" s="41" t="str">
        <f t="shared" si="21"/>
        <v/>
      </c>
    </row>
    <row r="1177" spans="1:1" ht="18" customHeight="1">
      <c r="A1177" s="41" t="str">
        <f t="shared" si="21"/>
        <v/>
      </c>
    </row>
    <row r="1178" spans="1:1" ht="18" customHeight="1">
      <c r="A1178" s="41" t="str">
        <f t="shared" si="21"/>
        <v/>
      </c>
    </row>
    <row r="1179" spans="1:1" ht="18" customHeight="1">
      <c r="A1179" s="41" t="str">
        <f t="shared" si="21"/>
        <v/>
      </c>
    </row>
    <row r="1180" spans="1:1" ht="18" customHeight="1">
      <c r="A1180" s="41" t="str">
        <f t="shared" si="21"/>
        <v/>
      </c>
    </row>
    <row r="1181" spans="1:1" ht="18" customHeight="1">
      <c r="A1181" s="41" t="str">
        <f t="shared" si="21"/>
        <v/>
      </c>
    </row>
    <row r="1182" spans="1:1" ht="18" customHeight="1">
      <c r="A1182" s="41" t="str">
        <f t="shared" si="21"/>
        <v/>
      </c>
    </row>
    <row r="1183" spans="1:1" ht="18" customHeight="1">
      <c r="A1183" s="41" t="str">
        <f t="shared" si="21"/>
        <v/>
      </c>
    </row>
    <row r="1184" spans="1:1" ht="18" customHeight="1">
      <c r="A1184" s="41" t="str">
        <f t="shared" si="21"/>
        <v/>
      </c>
    </row>
    <row r="1185" spans="1:1" ht="18" customHeight="1">
      <c r="A1185" s="41" t="str">
        <f t="shared" si="21"/>
        <v/>
      </c>
    </row>
    <row r="1186" spans="1:1" ht="18" customHeight="1">
      <c r="A1186" s="41" t="str">
        <f t="shared" si="21"/>
        <v/>
      </c>
    </row>
    <row r="1187" spans="1:1" ht="18" customHeight="1">
      <c r="A1187" s="41" t="str">
        <f t="shared" si="21"/>
        <v/>
      </c>
    </row>
    <row r="1188" spans="1:1" ht="18" customHeight="1">
      <c r="A1188" s="41" t="str">
        <f t="shared" si="21"/>
        <v/>
      </c>
    </row>
    <row r="1189" spans="1:1" ht="18" customHeight="1">
      <c r="A1189" s="41" t="str">
        <f t="shared" si="21"/>
        <v/>
      </c>
    </row>
    <row r="1190" spans="1:1" ht="18" customHeight="1">
      <c r="A1190" s="41" t="str">
        <f t="shared" si="21"/>
        <v/>
      </c>
    </row>
    <row r="1191" spans="1:1" ht="18" customHeight="1">
      <c r="A1191" s="41" t="str">
        <f t="shared" si="21"/>
        <v/>
      </c>
    </row>
    <row r="1192" spans="1:1" ht="18" customHeight="1">
      <c r="A1192" s="41" t="str">
        <f t="shared" si="21"/>
        <v/>
      </c>
    </row>
    <row r="1193" spans="1:1" ht="18" customHeight="1">
      <c r="A1193" s="41" t="str">
        <f t="shared" si="21"/>
        <v/>
      </c>
    </row>
    <row r="1194" spans="1:1" ht="18" customHeight="1">
      <c r="A1194" s="41" t="str">
        <f t="shared" si="21"/>
        <v/>
      </c>
    </row>
    <row r="1195" spans="1:1" ht="18" customHeight="1">
      <c r="A1195" s="41" t="str">
        <f t="shared" si="21"/>
        <v/>
      </c>
    </row>
    <row r="1196" spans="1:1" ht="18" customHeight="1">
      <c r="A1196" s="41" t="str">
        <f t="shared" si="21"/>
        <v/>
      </c>
    </row>
    <row r="1197" spans="1:1" ht="18" customHeight="1">
      <c r="A1197" s="41" t="str">
        <f t="shared" si="21"/>
        <v/>
      </c>
    </row>
    <row r="1198" spans="1:1" ht="18" customHeight="1">
      <c r="A1198" s="41" t="str">
        <f t="shared" si="21"/>
        <v/>
      </c>
    </row>
    <row r="1199" spans="1:1" ht="18" customHeight="1">
      <c r="A1199" s="41" t="str">
        <f t="shared" si="21"/>
        <v/>
      </c>
    </row>
    <row r="1200" spans="1:1" ht="18" customHeight="1">
      <c r="A1200" s="41" t="str">
        <f t="shared" si="21"/>
        <v/>
      </c>
    </row>
    <row r="1201" spans="1:1" ht="18" customHeight="1">
      <c r="A1201" s="41" t="str">
        <f t="shared" si="21"/>
        <v/>
      </c>
    </row>
    <row r="1202" spans="1:1" ht="18" customHeight="1">
      <c r="A1202" s="41" t="str">
        <f t="shared" si="21"/>
        <v/>
      </c>
    </row>
    <row r="1203" spans="1:1" ht="18" customHeight="1">
      <c r="A1203" s="41" t="str">
        <f t="shared" si="21"/>
        <v/>
      </c>
    </row>
    <row r="1204" spans="1:1" ht="18" customHeight="1">
      <c r="A1204" s="41" t="str">
        <f t="shared" si="21"/>
        <v/>
      </c>
    </row>
    <row r="1205" spans="1:1" ht="18" customHeight="1">
      <c r="A1205" s="41" t="str">
        <f t="shared" si="21"/>
        <v/>
      </c>
    </row>
    <row r="1206" spans="1:1" ht="18" customHeight="1">
      <c r="A1206" s="41" t="str">
        <f t="shared" si="21"/>
        <v/>
      </c>
    </row>
    <row r="1207" spans="1:1" ht="18" customHeight="1">
      <c r="A1207" s="41" t="str">
        <f t="shared" si="21"/>
        <v/>
      </c>
    </row>
    <row r="1208" spans="1:1" ht="18" customHeight="1">
      <c r="A1208" s="41" t="str">
        <f t="shared" si="21"/>
        <v/>
      </c>
    </row>
    <row r="1209" spans="1:1" ht="18" customHeight="1">
      <c r="A1209" s="41" t="str">
        <f t="shared" si="21"/>
        <v/>
      </c>
    </row>
    <row r="1210" spans="1:1" ht="18" customHeight="1">
      <c r="A1210" s="41" t="str">
        <f t="shared" si="21"/>
        <v/>
      </c>
    </row>
    <row r="1211" spans="1:1" ht="18" customHeight="1">
      <c r="A1211" s="41" t="str">
        <f t="shared" si="21"/>
        <v/>
      </c>
    </row>
    <row r="1212" spans="1:1" ht="18" customHeight="1">
      <c r="A1212" s="41" t="str">
        <f t="shared" si="21"/>
        <v/>
      </c>
    </row>
    <row r="1213" spans="1:1" ht="18" customHeight="1">
      <c r="A1213" s="41" t="str">
        <f t="shared" si="21"/>
        <v/>
      </c>
    </row>
    <row r="1214" spans="1:1" ht="18" customHeight="1">
      <c r="A1214" s="41" t="str">
        <f t="shared" si="21"/>
        <v/>
      </c>
    </row>
    <row r="1215" spans="1:1" ht="18" customHeight="1">
      <c r="A1215" s="41" t="str">
        <f t="shared" si="21"/>
        <v/>
      </c>
    </row>
    <row r="1216" spans="1:1" ht="18" customHeight="1">
      <c r="A1216" s="41" t="str">
        <f t="shared" si="21"/>
        <v/>
      </c>
    </row>
    <row r="1217" spans="1:1" ht="18" customHeight="1">
      <c r="A1217" s="41" t="str">
        <f t="shared" si="21"/>
        <v/>
      </c>
    </row>
    <row r="1218" spans="1:1" ht="18" customHeight="1">
      <c r="A1218" s="41" t="str">
        <f t="shared" si="21"/>
        <v/>
      </c>
    </row>
    <row r="1219" spans="1:1" ht="18" customHeight="1">
      <c r="A1219" s="41" t="str">
        <f t="shared" ref="A1219:A1282" si="22">CONCATENATE(C1219,G1219)</f>
        <v/>
      </c>
    </row>
    <row r="1220" spans="1:1" ht="18" customHeight="1">
      <c r="A1220" s="41" t="str">
        <f t="shared" si="22"/>
        <v/>
      </c>
    </row>
    <row r="1221" spans="1:1" ht="18" customHeight="1">
      <c r="A1221" s="41" t="str">
        <f t="shared" si="22"/>
        <v/>
      </c>
    </row>
    <row r="1222" spans="1:1" ht="18" customHeight="1">
      <c r="A1222" s="41" t="str">
        <f t="shared" si="22"/>
        <v/>
      </c>
    </row>
    <row r="1223" spans="1:1" ht="18" customHeight="1">
      <c r="A1223" s="41" t="str">
        <f t="shared" si="22"/>
        <v/>
      </c>
    </row>
    <row r="1224" spans="1:1" ht="18" customHeight="1">
      <c r="A1224" s="41" t="str">
        <f t="shared" si="22"/>
        <v/>
      </c>
    </row>
    <row r="1225" spans="1:1" ht="18" customHeight="1">
      <c r="A1225" s="41" t="str">
        <f t="shared" si="22"/>
        <v/>
      </c>
    </row>
    <row r="1226" spans="1:1" ht="18" customHeight="1">
      <c r="A1226" s="41" t="str">
        <f t="shared" si="22"/>
        <v/>
      </c>
    </row>
    <row r="1227" spans="1:1" ht="18" customHeight="1">
      <c r="A1227" s="41" t="str">
        <f t="shared" si="22"/>
        <v/>
      </c>
    </row>
    <row r="1228" spans="1:1" ht="18" customHeight="1">
      <c r="A1228" s="41" t="str">
        <f t="shared" si="22"/>
        <v/>
      </c>
    </row>
    <row r="1229" spans="1:1" ht="18" customHeight="1">
      <c r="A1229" s="41" t="str">
        <f t="shared" si="22"/>
        <v/>
      </c>
    </row>
    <row r="1230" spans="1:1" ht="18" customHeight="1">
      <c r="A1230" s="41" t="str">
        <f t="shared" si="22"/>
        <v/>
      </c>
    </row>
    <row r="1231" spans="1:1" ht="18" customHeight="1">
      <c r="A1231" s="41" t="str">
        <f t="shared" si="22"/>
        <v/>
      </c>
    </row>
    <row r="1232" spans="1:1" ht="18" customHeight="1">
      <c r="A1232" s="41" t="str">
        <f t="shared" si="22"/>
        <v/>
      </c>
    </row>
    <row r="1233" spans="1:1" ht="18" customHeight="1">
      <c r="A1233" s="41" t="str">
        <f t="shared" si="22"/>
        <v/>
      </c>
    </row>
    <row r="1234" spans="1:1" ht="18" customHeight="1">
      <c r="A1234" s="41" t="str">
        <f t="shared" si="22"/>
        <v/>
      </c>
    </row>
    <row r="1235" spans="1:1" ht="18" customHeight="1">
      <c r="A1235" s="41" t="str">
        <f t="shared" si="22"/>
        <v/>
      </c>
    </row>
    <row r="1236" spans="1:1" ht="18" customHeight="1">
      <c r="A1236" s="41" t="str">
        <f t="shared" si="22"/>
        <v/>
      </c>
    </row>
    <row r="1237" spans="1:1" ht="18" customHeight="1">
      <c r="A1237" s="41" t="str">
        <f t="shared" si="22"/>
        <v/>
      </c>
    </row>
    <row r="1238" spans="1:1" ht="18" customHeight="1">
      <c r="A1238" s="41" t="str">
        <f t="shared" si="22"/>
        <v/>
      </c>
    </row>
    <row r="1239" spans="1:1" ht="18" customHeight="1">
      <c r="A1239" s="41" t="str">
        <f t="shared" si="22"/>
        <v/>
      </c>
    </row>
    <row r="1240" spans="1:1" ht="18" customHeight="1">
      <c r="A1240" s="41" t="str">
        <f t="shared" si="22"/>
        <v/>
      </c>
    </row>
    <row r="1241" spans="1:1" ht="18" customHeight="1">
      <c r="A1241" s="41" t="str">
        <f t="shared" si="22"/>
        <v/>
      </c>
    </row>
    <row r="1242" spans="1:1" ht="18" customHeight="1">
      <c r="A1242" s="41" t="str">
        <f t="shared" si="22"/>
        <v/>
      </c>
    </row>
    <row r="1243" spans="1:1" ht="18" customHeight="1">
      <c r="A1243" s="41" t="str">
        <f t="shared" si="22"/>
        <v/>
      </c>
    </row>
    <row r="1244" spans="1:1" ht="18" customHeight="1">
      <c r="A1244" s="41" t="str">
        <f t="shared" si="22"/>
        <v/>
      </c>
    </row>
    <row r="1245" spans="1:1" ht="18" customHeight="1">
      <c r="A1245" s="41" t="str">
        <f t="shared" si="22"/>
        <v/>
      </c>
    </row>
    <row r="1246" spans="1:1" ht="18" customHeight="1">
      <c r="A1246" s="41" t="str">
        <f t="shared" si="22"/>
        <v/>
      </c>
    </row>
    <row r="1247" spans="1:1" ht="18" customHeight="1">
      <c r="A1247" s="41" t="str">
        <f t="shared" si="22"/>
        <v/>
      </c>
    </row>
    <row r="1248" spans="1:1" ht="18" customHeight="1">
      <c r="A1248" s="41" t="str">
        <f t="shared" si="22"/>
        <v/>
      </c>
    </row>
    <row r="1249" spans="1:1" ht="18" customHeight="1">
      <c r="A1249" s="41" t="str">
        <f t="shared" si="22"/>
        <v/>
      </c>
    </row>
    <row r="1250" spans="1:1" ht="18" customHeight="1">
      <c r="A1250" s="41" t="str">
        <f t="shared" si="22"/>
        <v/>
      </c>
    </row>
    <row r="1251" spans="1:1" ht="18" customHeight="1">
      <c r="A1251" s="41" t="str">
        <f t="shared" si="22"/>
        <v/>
      </c>
    </row>
    <row r="1252" spans="1:1" ht="18" customHeight="1">
      <c r="A1252" s="41" t="str">
        <f t="shared" si="22"/>
        <v/>
      </c>
    </row>
    <row r="1253" spans="1:1" ht="18" customHeight="1">
      <c r="A1253" s="41" t="str">
        <f t="shared" si="22"/>
        <v/>
      </c>
    </row>
    <row r="1254" spans="1:1" ht="18" customHeight="1">
      <c r="A1254" s="41" t="str">
        <f t="shared" si="22"/>
        <v/>
      </c>
    </row>
    <row r="1255" spans="1:1" ht="18" customHeight="1">
      <c r="A1255" s="41" t="str">
        <f t="shared" si="22"/>
        <v/>
      </c>
    </row>
    <row r="1256" spans="1:1" ht="18" customHeight="1">
      <c r="A1256" s="41" t="str">
        <f t="shared" si="22"/>
        <v/>
      </c>
    </row>
    <row r="1257" spans="1:1" ht="18" customHeight="1">
      <c r="A1257" s="41" t="str">
        <f t="shared" si="22"/>
        <v/>
      </c>
    </row>
    <row r="1258" spans="1:1" ht="18" customHeight="1">
      <c r="A1258" s="41" t="str">
        <f t="shared" si="22"/>
        <v/>
      </c>
    </row>
    <row r="1259" spans="1:1" ht="18" customHeight="1">
      <c r="A1259" s="41" t="str">
        <f t="shared" si="22"/>
        <v/>
      </c>
    </row>
    <row r="1260" spans="1:1" ht="18" customHeight="1">
      <c r="A1260" s="41" t="str">
        <f t="shared" si="22"/>
        <v/>
      </c>
    </row>
    <row r="1261" spans="1:1" ht="18" customHeight="1">
      <c r="A1261" s="41" t="str">
        <f t="shared" si="22"/>
        <v/>
      </c>
    </row>
    <row r="1262" spans="1:1" ht="18" customHeight="1">
      <c r="A1262" s="41" t="str">
        <f t="shared" si="22"/>
        <v/>
      </c>
    </row>
    <row r="1263" spans="1:1" ht="18" customHeight="1">
      <c r="A1263" s="41" t="str">
        <f t="shared" si="22"/>
        <v/>
      </c>
    </row>
    <row r="1264" spans="1:1" ht="18" customHeight="1">
      <c r="A1264" s="41" t="str">
        <f t="shared" si="22"/>
        <v/>
      </c>
    </row>
    <row r="1265" spans="1:1" ht="18" customHeight="1">
      <c r="A1265" s="41" t="str">
        <f t="shared" si="22"/>
        <v/>
      </c>
    </row>
    <row r="1266" spans="1:1" ht="18" customHeight="1">
      <c r="A1266" s="41" t="str">
        <f t="shared" si="22"/>
        <v/>
      </c>
    </row>
    <row r="1267" spans="1:1" ht="18" customHeight="1">
      <c r="A1267" s="41" t="str">
        <f t="shared" si="22"/>
        <v/>
      </c>
    </row>
    <row r="1268" spans="1:1" ht="18" customHeight="1">
      <c r="A1268" s="41" t="str">
        <f t="shared" si="22"/>
        <v/>
      </c>
    </row>
    <row r="1269" spans="1:1" ht="18" customHeight="1">
      <c r="A1269" s="41" t="str">
        <f t="shared" si="22"/>
        <v/>
      </c>
    </row>
    <row r="1270" spans="1:1" ht="18" customHeight="1">
      <c r="A1270" s="41" t="str">
        <f t="shared" si="22"/>
        <v/>
      </c>
    </row>
    <row r="1271" spans="1:1" ht="18" customHeight="1">
      <c r="A1271" s="41" t="str">
        <f t="shared" si="22"/>
        <v/>
      </c>
    </row>
    <row r="1272" spans="1:1" ht="18" customHeight="1">
      <c r="A1272" s="41" t="str">
        <f t="shared" si="22"/>
        <v/>
      </c>
    </row>
    <row r="1273" spans="1:1" ht="18" customHeight="1">
      <c r="A1273" s="41" t="str">
        <f t="shared" si="22"/>
        <v/>
      </c>
    </row>
    <row r="1274" spans="1:1" ht="18" customHeight="1">
      <c r="A1274" s="41" t="str">
        <f t="shared" si="22"/>
        <v/>
      </c>
    </row>
    <row r="1275" spans="1:1" ht="18" customHeight="1">
      <c r="A1275" s="41" t="str">
        <f t="shared" si="22"/>
        <v/>
      </c>
    </row>
    <row r="1276" spans="1:1" ht="18" customHeight="1">
      <c r="A1276" s="41" t="str">
        <f t="shared" si="22"/>
        <v/>
      </c>
    </row>
    <row r="1277" spans="1:1" ht="18" customHeight="1">
      <c r="A1277" s="41" t="str">
        <f t="shared" si="22"/>
        <v/>
      </c>
    </row>
    <row r="1278" spans="1:1" ht="18" customHeight="1">
      <c r="A1278" s="41" t="str">
        <f t="shared" si="22"/>
        <v/>
      </c>
    </row>
    <row r="1279" spans="1:1" ht="18" customHeight="1">
      <c r="A1279" s="41" t="str">
        <f t="shared" si="22"/>
        <v/>
      </c>
    </row>
    <row r="1280" spans="1:1" ht="18" customHeight="1">
      <c r="A1280" s="41" t="str">
        <f t="shared" si="22"/>
        <v/>
      </c>
    </row>
    <row r="1281" spans="1:1" ht="18" customHeight="1">
      <c r="A1281" s="41" t="str">
        <f t="shared" si="22"/>
        <v/>
      </c>
    </row>
    <row r="1282" spans="1:1" ht="18" customHeight="1">
      <c r="A1282" s="41" t="str">
        <f t="shared" si="22"/>
        <v/>
      </c>
    </row>
    <row r="1283" spans="1:1" ht="18" customHeight="1">
      <c r="A1283" s="41" t="str">
        <f t="shared" ref="A1283:A1312" si="23">CONCATENATE(C1283,G1283)</f>
        <v/>
      </c>
    </row>
    <row r="1284" spans="1:1" ht="18" customHeight="1">
      <c r="A1284" s="41" t="str">
        <f t="shared" si="23"/>
        <v/>
      </c>
    </row>
    <row r="1285" spans="1:1" ht="18" customHeight="1">
      <c r="A1285" s="41" t="str">
        <f t="shared" si="23"/>
        <v/>
      </c>
    </row>
    <row r="1286" spans="1:1" ht="18" customHeight="1">
      <c r="A1286" s="41" t="str">
        <f t="shared" si="23"/>
        <v/>
      </c>
    </row>
    <row r="1287" spans="1:1" ht="18" customHeight="1">
      <c r="A1287" s="41" t="str">
        <f t="shared" si="23"/>
        <v/>
      </c>
    </row>
    <row r="1288" spans="1:1" ht="18" customHeight="1">
      <c r="A1288" s="41" t="str">
        <f t="shared" si="23"/>
        <v/>
      </c>
    </row>
    <row r="1289" spans="1:1" ht="18" customHeight="1">
      <c r="A1289" s="41" t="str">
        <f t="shared" si="23"/>
        <v/>
      </c>
    </row>
    <row r="1290" spans="1:1" ht="18" customHeight="1">
      <c r="A1290" s="41" t="str">
        <f t="shared" si="23"/>
        <v/>
      </c>
    </row>
    <row r="1291" spans="1:1" ht="18" customHeight="1">
      <c r="A1291" s="41" t="str">
        <f t="shared" si="23"/>
        <v/>
      </c>
    </row>
    <row r="1292" spans="1:1" ht="18" customHeight="1">
      <c r="A1292" s="41" t="str">
        <f t="shared" si="23"/>
        <v/>
      </c>
    </row>
    <row r="1293" spans="1:1" ht="18" customHeight="1">
      <c r="A1293" s="41" t="str">
        <f t="shared" si="23"/>
        <v/>
      </c>
    </row>
    <row r="1294" spans="1:1" ht="18" customHeight="1">
      <c r="A1294" s="41" t="str">
        <f t="shared" si="23"/>
        <v/>
      </c>
    </row>
    <row r="1295" spans="1:1" ht="18" customHeight="1">
      <c r="A1295" s="41" t="str">
        <f t="shared" si="23"/>
        <v/>
      </c>
    </row>
    <row r="1296" spans="1:1" ht="18" customHeight="1">
      <c r="A1296" s="41" t="str">
        <f t="shared" si="23"/>
        <v/>
      </c>
    </row>
    <row r="1297" spans="1:1" ht="18" customHeight="1">
      <c r="A1297" s="41" t="str">
        <f t="shared" si="23"/>
        <v/>
      </c>
    </row>
    <row r="1298" spans="1:1" ht="18" customHeight="1">
      <c r="A1298" s="41" t="str">
        <f t="shared" si="23"/>
        <v/>
      </c>
    </row>
    <row r="1299" spans="1:1" ht="18" customHeight="1">
      <c r="A1299" s="41" t="str">
        <f t="shared" si="23"/>
        <v/>
      </c>
    </row>
    <row r="1300" spans="1:1" ht="18" customHeight="1">
      <c r="A1300" s="41" t="str">
        <f t="shared" si="23"/>
        <v/>
      </c>
    </row>
    <row r="1301" spans="1:1" ht="18" customHeight="1">
      <c r="A1301" s="41" t="str">
        <f t="shared" si="23"/>
        <v/>
      </c>
    </row>
    <row r="1302" spans="1:1" ht="18" customHeight="1">
      <c r="A1302" s="41" t="str">
        <f t="shared" si="23"/>
        <v/>
      </c>
    </row>
    <row r="1303" spans="1:1" ht="18" customHeight="1">
      <c r="A1303" s="41" t="str">
        <f t="shared" si="23"/>
        <v/>
      </c>
    </row>
    <row r="1304" spans="1:1" ht="18" customHeight="1">
      <c r="A1304" s="41" t="str">
        <f t="shared" si="23"/>
        <v/>
      </c>
    </row>
    <row r="1305" spans="1:1" ht="18" customHeight="1">
      <c r="A1305" s="41" t="str">
        <f t="shared" si="23"/>
        <v/>
      </c>
    </row>
    <row r="1306" spans="1:1" ht="18" customHeight="1">
      <c r="A1306" s="41" t="str">
        <f t="shared" si="23"/>
        <v/>
      </c>
    </row>
    <row r="1307" spans="1:1" ht="18" customHeight="1">
      <c r="A1307" s="41" t="str">
        <f t="shared" si="23"/>
        <v/>
      </c>
    </row>
    <row r="1308" spans="1:1" ht="18" customHeight="1">
      <c r="A1308" s="41" t="str">
        <f t="shared" si="23"/>
        <v/>
      </c>
    </row>
    <row r="1309" spans="1:1" ht="18" customHeight="1">
      <c r="A1309" s="41" t="str">
        <f t="shared" si="23"/>
        <v/>
      </c>
    </row>
    <row r="1310" spans="1:1" ht="18" customHeight="1">
      <c r="A1310" s="41" t="str">
        <f t="shared" si="23"/>
        <v/>
      </c>
    </row>
    <row r="1311" spans="1:1" ht="18" customHeight="1">
      <c r="A1311" s="41" t="str">
        <f t="shared" si="23"/>
        <v/>
      </c>
    </row>
    <row r="1312" spans="1:1" ht="18" customHeight="1">
      <c r="A1312" s="41" t="str">
        <f t="shared" si="23"/>
        <v/>
      </c>
    </row>
  </sheetData>
  <mergeCells count="3">
    <mergeCell ref="K12:L12"/>
    <mergeCell ref="K13:L13"/>
    <mergeCell ref="K14:L14"/>
  </mergeCells>
  <conditionalFormatting sqref="M14">
    <cfRule type="containsText" dxfId="1" priority="2" stopIfTrue="1" operator="containsText" text="LIMIT BREACH!">
      <formula>NOT(ISERROR(SEARCH("LIMIT BREACH!",M14)))</formula>
    </cfRule>
  </conditionalFormatting>
  <conditionalFormatting sqref="O14">
    <cfRule type="containsText" dxfId="0" priority="1" stopIfTrue="1" operator="containsText" text="LIMIT BREACH!">
      <formula>NOT(ISERROR(SEARCH("LIMIT BREACH!",O14)))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39997558519241921"/>
  </sheetPr>
  <dimension ref="A1:K127"/>
  <sheetViews>
    <sheetView workbookViewId="0">
      <selection activeCell="F26" sqref="F26"/>
    </sheetView>
  </sheetViews>
  <sheetFormatPr defaultRowHeight="15"/>
  <cols>
    <col min="1" max="11" width="15.5703125" customWidth="1"/>
  </cols>
  <sheetData>
    <row r="1" spans="1:11">
      <c r="A1" t="s">
        <v>32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I1" t="s">
        <v>51</v>
      </c>
      <c r="J1" t="s">
        <v>52</v>
      </c>
      <c r="K1" t="s">
        <v>53</v>
      </c>
    </row>
    <row r="2" spans="1:11">
      <c r="A2" t="s">
        <v>54</v>
      </c>
      <c r="B2">
        <v>20170405</v>
      </c>
      <c r="C2" t="s">
        <v>55</v>
      </c>
      <c r="D2">
        <v>20170405</v>
      </c>
      <c r="E2">
        <v>-2</v>
      </c>
      <c r="F2">
        <v>-1.1E-4</v>
      </c>
      <c r="I2" s="19">
        <f t="shared" ref="I2:I14" si="0">E2</f>
        <v>-2</v>
      </c>
      <c r="J2" s="32">
        <f t="shared" ref="J2:J14" si="1">DATE(LEFT(D2,4),LEFT(RIGHT(D2,4),2),RIGHT(D2,2))</f>
        <v>42830</v>
      </c>
      <c r="K2" s="19">
        <f>F2</f>
        <v>-1.1E-4</v>
      </c>
    </row>
    <row r="3" spans="1:11">
      <c r="C3" t="s">
        <v>56</v>
      </c>
      <c r="D3">
        <v>20170406</v>
      </c>
      <c r="E3">
        <v>-1</v>
      </c>
      <c r="F3">
        <v>-1E-4</v>
      </c>
      <c r="I3" s="19">
        <f t="shared" si="0"/>
        <v>-1</v>
      </c>
      <c r="J3" s="32">
        <f t="shared" si="1"/>
        <v>42831</v>
      </c>
      <c r="K3" s="19">
        <f t="shared" ref="K3:K14" si="2">F3</f>
        <v>-1E-4</v>
      </c>
    </row>
    <row r="4" spans="1:11">
      <c r="C4" t="s">
        <v>57</v>
      </c>
      <c r="D4">
        <v>20170410</v>
      </c>
      <c r="E4">
        <v>3</v>
      </c>
      <c r="F4">
        <v>2.9999999999999997E-4</v>
      </c>
      <c r="I4" s="19">
        <f t="shared" si="0"/>
        <v>3</v>
      </c>
      <c r="J4" s="32">
        <f t="shared" si="1"/>
        <v>42835</v>
      </c>
      <c r="K4" s="19">
        <f t="shared" si="2"/>
        <v>2.9999999999999997E-4</v>
      </c>
    </row>
    <row r="5" spans="1:11">
      <c r="C5" t="s">
        <v>58</v>
      </c>
      <c r="D5">
        <v>20170418</v>
      </c>
      <c r="E5">
        <v>11</v>
      </c>
      <c r="F5">
        <v>4.0999999999999999E-4</v>
      </c>
      <c r="I5" s="19">
        <f t="shared" si="0"/>
        <v>11</v>
      </c>
      <c r="J5" s="32">
        <f t="shared" si="1"/>
        <v>42843</v>
      </c>
      <c r="K5" s="19">
        <f t="shared" si="2"/>
        <v>4.0999999999999999E-4</v>
      </c>
    </row>
    <row r="6" spans="1:11">
      <c r="C6" t="s">
        <v>59</v>
      </c>
      <c r="D6">
        <v>20170508</v>
      </c>
      <c r="E6">
        <v>31</v>
      </c>
      <c r="F6">
        <v>2.5000000000000001E-3</v>
      </c>
      <c r="I6" s="19">
        <f t="shared" si="0"/>
        <v>31</v>
      </c>
      <c r="J6" s="32">
        <f t="shared" si="1"/>
        <v>42863</v>
      </c>
      <c r="K6" s="19">
        <f t="shared" si="2"/>
        <v>2.5000000000000001E-3</v>
      </c>
    </row>
    <row r="7" spans="1:11">
      <c r="C7" t="s">
        <v>60</v>
      </c>
      <c r="D7">
        <v>20170707</v>
      </c>
      <c r="E7">
        <v>91</v>
      </c>
      <c r="F7">
        <v>5.5100000000000001E-3</v>
      </c>
      <c r="I7" s="19">
        <f t="shared" si="0"/>
        <v>91</v>
      </c>
      <c r="J7" s="32">
        <f t="shared" si="1"/>
        <v>42923</v>
      </c>
      <c r="K7" s="19">
        <f t="shared" si="2"/>
        <v>5.5100000000000001E-3</v>
      </c>
    </row>
    <row r="8" spans="1:11">
      <c r="C8" t="s">
        <v>61</v>
      </c>
      <c r="D8">
        <v>20171009</v>
      </c>
      <c r="E8">
        <v>185</v>
      </c>
      <c r="F8">
        <v>1.0529999999999999E-2</v>
      </c>
      <c r="I8" s="19">
        <f t="shared" si="0"/>
        <v>185</v>
      </c>
      <c r="J8" s="32">
        <f t="shared" si="1"/>
        <v>43017</v>
      </c>
      <c r="K8" s="19">
        <f t="shared" si="2"/>
        <v>1.0529999999999999E-2</v>
      </c>
    </row>
    <row r="9" spans="1:11">
      <c r="C9" t="s">
        <v>62</v>
      </c>
      <c r="D9">
        <v>20180409</v>
      </c>
      <c r="E9">
        <v>367</v>
      </c>
      <c r="F9">
        <v>2.0109999999999999E-2</v>
      </c>
      <c r="I9" s="19">
        <f t="shared" si="0"/>
        <v>367</v>
      </c>
      <c r="J9" s="32">
        <f t="shared" si="1"/>
        <v>43199</v>
      </c>
      <c r="K9" s="19">
        <f t="shared" si="2"/>
        <v>2.0109999999999999E-2</v>
      </c>
    </row>
    <row r="10" spans="1:11">
      <c r="C10" t="s">
        <v>63</v>
      </c>
      <c r="D10">
        <v>20181008</v>
      </c>
      <c r="E10">
        <v>549</v>
      </c>
      <c r="F10">
        <v>4.0719999999999999E-2</v>
      </c>
      <c r="I10" s="19">
        <f t="shared" si="0"/>
        <v>549</v>
      </c>
      <c r="J10" s="32">
        <f t="shared" si="1"/>
        <v>43381</v>
      </c>
      <c r="K10" s="19">
        <f t="shared" si="2"/>
        <v>4.0719999999999999E-2</v>
      </c>
    </row>
    <row r="11" spans="1:11">
      <c r="C11" t="s">
        <v>64</v>
      </c>
      <c r="D11">
        <v>20190408</v>
      </c>
      <c r="E11">
        <v>731</v>
      </c>
      <c r="F11">
        <v>6.1069999999999999E-2</v>
      </c>
      <c r="I11" s="19">
        <f t="shared" si="0"/>
        <v>731</v>
      </c>
      <c r="J11" s="32">
        <f t="shared" si="1"/>
        <v>43563</v>
      </c>
      <c r="K11" s="19">
        <f t="shared" si="2"/>
        <v>6.1069999999999999E-2</v>
      </c>
    </row>
    <row r="12" spans="1:11">
      <c r="C12" t="s">
        <v>65</v>
      </c>
      <c r="D12">
        <v>20200407</v>
      </c>
      <c r="E12">
        <v>1096</v>
      </c>
      <c r="F12">
        <v>9.4E-2</v>
      </c>
      <c r="I12" s="19">
        <f t="shared" si="0"/>
        <v>1096</v>
      </c>
      <c r="J12" s="32">
        <f t="shared" si="1"/>
        <v>43928</v>
      </c>
      <c r="K12" s="19">
        <f t="shared" si="2"/>
        <v>9.4E-2</v>
      </c>
    </row>
    <row r="13" spans="1:11">
      <c r="C13" t="s">
        <v>66</v>
      </c>
      <c r="D13">
        <v>20210407</v>
      </c>
      <c r="E13">
        <v>1461</v>
      </c>
      <c r="F13">
        <v>0.12543000000000001</v>
      </c>
      <c r="I13" s="19">
        <f t="shared" si="0"/>
        <v>1461</v>
      </c>
      <c r="J13" s="32">
        <f t="shared" si="1"/>
        <v>44293</v>
      </c>
      <c r="K13" s="19">
        <f t="shared" si="2"/>
        <v>0.12543000000000001</v>
      </c>
    </row>
    <row r="14" spans="1:11">
      <c r="C14" t="s">
        <v>67</v>
      </c>
      <c r="D14">
        <v>20220407</v>
      </c>
      <c r="E14">
        <v>1826</v>
      </c>
      <c r="F14">
        <v>0.15146999999999999</v>
      </c>
      <c r="I14" s="19">
        <f t="shared" si="0"/>
        <v>1826</v>
      </c>
      <c r="J14" s="32">
        <f t="shared" si="1"/>
        <v>44658</v>
      </c>
      <c r="K14" s="19">
        <f t="shared" si="2"/>
        <v>0.15146999999999999</v>
      </c>
    </row>
    <row r="15" spans="1:11">
      <c r="C15" t="s">
        <v>68</v>
      </c>
      <c r="D15">
        <v>20220407</v>
      </c>
      <c r="E15">
        <v>1826</v>
      </c>
      <c r="F15">
        <v>0.15146999999999999</v>
      </c>
    </row>
    <row r="16" spans="1:11">
      <c r="A16" t="s">
        <v>69</v>
      </c>
      <c r="B16">
        <v>20170405</v>
      </c>
      <c r="C16" t="s">
        <v>55</v>
      </c>
      <c r="D16">
        <v>20170405</v>
      </c>
      <c r="E16">
        <v>-2</v>
      </c>
      <c r="F16">
        <v>0</v>
      </c>
      <c r="I16" t="s">
        <v>51</v>
      </c>
      <c r="J16" t="s">
        <v>52</v>
      </c>
      <c r="K16" t="s">
        <v>53</v>
      </c>
    </row>
    <row r="17" spans="1:11">
      <c r="C17" t="s">
        <v>56</v>
      </c>
      <c r="D17">
        <v>20170406</v>
      </c>
      <c r="E17">
        <v>-1</v>
      </c>
      <c r="F17">
        <v>0</v>
      </c>
      <c r="I17" s="19">
        <f t="shared" ref="I17:I28" si="3">E17</f>
        <v>-1</v>
      </c>
      <c r="J17" s="32">
        <f t="shared" ref="J17:J28" si="4">DATE(LEFT(D17,4),LEFT(RIGHT(D17,4),2),RIGHT(D17,2))</f>
        <v>42831</v>
      </c>
      <c r="K17" s="19">
        <f>F17</f>
        <v>0</v>
      </c>
    </row>
    <row r="18" spans="1:11">
      <c r="C18" t="s">
        <v>57</v>
      </c>
      <c r="D18">
        <v>20170410</v>
      </c>
      <c r="E18">
        <v>3</v>
      </c>
      <c r="F18">
        <v>2.0000000000000002E-5</v>
      </c>
      <c r="I18" s="19">
        <f t="shared" si="3"/>
        <v>3</v>
      </c>
      <c r="J18" s="32">
        <f t="shared" si="4"/>
        <v>42835</v>
      </c>
      <c r="K18" s="19">
        <f t="shared" ref="K18:K28" si="5">F18</f>
        <v>2.0000000000000002E-5</v>
      </c>
    </row>
    <row r="19" spans="1:11">
      <c r="C19" t="s">
        <v>58</v>
      </c>
      <c r="D19">
        <v>20170418</v>
      </c>
      <c r="E19">
        <v>11</v>
      </c>
      <c r="F19">
        <v>-2.7E-4</v>
      </c>
      <c r="I19" s="19">
        <f t="shared" si="3"/>
        <v>11</v>
      </c>
      <c r="J19" s="32">
        <f t="shared" si="4"/>
        <v>42843</v>
      </c>
      <c r="K19" s="19">
        <f t="shared" si="5"/>
        <v>-2.7E-4</v>
      </c>
    </row>
    <row r="20" spans="1:11">
      <c r="C20" t="s">
        <v>59</v>
      </c>
      <c r="D20">
        <v>20170508</v>
      </c>
      <c r="E20">
        <v>31</v>
      </c>
      <c r="F20">
        <v>-7.1000000000000002E-4</v>
      </c>
      <c r="I20" s="19">
        <f t="shared" si="3"/>
        <v>31</v>
      </c>
      <c r="J20" s="32">
        <f t="shared" si="4"/>
        <v>42863</v>
      </c>
      <c r="K20" s="19">
        <f t="shared" si="5"/>
        <v>-7.1000000000000002E-4</v>
      </c>
    </row>
    <row r="21" spans="1:11">
      <c r="C21" t="s">
        <v>60</v>
      </c>
      <c r="D21">
        <v>20170707</v>
      </c>
      <c r="E21">
        <v>91</v>
      </c>
      <c r="F21">
        <v>-2.2699999999999999E-3</v>
      </c>
      <c r="I21" s="19">
        <f t="shared" si="3"/>
        <v>91</v>
      </c>
      <c r="J21" s="32">
        <f t="shared" si="4"/>
        <v>42923</v>
      </c>
      <c r="K21" s="19">
        <f t="shared" si="5"/>
        <v>-2.2699999999999999E-3</v>
      </c>
    </row>
    <row r="22" spans="1:11">
      <c r="C22" t="s">
        <v>61</v>
      </c>
      <c r="D22">
        <v>20171009</v>
      </c>
      <c r="E22">
        <v>185</v>
      </c>
      <c r="F22">
        <v>-4.7400000000000003E-3</v>
      </c>
      <c r="I22" s="19">
        <f t="shared" si="3"/>
        <v>185</v>
      </c>
      <c r="J22" s="32">
        <f t="shared" si="4"/>
        <v>43017</v>
      </c>
      <c r="K22" s="19">
        <f t="shared" si="5"/>
        <v>-4.7400000000000003E-3</v>
      </c>
    </row>
    <row r="23" spans="1:11">
      <c r="C23" t="s">
        <v>62</v>
      </c>
      <c r="D23">
        <v>20180409</v>
      </c>
      <c r="E23">
        <v>367</v>
      </c>
      <c r="F23">
        <v>-9.8600000000000007E-3</v>
      </c>
      <c r="I23" s="19">
        <f t="shared" si="3"/>
        <v>367</v>
      </c>
      <c r="J23" s="32">
        <f t="shared" si="4"/>
        <v>43199</v>
      </c>
      <c r="K23" s="19">
        <f t="shared" si="5"/>
        <v>-9.8600000000000007E-3</v>
      </c>
    </row>
    <row r="24" spans="1:11">
      <c r="C24" t="s">
        <v>63</v>
      </c>
      <c r="D24">
        <v>20181008</v>
      </c>
      <c r="E24">
        <v>549</v>
      </c>
      <c r="F24">
        <v>-1.384E-2</v>
      </c>
      <c r="I24" s="19">
        <f t="shared" si="3"/>
        <v>549</v>
      </c>
      <c r="J24" s="32">
        <f t="shared" si="4"/>
        <v>43381</v>
      </c>
      <c r="K24" s="19">
        <f t="shared" si="5"/>
        <v>-1.384E-2</v>
      </c>
    </row>
    <row r="25" spans="1:11">
      <c r="C25" t="s">
        <v>64</v>
      </c>
      <c r="D25">
        <v>20190408</v>
      </c>
      <c r="E25">
        <v>731</v>
      </c>
      <c r="F25">
        <v>-1.762E-2</v>
      </c>
      <c r="I25" s="19">
        <f t="shared" si="3"/>
        <v>731</v>
      </c>
      <c r="J25" s="32">
        <f t="shared" si="4"/>
        <v>43563</v>
      </c>
      <c r="K25" s="19">
        <f t="shared" si="5"/>
        <v>-1.762E-2</v>
      </c>
    </row>
    <row r="26" spans="1:11">
      <c r="C26" t="s">
        <v>65</v>
      </c>
      <c r="D26">
        <v>20200407</v>
      </c>
      <c r="E26">
        <v>1096</v>
      </c>
      <c r="F26">
        <v>-2.639E-2</v>
      </c>
      <c r="I26" s="19">
        <f t="shared" si="3"/>
        <v>1096</v>
      </c>
      <c r="J26" s="32">
        <f t="shared" si="4"/>
        <v>43928</v>
      </c>
      <c r="K26" s="19">
        <f t="shared" si="5"/>
        <v>-2.639E-2</v>
      </c>
    </row>
    <row r="27" spans="1:11">
      <c r="C27" t="s">
        <v>66</v>
      </c>
      <c r="D27">
        <v>20210407</v>
      </c>
      <c r="E27">
        <v>1461</v>
      </c>
      <c r="F27">
        <v>-3.0800000000000001E-2</v>
      </c>
      <c r="I27" s="19">
        <f t="shared" si="3"/>
        <v>1461</v>
      </c>
      <c r="J27" s="32">
        <f t="shared" si="4"/>
        <v>44293</v>
      </c>
      <c r="K27" s="19">
        <f t="shared" si="5"/>
        <v>-3.0800000000000001E-2</v>
      </c>
    </row>
    <row r="28" spans="1:11">
      <c r="C28" t="s">
        <v>67</v>
      </c>
      <c r="D28">
        <v>20220407</v>
      </c>
      <c r="E28">
        <v>1826</v>
      </c>
      <c r="F28">
        <v>-3.6790000000000003E-2</v>
      </c>
      <c r="I28" s="19">
        <f t="shared" si="3"/>
        <v>1826</v>
      </c>
      <c r="J28" s="32">
        <f t="shared" si="4"/>
        <v>44658</v>
      </c>
      <c r="K28" s="19">
        <f t="shared" si="5"/>
        <v>-3.6790000000000003E-2</v>
      </c>
    </row>
    <row r="29" spans="1:11">
      <c r="C29" t="s">
        <v>68</v>
      </c>
      <c r="D29">
        <v>20220407</v>
      </c>
      <c r="E29">
        <v>1826</v>
      </c>
      <c r="F29">
        <v>-3.6790000000000003E-2</v>
      </c>
    </row>
    <row r="30" spans="1:11">
      <c r="A30" t="s">
        <v>70</v>
      </c>
      <c r="B30">
        <v>20170405</v>
      </c>
      <c r="C30" t="s">
        <v>55</v>
      </c>
      <c r="D30">
        <v>20170405</v>
      </c>
      <c r="E30">
        <v>-2</v>
      </c>
      <c r="F30">
        <v>-4.2000000000000002E-4</v>
      </c>
      <c r="I30" t="s">
        <v>51</v>
      </c>
      <c r="J30" t="s">
        <v>52</v>
      </c>
      <c r="K30" t="s">
        <v>53</v>
      </c>
    </row>
    <row r="31" spans="1:11">
      <c r="C31" t="s">
        <v>56</v>
      </c>
      <c r="D31">
        <v>20170406</v>
      </c>
      <c r="E31">
        <v>-1</v>
      </c>
      <c r="F31">
        <v>-3.8000000000000002E-4</v>
      </c>
      <c r="I31" s="19">
        <f t="shared" ref="I31:I42" si="6">E31</f>
        <v>-1</v>
      </c>
      <c r="J31" s="32">
        <f t="shared" ref="J31:J42" si="7">DATE(LEFT(D31,4),LEFT(RIGHT(D31,4),2),RIGHT(D31,2))</f>
        <v>42831</v>
      </c>
      <c r="K31" s="19">
        <f>F31</f>
        <v>-3.8000000000000002E-4</v>
      </c>
    </row>
    <row r="32" spans="1:11">
      <c r="C32" t="s">
        <v>57</v>
      </c>
      <c r="D32">
        <v>20170410</v>
      </c>
      <c r="E32">
        <v>3</v>
      </c>
      <c r="F32">
        <v>1.24E-3</v>
      </c>
      <c r="I32" s="19">
        <f t="shared" si="6"/>
        <v>3</v>
      </c>
      <c r="J32" s="32">
        <f t="shared" si="7"/>
        <v>42835</v>
      </c>
      <c r="K32" s="19">
        <f t="shared" ref="K32:K42" si="8">F32</f>
        <v>1.24E-3</v>
      </c>
    </row>
    <row r="33" spans="1:11">
      <c r="C33" t="s">
        <v>58</v>
      </c>
      <c r="D33">
        <v>20170418</v>
      </c>
      <c r="E33">
        <v>11</v>
      </c>
      <c r="F33">
        <v>3.6800000000000001E-3</v>
      </c>
      <c r="I33" s="19">
        <f t="shared" si="6"/>
        <v>11</v>
      </c>
      <c r="J33" s="32">
        <f t="shared" si="7"/>
        <v>42843</v>
      </c>
      <c r="K33" s="19">
        <f t="shared" si="8"/>
        <v>3.6800000000000001E-3</v>
      </c>
    </row>
    <row r="34" spans="1:11">
      <c r="C34" t="s">
        <v>59</v>
      </c>
      <c r="D34">
        <v>20170508</v>
      </c>
      <c r="E34">
        <v>31</v>
      </c>
      <c r="F34">
        <v>1.261E-2</v>
      </c>
      <c r="I34" s="19">
        <f t="shared" si="6"/>
        <v>31</v>
      </c>
      <c r="J34" s="32">
        <f t="shared" si="7"/>
        <v>42863</v>
      </c>
      <c r="K34" s="19">
        <f t="shared" si="8"/>
        <v>1.261E-2</v>
      </c>
    </row>
    <row r="35" spans="1:11">
      <c r="C35" t="s">
        <v>60</v>
      </c>
      <c r="D35">
        <v>20170707</v>
      </c>
      <c r="E35">
        <v>91</v>
      </c>
      <c r="F35">
        <v>3.61E-2</v>
      </c>
      <c r="I35" s="19">
        <f t="shared" si="6"/>
        <v>91</v>
      </c>
      <c r="J35" s="32">
        <f t="shared" si="7"/>
        <v>42923</v>
      </c>
      <c r="K35" s="19">
        <f t="shared" si="8"/>
        <v>3.61E-2</v>
      </c>
    </row>
    <row r="36" spans="1:11">
      <c r="C36" t="s">
        <v>61</v>
      </c>
      <c r="D36">
        <v>20171009</v>
      </c>
      <c r="E36">
        <v>185</v>
      </c>
      <c r="F36">
        <v>7.3849999999999999E-2</v>
      </c>
      <c r="I36" s="19">
        <f t="shared" si="6"/>
        <v>185</v>
      </c>
      <c r="J36" s="32">
        <f t="shared" si="7"/>
        <v>43017</v>
      </c>
      <c r="K36" s="19">
        <f t="shared" si="8"/>
        <v>7.3849999999999999E-2</v>
      </c>
    </row>
    <row r="37" spans="1:11">
      <c r="C37" t="s">
        <v>62</v>
      </c>
      <c r="D37">
        <v>20180409</v>
      </c>
      <c r="E37">
        <v>367</v>
      </c>
      <c r="F37">
        <v>0.14877000000000001</v>
      </c>
      <c r="I37" s="19">
        <f t="shared" si="6"/>
        <v>367</v>
      </c>
      <c r="J37" s="32">
        <f t="shared" si="7"/>
        <v>43199</v>
      </c>
      <c r="K37" s="19">
        <f t="shared" si="8"/>
        <v>0.14877000000000001</v>
      </c>
    </row>
    <row r="38" spans="1:11">
      <c r="C38" t="s">
        <v>63</v>
      </c>
      <c r="D38">
        <v>20181008</v>
      </c>
      <c r="E38">
        <v>549</v>
      </c>
      <c r="F38">
        <v>0.24210000000000001</v>
      </c>
      <c r="I38" s="19">
        <f t="shared" si="6"/>
        <v>549</v>
      </c>
      <c r="J38" s="32">
        <f t="shared" si="7"/>
        <v>43381</v>
      </c>
      <c r="K38" s="19">
        <f t="shared" si="8"/>
        <v>0.24210000000000001</v>
      </c>
    </row>
    <row r="39" spans="1:11">
      <c r="C39" t="s">
        <v>64</v>
      </c>
      <c r="D39">
        <v>20190408</v>
      </c>
      <c r="E39">
        <v>731</v>
      </c>
      <c r="F39">
        <v>0.34061000000000002</v>
      </c>
      <c r="I39" s="19">
        <f t="shared" si="6"/>
        <v>731</v>
      </c>
      <c r="J39" s="32">
        <f t="shared" si="7"/>
        <v>43563</v>
      </c>
      <c r="K39" s="19">
        <f t="shared" si="8"/>
        <v>0.34061000000000002</v>
      </c>
    </row>
    <row r="40" spans="1:11">
      <c r="C40" t="s">
        <v>65</v>
      </c>
      <c r="D40">
        <v>20200407</v>
      </c>
      <c r="E40">
        <v>1096</v>
      </c>
      <c r="F40">
        <v>0.53990000000000005</v>
      </c>
      <c r="I40" s="19">
        <f t="shared" si="6"/>
        <v>1096</v>
      </c>
      <c r="J40" s="32">
        <f t="shared" si="7"/>
        <v>43928</v>
      </c>
      <c r="K40" s="19">
        <f t="shared" si="8"/>
        <v>0.53990000000000005</v>
      </c>
    </row>
    <row r="41" spans="1:11">
      <c r="C41" t="s">
        <v>66</v>
      </c>
      <c r="D41">
        <v>20210407</v>
      </c>
      <c r="E41">
        <v>1461</v>
      </c>
      <c r="F41">
        <v>0.74895999999999996</v>
      </c>
      <c r="I41" s="19">
        <f t="shared" si="6"/>
        <v>1461</v>
      </c>
      <c r="J41" s="32">
        <f t="shared" si="7"/>
        <v>44293</v>
      </c>
      <c r="K41" s="19">
        <f t="shared" si="8"/>
        <v>0.74895999999999996</v>
      </c>
    </row>
    <row r="42" spans="1:11">
      <c r="C42" t="s">
        <v>67</v>
      </c>
      <c r="D42">
        <v>20220407</v>
      </c>
      <c r="E42">
        <v>1826</v>
      </c>
      <c r="F42">
        <v>0.96131</v>
      </c>
      <c r="I42" s="19">
        <f t="shared" si="6"/>
        <v>1826</v>
      </c>
      <c r="J42" s="32">
        <f t="shared" si="7"/>
        <v>44658</v>
      </c>
      <c r="K42" s="19">
        <f t="shared" si="8"/>
        <v>0.96131</v>
      </c>
    </row>
    <row r="43" spans="1:11">
      <c r="C43" t="s">
        <v>68</v>
      </c>
      <c r="D43">
        <v>20220407</v>
      </c>
      <c r="E43">
        <v>1826</v>
      </c>
      <c r="F43">
        <v>0.96131</v>
      </c>
    </row>
    <row r="44" spans="1:11">
      <c r="A44" t="s">
        <v>71</v>
      </c>
      <c r="B44">
        <v>20170405</v>
      </c>
      <c r="C44" t="s">
        <v>55</v>
      </c>
      <c r="D44">
        <v>20170405</v>
      </c>
      <c r="E44">
        <v>-2</v>
      </c>
      <c r="F44">
        <v>-4.0000000000000002E-4</v>
      </c>
      <c r="I44" t="s">
        <v>51</v>
      </c>
      <c r="J44" t="s">
        <v>52</v>
      </c>
      <c r="K44" t="s">
        <v>53</v>
      </c>
    </row>
    <row r="45" spans="1:11">
      <c r="C45" t="s">
        <v>56</v>
      </c>
      <c r="D45">
        <v>20170406</v>
      </c>
      <c r="E45">
        <v>-1</v>
      </c>
      <c r="F45">
        <v>-3.8999999999999999E-4</v>
      </c>
      <c r="I45" s="19">
        <f t="shared" ref="I45:I56" si="9">E45</f>
        <v>-1</v>
      </c>
      <c r="J45" s="32">
        <f t="shared" ref="J45:J56" si="10">DATE(LEFT(D45,4),LEFT(RIGHT(D45,4),2),RIGHT(D45,2))</f>
        <v>42831</v>
      </c>
      <c r="K45" s="19">
        <f>F45</f>
        <v>-3.8999999999999999E-4</v>
      </c>
    </row>
    <row r="46" spans="1:11">
      <c r="C46" t="s">
        <v>57</v>
      </c>
      <c r="D46">
        <v>20170410</v>
      </c>
      <c r="E46">
        <v>3</v>
      </c>
      <c r="F46">
        <v>1.17E-3</v>
      </c>
      <c r="I46" s="19">
        <f t="shared" si="9"/>
        <v>3</v>
      </c>
      <c r="J46" s="32">
        <f t="shared" si="10"/>
        <v>42835</v>
      </c>
      <c r="K46" s="19">
        <f t="shared" ref="K46:K56" si="11">F46</f>
        <v>1.17E-3</v>
      </c>
    </row>
    <row r="47" spans="1:11">
      <c r="C47" t="s">
        <v>58</v>
      </c>
      <c r="D47">
        <v>20170418</v>
      </c>
      <c r="E47">
        <v>11</v>
      </c>
      <c r="F47">
        <v>3.1800000000000001E-3</v>
      </c>
      <c r="I47" s="19">
        <f t="shared" si="9"/>
        <v>11</v>
      </c>
      <c r="J47" s="32">
        <f t="shared" si="10"/>
        <v>42843</v>
      </c>
      <c r="K47" s="19">
        <f t="shared" si="11"/>
        <v>3.1800000000000001E-3</v>
      </c>
    </row>
    <row r="48" spans="1:11">
      <c r="C48" t="s">
        <v>59</v>
      </c>
      <c r="D48">
        <v>20170508</v>
      </c>
      <c r="E48">
        <v>31</v>
      </c>
      <c r="F48">
        <v>1.1299999999999999E-2</v>
      </c>
      <c r="I48" s="19">
        <f t="shared" si="9"/>
        <v>31</v>
      </c>
      <c r="J48" s="32">
        <f t="shared" si="10"/>
        <v>42863</v>
      </c>
      <c r="K48" s="19">
        <f t="shared" si="11"/>
        <v>1.1299999999999999E-2</v>
      </c>
    </row>
    <row r="49" spans="1:11">
      <c r="C49" t="s">
        <v>60</v>
      </c>
      <c r="D49">
        <v>20170707</v>
      </c>
      <c r="E49">
        <v>91</v>
      </c>
      <c r="F49">
        <v>3.0939999999999999E-2</v>
      </c>
      <c r="I49" s="19">
        <f t="shared" si="9"/>
        <v>91</v>
      </c>
      <c r="J49" s="32">
        <f t="shared" si="10"/>
        <v>42923</v>
      </c>
      <c r="K49" s="19">
        <f t="shared" si="11"/>
        <v>3.0939999999999999E-2</v>
      </c>
    </row>
    <row r="50" spans="1:11">
      <c r="C50" t="s">
        <v>61</v>
      </c>
      <c r="D50">
        <v>20171009</v>
      </c>
      <c r="E50">
        <v>185</v>
      </c>
      <c r="F50">
        <v>6.2030000000000002E-2</v>
      </c>
      <c r="I50" s="19">
        <f t="shared" si="9"/>
        <v>185</v>
      </c>
      <c r="J50" s="32">
        <f t="shared" si="10"/>
        <v>43017</v>
      </c>
      <c r="K50" s="19">
        <f t="shared" si="11"/>
        <v>6.2030000000000002E-2</v>
      </c>
    </row>
    <row r="51" spans="1:11">
      <c r="C51" t="s">
        <v>62</v>
      </c>
      <c r="D51">
        <v>20180409</v>
      </c>
      <c r="E51">
        <v>367</v>
      </c>
      <c r="F51">
        <v>0.12164999999999999</v>
      </c>
      <c r="I51" s="19">
        <f t="shared" si="9"/>
        <v>367</v>
      </c>
      <c r="J51" s="32">
        <f t="shared" si="10"/>
        <v>43199</v>
      </c>
      <c r="K51" s="19">
        <f t="shared" si="11"/>
        <v>0.12164999999999999</v>
      </c>
    </row>
    <row r="52" spans="1:11">
      <c r="C52" t="s">
        <v>63</v>
      </c>
      <c r="D52">
        <v>20181008</v>
      </c>
      <c r="E52">
        <v>549</v>
      </c>
      <c r="F52">
        <v>0.20386000000000001</v>
      </c>
      <c r="I52" s="19">
        <f t="shared" si="9"/>
        <v>549</v>
      </c>
      <c r="J52" s="32">
        <f t="shared" si="10"/>
        <v>43381</v>
      </c>
      <c r="K52" s="19">
        <f t="shared" si="11"/>
        <v>0.20386000000000001</v>
      </c>
    </row>
    <row r="53" spans="1:11">
      <c r="C53" t="s">
        <v>64</v>
      </c>
      <c r="D53">
        <v>20190408</v>
      </c>
      <c r="E53">
        <v>731</v>
      </c>
      <c r="F53">
        <v>0.28806999999999999</v>
      </c>
      <c r="I53" s="19">
        <f t="shared" si="9"/>
        <v>731</v>
      </c>
      <c r="J53" s="32">
        <f t="shared" si="10"/>
        <v>43563</v>
      </c>
      <c r="K53" s="19">
        <f t="shared" si="11"/>
        <v>0.28806999999999999</v>
      </c>
    </row>
    <row r="54" spans="1:11">
      <c r="C54" t="s">
        <v>65</v>
      </c>
      <c r="D54">
        <v>20200407</v>
      </c>
      <c r="E54">
        <v>1096</v>
      </c>
      <c r="F54">
        <v>0.45831</v>
      </c>
      <c r="I54" s="19">
        <f t="shared" si="9"/>
        <v>1096</v>
      </c>
      <c r="J54" s="32">
        <f t="shared" si="10"/>
        <v>43928</v>
      </c>
      <c r="K54" s="19">
        <f t="shared" si="11"/>
        <v>0.45831</v>
      </c>
    </row>
    <row r="55" spans="1:11">
      <c r="C55" t="s">
        <v>66</v>
      </c>
      <c r="D55">
        <v>20210407</v>
      </c>
      <c r="E55">
        <v>1461</v>
      </c>
      <c r="F55">
        <v>0.63958999999999999</v>
      </c>
      <c r="I55" s="19">
        <f t="shared" si="9"/>
        <v>1461</v>
      </c>
      <c r="J55" s="32">
        <f t="shared" si="10"/>
        <v>44293</v>
      </c>
      <c r="K55" s="19">
        <f t="shared" si="11"/>
        <v>0.63958999999999999</v>
      </c>
    </row>
    <row r="56" spans="1:11">
      <c r="C56" t="s">
        <v>67</v>
      </c>
      <c r="D56">
        <v>20220407</v>
      </c>
      <c r="E56">
        <v>1826</v>
      </c>
      <c r="F56">
        <v>0.82342000000000004</v>
      </c>
      <c r="I56" s="19">
        <f t="shared" si="9"/>
        <v>1826</v>
      </c>
      <c r="J56" s="32">
        <f t="shared" si="10"/>
        <v>44658</v>
      </c>
      <c r="K56" s="19">
        <f t="shared" si="11"/>
        <v>0.82342000000000004</v>
      </c>
    </row>
    <row r="57" spans="1:11">
      <c r="C57" t="s">
        <v>68</v>
      </c>
      <c r="D57">
        <v>20220407</v>
      </c>
      <c r="E57">
        <v>1826</v>
      </c>
      <c r="F57">
        <v>0.82342000000000004</v>
      </c>
    </row>
    <row r="58" spans="1:11">
      <c r="A58" t="s">
        <v>72</v>
      </c>
      <c r="B58">
        <v>20170405</v>
      </c>
      <c r="C58" t="s">
        <v>55</v>
      </c>
      <c r="D58">
        <v>20170405</v>
      </c>
      <c r="E58">
        <v>-2</v>
      </c>
      <c r="F58">
        <v>-4.2300000000000003E-3</v>
      </c>
      <c r="I58" t="s">
        <v>51</v>
      </c>
      <c r="J58" t="s">
        <v>52</v>
      </c>
      <c r="K58" t="s">
        <v>53</v>
      </c>
    </row>
    <row r="59" spans="1:11">
      <c r="C59" t="s">
        <v>56</v>
      </c>
      <c r="D59">
        <v>20170406</v>
      </c>
      <c r="E59">
        <v>-1</v>
      </c>
      <c r="F59">
        <v>-4.1000000000000003E-3</v>
      </c>
      <c r="I59" s="19">
        <f t="shared" ref="I59:I70" si="12">E59</f>
        <v>-1</v>
      </c>
      <c r="J59" s="32">
        <f t="shared" ref="J59:J70" si="13">DATE(LEFT(D59,4),LEFT(RIGHT(D59,4),2),RIGHT(D59,2))</f>
        <v>42831</v>
      </c>
      <c r="K59" s="19">
        <f>F59</f>
        <v>-4.1000000000000003E-3</v>
      </c>
    </row>
    <row r="60" spans="1:11">
      <c r="C60" t="s">
        <v>57</v>
      </c>
      <c r="D60">
        <v>20170410</v>
      </c>
      <c r="E60">
        <v>3</v>
      </c>
      <c r="F60">
        <v>1.214E-2</v>
      </c>
      <c r="I60" s="19">
        <f t="shared" si="12"/>
        <v>3</v>
      </c>
      <c r="J60" s="32">
        <f t="shared" si="13"/>
        <v>42835</v>
      </c>
      <c r="K60" s="19">
        <f t="shared" ref="K60:K70" si="14">F60</f>
        <v>1.214E-2</v>
      </c>
    </row>
    <row r="61" spans="1:11">
      <c r="C61" t="s">
        <v>58</v>
      </c>
      <c r="D61">
        <v>20170418</v>
      </c>
      <c r="E61">
        <v>11</v>
      </c>
      <c r="F61">
        <v>3.3029999999999997E-2</v>
      </c>
      <c r="I61" s="19">
        <f t="shared" si="12"/>
        <v>11</v>
      </c>
      <c r="J61" s="32">
        <f t="shared" si="13"/>
        <v>42843</v>
      </c>
      <c r="K61" s="19">
        <f t="shared" si="14"/>
        <v>3.3029999999999997E-2</v>
      </c>
    </row>
    <row r="62" spans="1:11">
      <c r="C62" t="s">
        <v>59</v>
      </c>
      <c r="D62">
        <v>20170508</v>
      </c>
      <c r="E62">
        <v>31</v>
      </c>
      <c r="F62">
        <v>0.1139</v>
      </c>
      <c r="I62" s="19">
        <f t="shared" si="12"/>
        <v>31</v>
      </c>
      <c r="J62" s="32">
        <f t="shared" si="13"/>
        <v>42863</v>
      </c>
      <c r="K62" s="19">
        <f t="shared" si="14"/>
        <v>0.1139</v>
      </c>
    </row>
    <row r="63" spans="1:11">
      <c r="C63" t="s">
        <v>60</v>
      </c>
      <c r="D63">
        <v>20170707</v>
      </c>
      <c r="E63">
        <v>91</v>
      </c>
      <c r="F63">
        <v>0.29236000000000001</v>
      </c>
      <c r="I63" s="19">
        <f t="shared" si="12"/>
        <v>91</v>
      </c>
      <c r="J63" s="32">
        <f t="shared" si="13"/>
        <v>42923</v>
      </c>
      <c r="K63" s="19">
        <f t="shared" si="14"/>
        <v>0.29236000000000001</v>
      </c>
    </row>
    <row r="64" spans="1:11">
      <c r="C64" t="s">
        <v>61</v>
      </c>
      <c r="D64">
        <v>20171009</v>
      </c>
      <c r="E64">
        <v>185</v>
      </c>
      <c r="F64">
        <v>0.53173999999999999</v>
      </c>
      <c r="I64" s="19">
        <f t="shared" si="12"/>
        <v>185</v>
      </c>
      <c r="J64" s="32">
        <f t="shared" si="13"/>
        <v>43017</v>
      </c>
      <c r="K64" s="19">
        <f t="shared" si="14"/>
        <v>0.53173999999999999</v>
      </c>
    </row>
    <row r="65" spans="1:11">
      <c r="C65" t="s">
        <v>62</v>
      </c>
      <c r="D65">
        <v>20180409</v>
      </c>
      <c r="E65">
        <v>367</v>
      </c>
      <c r="F65">
        <v>0.87944</v>
      </c>
      <c r="I65" s="19">
        <f t="shared" si="12"/>
        <v>367</v>
      </c>
      <c r="J65" s="32">
        <f t="shared" si="13"/>
        <v>43199</v>
      </c>
      <c r="K65" s="19">
        <f t="shared" si="14"/>
        <v>0.87944</v>
      </c>
    </row>
    <row r="66" spans="1:11">
      <c r="C66" t="s">
        <v>63</v>
      </c>
      <c r="D66">
        <v>20181008</v>
      </c>
      <c r="E66">
        <v>549</v>
      </c>
      <c r="F66">
        <v>1.4012199999999999</v>
      </c>
      <c r="I66" s="19">
        <f t="shared" si="12"/>
        <v>549</v>
      </c>
      <c r="J66" s="32">
        <f t="shared" si="13"/>
        <v>43381</v>
      </c>
      <c r="K66" s="19">
        <f t="shared" si="14"/>
        <v>1.4012199999999999</v>
      </c>
    </row>
    <row r="67" spans="1:11">
      <c r="C67" t="s">
        <v>64</v>
      </c>
      <c r="D67">
        <v>20190408</v>
      </c>
      <c r="E67">
        <v>731</v>
      </c>
      <c r="F67">
        <v>1.9236500000000001</v>
      </c>
      <c r="I67" s="19">
        <f t="shared" si="12"/>
        <v>731</v>
      </c>
      <c r="J67" s="32">
        <f t="shared" si="13"/>
        <v>43563</v>
      </c>
      <c r="K67" s="19">
        <f t="shared" si="14"/>
        <v>1.9236500000000001</v>
      </c>
    </row>
    <row r="68" spans="1:11">
      <c r="C68" t="s">
        <v>65</v>
      </c>
      <c r="D68">
        <v>20200407</v>
      </c>
      <c r="E68">
        <v>1096</v>
      </c>
      <c r="F68">
        <v>2.8670399999999998</v>
      </c>
      <c r="I68" s="19">
        <f t="shared" si="12"/>
        <v>1096</v>
      </c>
      <c r="J68" s="32">
        <f t="shared" si="13"/>
        <v>43928</v>
      </c>
      <c r="K68" s="19">
        <f t="shared" si="14"/>
        <v>2.8670399999999998</v>
      </c>
    </row>
    <row r="69" spans="1:11">
      <c r="C69" t="s">
        <v>66</v>
      </c>
      <c r="D69">
        <v>20210407</v>
      </c>
      <c r="E69">
        <v>1461</v>
      </c>
      <c r="F69">
        <v>3.8348499999999999</v>
      </c>
      <c r="I69" s="19">
        <f t="shared" si="12"/>
        <v>1461</v>
      </c>
      <c r="J69" s="32">
        <f t="shared" si="13"/>
        <v>44293</v>
      </c>
      <c r="K69" s="19">
        <f t="shared" si="14"/>
        <v>3.8348499999999999</v>
      </c>
    </row>
    <row r="70" spans="1:11">
      <c r="C70" t="s">
        <v>67</v>
      </c>
      <c r="D70">
        <v>20220407</v>
      </c>
      <c r="E70">
        <v>1826</v>
      </c>
      <c r="F70">
        <v>4.80267</v>
      </c>
      <c r="I70" s="19">
        <f t="shared" si="12"/>
        <v>1826</v>
      </c>
      <c r="J70" s="32">
        <f t="shared" si="13"/>
        <v>44658</v>
      </c>
      <c r="K70" s="19">
        <f t="shared" si="14"/>
        <v>4.80267</v>
      </c>
    </row>
    <row r="71" spans="1:11">
      <c r="C71" t="s">
        <v>68</v>
      </c>
      <c r="D71">
        <v>20220407</v>
      </c>
      <c r="E71">
        <v>1826</v>
      </c>
      <c r="F71">
        <v>4.80267</v>
      </c>
    </row>
    <row r="72" spans="1:11">
      <c r="A72" t="s">
        <v>73</v>
      </c>
      <c r="B72">
        <v>20170405</v>
      </c>
      <c r="C72" t="s">
        <v>55</v>
      </c>
      <c r="D72">
        <v>20170405</v>
      </c>
      <c r="E72">
        <v>-2</v>
      </c>
      <c r="F72">
        <v>-2.9E-4</v>
      </c>
    </row>
    <row r="73" spans="1:11">
      <c r="C73" t="s">
        <v>56</v>
      </c>
      <c r="D73">
        <v>20170406</v>
      </c>
      <c r="E73">
        <v>-1</v>
      </c>
      <c r="F73">
        <v>-2.9999999999999997E-4</v>
      </c>
      <c r="I73" t="s">
        <v>51</v>
      </c>
      <c r="J73" t="s">
        <v>52</v>
      </c>
      <c r="K73" t="s">
        <v>53</v>
      </c>
    </row>
    <row r="74" spans="1:11">
      <c r="C74" t="s">
        <v>57</v>
      </c>
      <c r="D74">
        <v>20170410</v>
      </c>
      <c r="E74">
        <v>3</v>
      </c>
      <c r="F74">
        <v>8.9999999999999998E-4</v>
      </c>
      <c r="I74" s="19">
        <f t="shared" ref="I74:I84" si="15">E74</f>
        <v>3</v>
      </c>
      <c r="J74" s="32">
        <f t="shared" ref="J74:J84" si="16">DATE(LEFT(D74,4),LEFT(RIGHT(D74,4),2),RIGHT(D74,2))</f>
        <v>42835</v>
      </c>
      <c r="K74" s="19">
        <f>F74</f>
        <v>8.9999999999999998E-4</v>
      </c>
    </row>
    <row r="75" spans="1:11">
      <c r="C75" t="s">
        <v>58</v>
      </c>
      <c r="D75">
        <v>20170414</v>
      </c>
      <c r="E75">
        <v>7</v>
      </c>
      <c r="F75">
        <v>2.0799999999999998E-3</v>
      </c>
      <c r="I75" s="19">
        <f t="shared" si="15"/>
        <v>7</v>
      </c>
      <c r="J75" s="32">
        <f t="shared" si="16"/>
        <v>42839</v>
      </c>
      <c r="K75" s="19">
        <f t="shared" ref="K75:K84" si="17">F75</f>
        <v>2.0799999999999998E-3</v>
      </c>
    </row>
    <row r="76" spans="1:11">
      <c r="C76" t="s">
        <v>59</v>
      </c>
      <c r="D76">
        <v>20170508</v>
      </c>
      <c r="E76">
        <v>31</v>
      </c>
      <c r="F76">
        <v>9.2399999999999999E-3</v>
      </c>
      <c r="I76" s="19">
        <f t="shared" si="15"/>
        <v>31</v>
      </c>
      <c r="J76" s="32">
        <f t="shared" si="16"/>
        <v>42863</v>
      </c>
      <c r="K76" s="19">
        <f t="shared" si="17"/>
        <v>9.2399999999999999E-3</v>
      </c>
    </row>
    <row r="77" spans="1:11">
      <c r="C77" t="s">
        <v>60</v>
      </c>
      <c r="D77">
        <v>20170707</v>
      </c>
      <c r="E77">
        <v>91</v>
      </c>
      <c r="F77">
        <v>2.7289999999999998E-2</v>
      </c>
      <c r="I77" s="19">
        <f t="shared" si="15"/>
        <v>91</v>
      </c>
      <c r="J77" s="32">
        <f t="shared" si="16"/>
        <v>42923</v>
      </c>
      <c r="K77" s="19">
        <f t="shared" si="17"/>
        <v>2.7289999999999998E-2</v>
      </c>
    </row>
    <row r="78" spans="1:11">
      <c r="C78" t="s">
        <v>61</v>
      </c>
      <c r="D78">
        <v>20171010</v>
      </c>
      <c r="E78">
        <v>186</v>
      </c>
      <c r="F78">
        <v>5.7119999999999997E-2</v>
      </c>
      <c r="I78" s="19">
        <f t="shared" si="15"/>
        <v>186</v>
      </c>
      <c r="J78" s="32">
        <f t="shared" si="16"/>
        <v>43018</v>
      </c>
      <c r="K78" s="19">
        <f t="shared" si="17"/>
        <v>5.7119999999999997E-2</v>
      </c>
    </row>
    <row r="79" spans="1:11">
      <c r="C79" t="s">
        <v>62</v>
      </c>
      <c r="D79">
        <v>20180409</v>
      </c>
      <c r="E79">
        <v>367</v>
      </c>
      <c r="F79">
        <v>0.11885999999999999</v>
      </c>
      <c r="I79" s="19">
        <f t="shared" si="15"/>
        <v>367</v>
      </c>
      <c r="J79" s="32">
        <f t="shared" si="16"/>
        <v>43199</v>
      </c>
      <c r="K79" s="19">
        <f t="shared" si="17"/>
        <v>0.11885999999999999</v>
      </c>
    </row>
    <row r="80" spans="1:11">
      <c r="C80" t="s">
        <v>63</v>
      </c>
      <c r="D80">
        <v>20181009</v>
      </c>
      <c r="E80">
        <v>550</v>
      </c>
      <c r="F80">
        <v>0.1986</v>
      </c>
      <c r="I80" s="19">
        <f t="shared" si="15"/>
        <v>550</v>
      </c>
      <c r="J80" s="32">
        <f t="shared" si="16"/>
        <v>43382</v>
      </c>
      <c r="K80" s="19">
        <f t="shared" si="17"/>
        <v>0.1986</v>
      </c>
    </row>
    <row r="81" spans="1:11">
      <c r="C81" t="s">
        <v>64</v>
      </c>
      <c r="D81">
        <v>20190408</v>
      </c>
      <c r="E81">
        <v>731</v>
      </c>
      <c r="F81">
        <v>0.28587000000000001</v>
      </c>
      <c r="I81" s="19">
        <f t="shared" si="15"/>
        <v>731</v>
      </c>
      <c r="J81" s="32">
        <f t="shared" si="16"/>
        <v>43563</v>
      </c>
      <c r="K81" s="19">
        <f t="shared" si="17"/>
        <v>0.28587000000000001</v>
      </c>
    </row>
    <row r="82" spans="1:11">
      <c r="C82" t="s">
        <v>65</v>
      </c>
      <c r="D82">
        <v>20200407</v>
      </c>
      <c r="E82">
        <v>1096</v>
      </c>
      <c r="F82">
        <v>0.46936</v>
      </c>
      <c r="I82" s="19">
        <f t="shared" si="15"/>
        <v>1096</v>
      </c>
      <c r="J82" s="32">
        <f t="shared" si="16"/>
        <v>43928</v>
      </c>
      <c r="K82" s="19">
        <f t="shared" si="17"/>
        <v>0.46936</v>
      </c>
    </row>
    <row r="83" spans="1:11">
      <c r="C83" t="s">
        <v>66</v>
      </c>
      <c r="D83">
        <v>20210407</v>
      </c>
      <c r="E83">
        <v>1461</v>
      </c>
      <c r="F83">
        <v>0.67437999999999998</v>
      </c>
      <c r="I83" s="19">
        <f t="shared" si="15"/>
        <v>1461</v>
      </c>
      <c r="J83" s="32">
        <f t="shared" si="16"/>
        <v>44293</v>
      </c>
      <c r="K83" s="19">
        <f t="shared" si="17"/>
        <v>0.67437999999999998</v>
      </c>
    </row>
    <row r="84" spans="1:11">
      <c r="C84" t="s">
        <v>67</v>
      </c>
      <c r="D84">
        <v>20220407</v>
      </c>
      <c r="E84">
        <v>1826</v>
      </c>
      <c r="F84">
        <v>0.89436000000000004</v>
      </c>
      <c r="I84" s="19">
        <f t="shared" si="15"/>
        <v>1826</v>
      </c>
      <c r="J84" s="32">
        <f t="shared" si="16"/>
        <v>44658</v>
      </c>
      <c r="K84" s="19">
        <f t="shared" si="17"/>
        <v>0.89436000000000004</v>
      </c>
    </row>
    <row r="85" spans="1:11">
      <c r="C85" t="s">
        <v>68</v>
      </c>
      <c r="D85">
        <v>20220407</v>
      </c>
      <c r="E85">
        <v>1826</v>
      </c>
      <c r="F85">
        <v>0.89436000000000004</v>
      </c>
    </row>
    <row r="86" spans="1:11">
      <c r="A86" t="s">
        <v>74</v>
      </c>
      <c r="B86">
        <v>20170405</v>
      </c>
      <c r="C86" t="s">
        <v>55</v>
      </c>
      <c r="D86">
        <v>20170405</v>
      </c>
      <c r="E86">
        <v>-2</v>
      </c>
      <c r="F86">
        <v>-2.1000000000000001E-4</v>
      </c>
      <c r="I86" t="s">
        <v>51</v>
      </c>
      <c r="J86" t="s">
        <v>52</v>
      </c>
      <c r="K86" t="s">
        <v>53</v>
      </c>
    </row>
    <row r="87" spans="1:11">
      <c r="C87" t="s">
        <v>56</v>
      </c>
      <c r="D87">
        <v>20170406</v>
      </c>
      <c r="E87">
        <v>-1</v>
      </c>
      <c r="F87">
        <v>-1.9000000000000001E-4</v>
      </c>
      <c r="I87" s="19">
        <f t="shared" ref="I87:I97" si="18">E87</f>
        <v>-1</v>
      </c>
      <c r="J87" s="32">
        <f t="shared" ref="J87:J97" si="19">DATE(LEFT(D87,4),LEFT(RIGHT(D87,4),2),RIGHT(D87,2))</f>
        <v>42831</v>
      </c>
      <c r="K87" s="19">
        <f>F87</f>
        <v>-1.9000000000000001E-4</v>
      </c>
    </row>
    <row r="88" spans="1:11">
      <c r="C88" t="s">
        <v>57</v>
      </c>
      <c r="D88">
        <v>20170410</v>
      </c>
      <c r="E88">
        <v>3</v>
      </c>
      <c r="F88">
        <v>5.1999999999999995E-4</v>
      </c>
      <c r="I88" s="19">
        <f t="shared" si="18"/>
        <v>3</v>
      </c>
      <c r="J88" s="32">
        <f t="shared" si="19"/>
        <v>42835</v>
      </c>
      <c r="K88" s="19">
        <f t="shared" ref="K88:K97" si="20">F88</f>
        <v>5.1999999999999995E-4</v>
      </c>
    </row>
    <row r="89" spans="1:11">
      <c r="C89" t="s">
        <v>58</v>
      </c>
      <c r="D89">
        <v>20170417</v>
      </c>
      <c r="E89">
        <v>10</v>
      </c>
      <c r="F89">
        <v>1.25E-3</v>
      </c>
      <c r="I89" s="19">
        <f t="shared" si="18"/>
        <v>10</v>
      </c>
      <c r="J89" s="32">
        <f t="shared" si="19"/>
        <v>42842</v>
      </c>
      <c r="K89" s="19">
        <f t="shared" si="20"/>
        <v>1.25E-3</v>
      </c>
    </row>
    <row r="90" spans="1:11">
      <c r="C90" t="s">
        <v>59</v>
      </c>
      <c r="D90">
        <v>20170508</v>
      </c>
      <c r="E90">
        <v>31</v>
      </c>
      <c r="F90">
        <v>4.8399999999999997E-3</v>
      </c>
      <c r="I90" s="19">
        <f t="shared" si="18"/>
        <v>31</v>
      </c>
      <c r="J90" s="32">
        <f t="shared" si="19"/>
        <v>42863</v>
      </c>
      <c r="K90" s="19">
        <f t="shared" si="20"/>
        <v>4.8399999999999997E-3</v>
      </c>
    </row>
    <row r="91" spans="1:11">
      <c r="C91" t="s">
        <v>60</v>
      </c>
      <c r="D91">
        <v>20170707</v>
      </c>
      <c r="E91">
        <v>91</v>
      </c>
      <c r="F91">
        <v>1.244E-2</v>
      </c>
      <c r="I91" s="19">
        <f t="shared" si="18"/>
        <v>91</v>
      </c>
      <c r="J91" s="32">
        <f t="shared" si="19"/>
        <v>42923</v>
      </c>
      <c r="K91" s="19">
        <f t="shared" si="20"/>
        <v>1.244E-2</v>
      </c>
    </row>
    <row r="92" spans="1:11">
      <c r="C92" t="s">
        <v>61</v>
      </c>
      <c r="D92">
        <v>20171009</v>
      </c>
      <c r="E92">
        <v>185</v>
      </c>
      <c r="F92">
        <v>2.392E-2</v>
      </c>
      <c r="I92" s="19">
        <f t="shared" si="18"/>
        <v>185</v>
      </c>
      <c r="J92" s="32">
        <f t="shared" si="19"/>
        <v>43017</v>
      </c>
      <c r="K92" s="19">
        <f t="shared" si="20"/>
        <v>2.392E-2</v>
      </c>
    </row>
    <row r="93" spans="1:11">
      <c r="C93" t="s">
        <v>62</v>
      </c>
      <c r="D93">
        <v>20180409</v>
      </c>
      <c r="E93">
        <v>367</v>
      </c>
      <c r="F93">
        <v>4.4069999999999998E-2</v>
      </c>
      <c r="I93" s="19">
        <f t="shared" si="18"/>
        <v>367</v>
      </c>
      <c r="J93" s="32">
        <f t="shared" si="19"/>
        <v>43199</v>
      </c>
      <c r="K93" s="19">
        <f t="shared" si="20"/>
        <v>4.4069999999999998E-2</v>
      </c>
    </row>
    <row r="94" spans="1:11">
      <c r="C94" t="s">
        <v>63</v>
      </c>
      <c r="D94">
        <v>20181008</v>
      </c>
      <c r="E94">
        <v>549</v>
      </c>
      <c r="F94">
        <v>6.9510000000000002E-2</v>
      </c>
      <c r="I94" s="19">
        <f t="shared" si="18"/>
        <v>549</v>
      </c>
      <c r="J94" s="32">
        <f t="shared" si="19"/>
        <v>43381</v>
      </c>
      <c r="K94" s="19">
        <f t="shared" si="20"/>
        <v>6.9510000000000002E-2</v>
      </c>
    </row>
    <row r="95" spans="1:11">
      <c r="C95" t="s">
        <v>64</v>
      </c>
      <c r="D95">
        <v>20190408</v>
      </c>
      <c r="E95">
        <v>731</v>
      </c>
      <c r="F95">
        <v>0.10339</v>
      </c>
      <c r="I95" s="19">
        <f t="shared" si="18"/>
        <v>731</v>
      </c>
      <c r="J95" s="32">
        <f t="shared" si="19"/>
        <v>43563</v>
      </c>
      <c r="K95" s="19">
        <f t="shared" si="20"/>
        <v>0.10339</v>
      </c>
    </row>
    <row r="96" spans="1:11">
      <c r="C96" t="s">
        <v>65</v>
      </c>
      <c r="D96">
        <v>20200407</v>
      </c>
      <c r="E96">
        <v>1096</v>
      </c>
      <c r="F96">
        <v>0.15676000000000001</v>
      </c>
      <c r="I96" s="19">
        <f t="shared" si="18"/>
        <v>1096</v>
      </c>
      <c r="J96" s="32">
        <f t="shared" si="19"/>
        <v>43928</v>
      </c>
      <c r="K96" s="19">
        <f t="shared" si="20"/>
        <v>0.15676000000000001</v>
      </c>
    </row>
    <row r="97" spans="1:11">
      <c r="C97" t="s">
        <v>66</v>
      </c>
      <c r="D97">
        <v>20210407</v>
      </c>
      <c r="E97">
        <v>1461</v>
      </c>
      <c r="F97">
        <v>0.13569999999999999</v>
      </c>
      <c r="I97" s="19">
        <f t="shared" si="18"/>
        <v>1461</v>
      </c>
      <c r="J97" s="32">
        <f t="shared" si="19"/>
        <v>44293</v>
      </c>
      <c r="K97" s="19">
        <f t="shared" si="20"/>
        <v>0.13569999999999999</v>
      </c>
    </row>
    <row r="98" spans="1:11">
      <c r="C98" t="s">
        <v>67</v>
      </c>
      <c r="D98">
        <v>20220407</v>
      </c>
      <c r="E98">
        <v>1826</v>
      </c>
      <c r="F98">
        <v>0.17230000000000001</v>
      </c>
      <c r="I98" s="19">
        <f>E98</f>
        <v>1826</v>
      </c>
      <c r="J98" s="32">
        <f>DATE(LEFT(D98,4),LEFT(RIGHT(D98,4),2),RIGHT(D98,2))</f>
        <v>44658</v>
      </c>
      <c r="K98" s="19">
        <f>F98</f>
        <v>0.17230000000000001</v>
      </c>
    </row>
    <row r="99" spans="1:11">
      <c r="C99" t="s">
        <v>68</v>
      </c>
      <c r="D99">
        <v>20220407</v>
      </c>
      <c r="E99">
        <v>1826</v>
      </c>
      <c r="F99">
        <v>0.17230000000000001</v>
      </c>
    </row>
    <row r="100" spans="1:11">
      <c r="A100" t="s">
        <v>75</v>
      </c>
      <c r="B100">
        <v>20170405</v>
      </c>
      <c r="C100" t="s">
        <v>55</v>
      </c>
      <c r="D100">
        <v>20170405</v>
      </c>
      <c r="E100">
        <v>-5</v>
      </c>
      <c r="F100">
        <v>-4.0000000000000002E-4</v>
      </c>
      <c r="I100" t="s">
        <v>51</v>
      </c>
      <c r="J100" t="s">
        <v>52</v>
      </c>
      <c r="K100" t="s">
        <v>53</v>
      </c>
    </row>
    <row r="101" spans="1:11">
      <c r="C101" t="s">
        <v>56</v>
      </c>
      <c r="D101">
        <v>20170407</v>
      </c>
      <c r="E101">
        <v>-3</v>
      </c>
      <c r="F101">
        <v>2.0000000000000002E-5</v>
      </c>
      <c r="I101" s="19">
        <f t="shared" ref="I101:I112" si="21">E101</f>
        <v>-3</v>
      </c>
      <c r="J101" s="32">
        <f t="shared" ref="J101:J112" si="22">DATE(LEFT(D101,4),LEFT(RIGHT(D101,4),2),RIGHT(D101,2))</f>
        <v>42832</v>
      </c>
      <c r="K101" s="19">
        <f>F101</f>
        <v>2.0000000000000002E-5</v>
      </c>
    </row>
    <row r="102" spans="1:11">
      <c r="C102" t="s">
        <v>57</v>
      </c>
      <c r="D102">
        <v>20170411</v>
      </c>
      <c r="E102">
        <v>1</v>
      </c>
      <c r="F102">
        <v>1.6900000000000001E-3</v>
      </c>
      <c r="I102" s="19">
        <f t="shared" si="21"/>
        <v>1</v>
      </c>
      <c r="J102" s="32">
        <f t="shared" si="22"/>
        <v>42836</v>
      </c>
      <c r="K102" s="19">
        <f t="shared" ref="K102:K112" si="23">F102</f>
        <v>1.6900000000000001E-3</v>
      </c>
    </row>
    <row r="103" spans="1:11">
      <c r="C103" t="s">
        <v>58</v>
      </c>
      <c r="D103">
        <v>20170417</v>
      </c>
      <c r="E103">
        <v>7</v>
      </c>
      <c r="F103">
        <v>3.1199999999999999E-3</v>
      </c>
      <c r="I103" s="19">
        <f t="shared" si="21"/>
        <v>7</v>
      </c>
      <c r="J103" s="32">
        <f t="shared" si="22"/>
        <v>42842</v>
      </c>
      <c r="K103" s="19">
        <f t="shared" si="23"/>
        <v>3.1199999999999999E-3</v>
      </c>
    </row>
    <row r="104" spans="1:11">
      <c r="C104" t="s">
        <v>59</v>
      </c>
      <c r="D104">
        <v>20170511</v>
      </c>
      <c r="E104">
        <v>31</v>
      </c>
      <c r="F104">
        <v>1.367E-2</v>
      </c>
      <c r="I104" s="19">
        <f t="shared" si="21"/>
        <v>31</v>
      </c>
      <c r="J104" s="32">
        <f t="shared" si="22"/>
        <v>42866</v>
      </c>
      <c r="K104" s="19">
        <f t="shared" si="23"/>
        <v>1.367E-2</v>
      </c>
    </row>
    <row r="105" spans="1:11">
      <c r="C105" t="s">
        <v>60</v>
      </c>
      <c r="D105">
        <v>20170711</v>
      </c>
      <c r="E105">
        <v>92</v>
      </c>
      <c r="F105">
        <v>3.3230000000000003E-2</v>
      </c>
      <c r="I105" s="19">
        <f t="shared" si="21"/>
        <v>92</v>
      </c>
      <c r="J105" s="32">
        <f t="shared" si="22"/>
        <v>42927</v>
      </c>
      <c r="K105" s="19">
        <f t="shared" si="23"/>
        <v>3.3230000000000003E-2</v>
      </c>
    </row>
    <row r="106" spans="1:11">
      <c r="C106" t="s">
        <v>61</v>
      </c>
      <c r="D106">
        <v>20171010</v>
      </c>
      <c r="E106">
        <v>183</v>
      </c>
      <c r="F106">
        <v>6.0400000000000002E-2</v>
      </c>
      <c r="I106" s="19">
        <f t="shared" si="21"/>
        <v>183</v>
      </c>
      <c r="J106" s="32">
        <f t="shared" si="22"/>
        <v>43018</v>
      </c>
      <c r="K106" s="19">
        <f t="shared" si="23"/>
        <v>6.0400000000000002E-2</v>
      </c>
    </row>
    <row r="107" spans="1:11">
      <c r="C107" t="s">
        <v>62</v>
      </c>
      <c r="D107">
        <v>20180410</v>
      </c>
      <c r="E107">
        <v>365</v>
      </c>
      <c r="F107">
        <v>0.10306</v>
      </c>
      <c r="I107" s="19">
        <f t="shared" si="21"/>
        <v>365</v>
      </c>
      <c r="J107" s="32">
        <f t="shared" si="22"/>
        <v>43200</v>
      </c>
      <c r="K107" s="19">
        <f t="shared" si="23"/>
        <v>0.10306</v>
      </c>
    </row>
    <row r="108" spans="1:11">
      <c r="C108" t="s">
        <v>63</v>
      </c>
      <c r="D108">
        <v>20181010</v>
      </c>
      <c r="E108">
        <v>548</v>
      </c>
      <c r="F108">
        <v>0.20716999999999999</v>
      </c>
      <c r="I108" s="19">
        <f t="shared" si="21"/>
        <v>548</v>
      </c>
      <c r="J108" s="32">
        <f t="shared" si="22"/>
        <v>43383</v>
      </c>
      <c r="K108" s="19">
        <f t="shared" si="23"/>
        <v>0.20716999999999999</v>
      </c>
    </row>
    <row r="109" spans="1:11">
      <c r="C109" t="s">
        <v>64</v>
      </c>
      <c r="D109">
        <v>20190410</v>
      </c>
      <c r="E109">
        <v>730</v>
      </c>
      <c r="F109">
        <v>0.33599000000000001</v>
      </c>
      <c r="I109" s="19">
        <f t="shared" si="21"/>
        <v>730</v>
      </c>
      <c r="J109" s="32">
        <f t="shared" si="22"/>
        <v>43565</v>
      </c>
      <c r="K109" s="19">
        <f t="shared" si="23"/>
        <v>0.33599000000000001</v>
      </c>
    </row>
    <row r="110" spans="1:11">
      <c r="C110" t="s">
        <v>65</v>
      </c>
      <c r="D110">
        <v>20200410</v>
      </c>
      <c r="E110">
        <v>1096</v>
      </c>
      <c r="F110">
        <v>0.52898999999999996</v>
      </c>
      <c r="I110" s="19">
        <f t="shared" si="21"/>
        <v>1096</v>
      </c>
      <c r="J110" s="32">
        <f t="shared" si="22"/>
        <v>43931</v>
      </c>
      <c r="K110" s="19">
        <f t="shared" si="23"/>
        <v>0.52898999999999996</v>
      </c>
    </row>
    <row r="111" spans="1:11">
      <c r="C111" t="s">
        <v>66</v>
      </c>
      <c r="D111">
        <v>20210412</v>
      </c>
      <c r="E111">
        <v>1463</v>
      </c>
      <c r="F111">
        <v>0.81430999999999998</v>
      </c>
      <c r="I111" s="19">
        <f t="shared" si="21"/>
        <v>1463</v>
      </c>
      <c r="J111" s="32">
        <f t="shared" si="22"/>
        <v>44298</v>
      </c>
      <c r="K111" s="19">
        <f t="shared" si="23"/>
        <v>0.81430999999999998</v>
      </c>
    </row>
    <row r="112" spans="1:11">
      <c r="C112" t="s">
        <v>67</v>
      </c>
      <c r="D112">
        <v>20220411</v>
      </c>
      <c r="E112">
        <v>1827</v>
      </c>
      <c r="F112">
        <v>1.0588200000000001</v>
      </c>
      <c r="I112" s="19">
        <f t="shared" si="21"/>
        <v>1827</v>
      </c>
      <c r="J112" s="32">
        <f t="shared" si="22"/>
        <v>44662</v>
      </c>
      <c r="K112" s="19">
        <f t="shared" si="23"/>
        <v>1.0588200000000001</v>
      </c>
    </row>
    <row r="113" spans="1:11">
      <c r="C113" t="s">
        <v>68</v>
      </c>
      <c r="D113">
        <v>20220411</v>
      </c>
      <c r="E113">
        <v>1827</v>
      </c>
      <c r="F113">
        <v>1.0588200000000001</v>
      </c>
    </row>
    <row r="114" spans="1:11">
      <c r="A114" t="s">
        <v>76</v>
      </c>
      <c r="B114">
        <v>20170405</v>
      </c>
      <c r="C114" t="s">
        <v>55</v>
      </c>
      <c r="D114">
        <v>20170405</v>
      </c>
      <c r="E114">
        <v>-2</v>
      </c>
      <c r="F114">
        <v>-2.2000000000000001E-4</v>
      </c>
      <c r="I114" t="s">
        <v>51</v>
      </c>
      <c r="J114" t="s">
        <v>52</v>
      </c>
      <c r="K114" t="s">
        <v>53</v>
      </c>
    </row>
    <row r="115" spans="1:11">
      <c r="C115" t="s">
        <v>56</v>
      </c>
      <c r="D115">
        <v>20170406</v>
      </c>
      <c r="E115">
        <v>-1</v>
      </c>
      <c r="F115">
        <v>-2.1000000000000001E-4</v>
      </c>
      <c r="I115" s="19">
        <f t="shared" ref="I115:I126" si="24">E115</f>
        <v>-1</v>
      </c>
      <c r="J115" s="32">
        <f t="shared" ref="J115:J126" si="25">DATE(LEFT(D115,4),LEFT(RIGHT(D115,4),2),RIGHT(D115,2))</f>
        <v>42831</v>
      </c>
      <c r="K115" s="19">
        <f>F115</f>
        <v>-2.1000000000000001E-4</v>
      </c>
    </row>
    <row r="116" spans="1:11">
      <c r="C116" t="s">
        <v>57</v>
      </c>
      <c r="D116">
        <v>20170410</v>
      </c>
      <c r="E116">
        <v>3</v>
      </c>
      <c r="F116">
        <v>6.3000000000000003E-4</v>
      </c>
      <c r="I116" s="19">
        <f t="shared" si="24"/>
        <v>3</v>
      </c>
      <c r="J116" s="32">
        <f t="shared" si="25"/>
        <v>42835</v>
      </c>
      <c r="K116" s="19">
        <f t="shared" ref="K116:K126" si="26">F116</f>
        <v>6.3000000000000003E-4</v>
      </c>
    </row>
    <row r="117" spans="1:11">
      <c r="C117" t="s">
        <v>58</v>
      </c>
      <c r="D117">
        <v>20170414</v>
      </c>
      <c r="E117">
        <v>7</v>
      </c>
      <c r="F117">
        <v>1.4E-3</v>
      </c>
      <c r="I117" s="19">
        <f t="shared" si="24"/>
        <v>7</v>
      </c>
      <c r="J117" s="32">
        <f t="shared" si="25"/>
        <v>42839</v>
      </c>
      <c r="K117" s="19">
        <f t="shared" si="26"/>
        <v>1.4E-3</v>
      </c>
    </row>
    <row r="118" spans="1:11">
      <c r="C118" t="s">
        <v>59</v>
      </c>
      <c r="D118">
        <v>20170508</v>
      </c>
      <c r="E118">
        <v>31</v>
      </c>
      <c r="F118">
        <v>5.7499999999999999E-3</v>
      </c>
      <c r="I118" s="19">
        <f t="shared" si="24"/>
        <v>31</v>
      </c>
      <c r="J118" s="32">
        <f t="shared" si="25"/>
        <v>42863</v>
      </c>
      <c r="K118" s="19">
        <f t="shared" si="26"/>
        <v>5.7499999999999999E-3</v>
      </c>
    </row>
    <row r="119" spans="1:11">
      <c r="C119" t="s">
        <v>60</v>
      </c>
      <c r="D119">
        <v>20170707</v>
      </c>
      <c r="E119">
        <v>91</v>
      </c>
      <c r="F119">
        <v>1.4500000000000001E-2</v>
      </c>
      <c r="I119" s="19">
        <f t="shared" si="24"/>
        <v>91</v>
      </c>
      <c r="J119" s="32">
        <f t="shared" si="25"/>
        <v>42923</v>
      </c>
      <c r="K119" s="19">
        <f t="shared" si="26"/>
        <v>1.4500000000000001E-2</v>
      </c>
    </row>
    <row r="120" spans="1:11">
      <c r="C120" t="s">
        <v>61</v>
      </c>
      <c r="D120">
        <v>20171010</v>
      </c>
      <c r="E120">
        <v>186</v>
      </c>
      <c r="F120">
        <v>2.75E-2</v>
      </c>
      <c r="I120" s="19">
        <f t="shared" si="24"/>
        <v>186</v>
      </c>
      <c r="J120" s="32">
        <f t="shared" si="25"/>
        <v>43018</v>
      </c>
      <c r="K120" s="19">
        <f t="shared" si="26"/>
        <v>2.75E-2</v>
      </c>
    </row>
    <row r="121" spans="1:11">
      <c r="C121" t="s">
        <v>62</v>
      </c>
      <c r="D121">
        <v>20180409</v>
      </c>
      <c r="E121">
        <v>367</v>
      </c>
      <c r="F121">
        <v>4.9500000000000002E-2</v>
      </c>
      <c r="I121" s="19">
        <f t="shared" si="24"/>
        <v>367</v>
      </c>
      <c r="J121" s="32">
        <f t="shared" si="25"/>
        <v>43199</v>
      </c>
      <c r="K121" s="19">
        <f t="shared" si="26"/>
        <v>4.9500000000000002E-2</v>
      </c>
    </row>
    <row r="122" spans="1:11">
      <c r="C122" t="s">
        <v>63</v>
      </c>
      <c r="D122">
        <v>20181009</v>
      </c>
      <c r="E122">
        <v>550</v>
      </c>
      <c r="F122">
        <v>8.4750000000000006E-2</v>
      </c>
      <c r="I122" s="19">
        <f t="shared" si="24"/>
        <v>550</v>
      </c>
      <c r="J122" s="32">
        <f t="shared" si="25"/>
        <v>43382</v>
      </c>
      <c r="K122" s="19">
        <f t="shared" si="26"/>
        <v>8.4750000000000006E-2</v>
      </c>
    </row>
    <row r="123" spans="1:11">
      <c r="C123" t="s">
        <v>64</v>
      </c>
      <c r="D123">
        <v>20190408</v>
      </c>
      <c r="E123">
        <v>731</v>
      </c>
      <c r="F123">
        <v>0.12</v>
      </c>
      <c r="I123" s="19">
        <f t="shared" si="24"/>
        <v>731</v>
      </c>
      <c r="J123" s="32">
        <f t="shared" si="25"/>
        <v>43563</v>
      </c>
      <c r="K123" s="19">
        <f t="shared" si="26"/>
        <v>0.12</v>
      </c>
    </row>
    <row r="124" spans="1:11">
      <c r="C124" t="s">
        <v>65</v>
      </c>
      <c r="D124">
        <v>20200407</v>
      </c>
      <c r="E124">
        <v>1096</v>
      </c>
      <c r="F124">
        <v>0.18281</v>
      </c>
      <c r="I124" s="19">
        <f t="shared" si="24"/>
        <v>1096</v>
      </c>
      <c r="J124" s="32">
        <f t="shared" si="25"/>
        <v>43928</v>
      </c>
      <c r="K124" s="19">
        <f t="shared" si="26"/>
        <v>0.18281</v>
      </c>
    </row>
    <row r="125" spans="1:11">
      <c r="C125" t="s">
        <v>66</v>
      </c>
      <c r="D125">
        <v>20210407</v>
      </c>
      <c r="E125">
        <v>1461</v>
      </c>
      <c r="F125">
        <v>0.25108999999999998</v>
      </c>
      <c r="I125" s="19">
        <f t="shared" si="24"/>
        <v>1461</v>
      </c>
      <c r="J125" s="32">
        <f t="shared" si="25"/>
        <v>44293</v>
      </c>
      <c r="K125" s="19">
        <f t="shared" si="26"/>
        <v>0.25108999999999998</v>
      </c>
    </row>
    <row r="126" spans="1:11">
      <c r="C126" t="s">
        <v>67</v>
      </c>
      <c r="D126">
        <v>20220407</v>
      </c>
      <c r="E126">
        <v>1826</v>
      </c>
      <c r="F126">
        <v>0.32063000000000003</v>
      </c>
      <c r="I126" s="19">
        <f t="shared" si="24"/>
        <v>1826</v>
      </c>
      <c r="J126" s="32">
        <f t="shared" si="25"/>
        <v>44658</v>
      </c>
      <c r="K126" s="19">
        <f t="shared" si="26"/>
        <v>0.32063000000000003</v>
      </c>
    </row>
    <row r="127" spans="1:11">
      <c r="C127" t="s">
        <v>68</v>
      </c>
      <c r="D127">
        <v>20220407</v>
      </c>
      <c r="E127">
        <v>1826</v>
      </c>
      <c r="F127">
        <v>0.32063000000000003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H36"/>
  <sheetViews>
    <sheetView workbookViewId="0">
      <selection activeCell="K52" sqref="K52"/>
    </sheetView>
  </sheetViews>
  <sheetFormatPr defaultRowHeight="15"/>
  <sheetData>
    <row r="3" spans="1:8">
      <c r="A3" s="1" t="s">
        <v>566</v>
      </c>
      <c r="B3" s="1" t="s">
        <v>564</v>
      </c>
      <c r="C3" s="1"/>
      <c r="D3" s="1"/>
      <c r="E3" s="1"/>
      <c r="F3" s="1"/>
      <c r="G3" s="1"/>
      <c r="H3" s="1"/>
    </row>
    <row r="4" spans="1:8">
      <c r="A4" s="1"/>
      <c r="B4" s="1" t="s">
        <v>565</v>
      </c>
      <c r="C4" s="1"/>
      <c r="D4" s="1"/>
      <c r="E4" s="1"/>
      <c r="F4" s="1"/>
      <c r="G4" s="1"/>
      <c r="H4" s="1"/>
    </row>
    <row r="5" spans="1:8">
      <c r="A5" s="1"/>
      <c r="B5" s="1"/>
      <c r="C5" s="1"/>
      <c r="D5" s="1"/>
      <c r="E5" s="1"/>
      <c r="F5" s="1"/>
      <c r="G5" s="1"/>
      <c r="H5" s="1"/>
    </row>
    <row r="6" spans="1:8">
      <c r="A6" s="1" t="s">
        <v>82</v>
      </c>
      <c r="B6" s="1" t="s">
        <v>567</v>
      </c>
      <c r="C6" s="1"/>
      <c r="D6" s="1"/>
      <c r="E6" s="1"/>
      <c r="F6" s="1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>
      <c r="A8" s="1"/>
      <c r="B8" s="1"/>
      <c r="C8" s="1"/>
      <c r="D8" s="1"/>
      <c r="E8" s="1"/>
      <c r="F8" s="1"/>
      <c r="G8" s="1"/>
      <c r="H8" s="1"/>
    </row>
    <row r="9" spans="1:8">
      <c r="A9" s="1" t="s">
        <v>83</v>
      </c>
      <c r="B9" s="1" t="s">
        <v>568</v>
      </c>
      <c r="C9" s="1"/>
      <c r="D9" s="1"/>
      <c r="E9" s="1"/>
      <c r="F9" s="1"/>
      <c r="G9" s="1"/>
      <c r="H9" s="1"/>
    </row>
    <row r="10" spans="1:8">
      <c r="A10" s="1"/>
      <c r="B10" s="1" t="s">
        <v>569</v>
      </c>
      <c r="C10" s="1"/>
      <c r="D10" s="1"/>
      <c r="E10" s="1"/>
      <c r="F10" s="1"/>
      <c r="G10" s="1"/>
      <c r="H10" s="1"/>
    </row>
    <row r="11" spans="1:8">
      <c r="A11" s="1"/>
      <c r="B11" s="1"/>
      <c r="C11" s="1"/>
      <c r="D11" s="1"/>
      <c r="E11" s="1"/>
      <c r="F11" s="1"/>
      <c r="G11" s="1"/>
      <c r="H11" s="1"/>
    </row>
    <row r="12" spans="1:8">
      <c r="A12" s="65" t="s">
        <v>84</v>
      </c>
      <c r="B12" s="1" t="s">
        <v>570</v>
      </c>
      <c r="C12" s="1"/>
      <c r="D12" s="1"/>
      <c r="E12" s="1"/>
      <c r="F12" s="1"/>
      <c r="G12" s="1"/>
      <c r="H12" s="1"/>
    </row>
    <row r="13" spans="1:8">
      <c r="A13" s="1"/>
      <c r="B13" s="1"/>
      <c r="C13" s="1"/>
      <c r="D13" s="1"/>
      <c r="E13" s="1"/>
      <c r="F13" s="1"/>
      <c r="G13" s="1"/>
      <c r="H13" s="1"/>
    </row>
    <row r="14" spans="1:8">
      <c r="A14" s="1"/>
      <c r="B14" s="1"/>
      <c r="C14" s="1"/>
      <c r="D14" s="1"/>
      <c r="E14" s="1"/>
      <c r="F14" s="1"/>
      <c r="G14" s="1"/>
      <c r="H14" s="1"/>
    </row>
    <row r="15" spans="1:8">
      <c r="A15" s="1" t="s">
        <v>571</v>
      </c>
      <c r="B15" s="1" t="s">
        <v>572</v>
      </c>
      <c r="C15" s="1"/>
      <c r="D15" s="1"/>
      <c r="E15" s="1"/>
      <c r="F15" s="1"/>
      <c r="G15" s="1"/>
      <c r="H15" s="1"/>
    </row>
    <row r="16" spans="1:8">
      <c r="A16" s="1"/>
      <c r="B16" s="1" t="s">
        <v>573</v>
      </c>
      <c r="C16" s="1"/>
      <c r="D16" s="1"/>
      <c r="E16" s="1"/>
      <c r="F16" s="1"/>
      <c r="G16" s="1"/>
      <c r="H16" s="1"/>
    </row>
    <row r="17" spans="1:8">
      <c r="A17" s="1"/>
      <c r="B17" s="1"/>
      <c r="C17" s="1"/>
      <c r="D17" s="1"/>
      <c r="E17" s="1"/>
      <c r="F17" s="1"/>
      <c r="G17" s="1"/>
      <c r="H17" s="1"/>
    </row>
    <row r="18" spans="1:8">
      <c r="A18" s="65" t="s">
        <v>84</v>
      </c>
      <c r="B18" s="1" t="s">
        <v>574</v>
      </c>
      <c r="C18" s="1"/>
      <c r="D18" s="1"/>
      <c r="E18" s="1"/>
      <c r="F18" s="1"/>
      <c r="G18" s="1"/>
      <c r="H18" s="1"/>
    </row>
    <row r="19" spans="1:8">
      <c r="A19" s="1"/>
      <c r="B19" s="1" t="s">
        <v>575</v>
      </c>
      <c r="C19" s="1"/>
      <c r="D19" s="1"/>
      <c r="E19" s="1"/>
      <c r="F19" s="1"/>
      <c r="G19" s="1"/>
      <c r="H19" s="1"/>
    </row>
    <row r="20" spans="1:8">
      <c r="A20" s="1"/>
      <c r="B20" s="1"/>
      <c r="C20" s="1"/>
      <c r="D20" s="1"/>
      <c r="E20" s="1"/>
      <c r="F20" s="1"/>
      <c r="G20" s="1"/>
      <c r="H20" s="1"/>
    </row>
    <row r="21" spans="1:8">
      <c r="A21" s="1" t="s">
        <v>576</v>
      </c>
      <c r="B21" s="1" t="s">
        <v>577</v>
      </c>
      <c r="C21" s="1"/>
      <c r="D21" s="1"/>
      <c r="E21" s="1"/>
      <c r="F21" s="1"/>
      <c r="G21" s="1"/>
      <c r="H21" s="1"/>
    </row>
    <row r="22" spans="1:8">
      <c r="A22" s="1"/>
      <c r="B22" s="1" t="s">
        <v>578</v>
      </c>
      <c r="C22" s="1"/>
      <c r="D22" s="1"/>
      <c r="E22" s="1"/>
      <c r="F22" s="1"/>
      <c r="G22" s="1"/>
      <c r="H22" s="1"/>
    </row>
    <row r="23" spans="1:8">
      <c r="A23" s="1"/>
      <c r="B23" s="1"/>
      <c r="C23" s="1"/>
      <c r="D23" s="1"/>
      <c r="E23" s="1"/>
      <c r="F23" s="1"/>
      <c r="G23" s="1"/>
      <c r="H23" s="1"/>
    </row>
    <row r="24" spans="1:8">
      <c r="A24" s="1" t="s">
        <v>579</v>
      </c>
      <c r="B24" s="1" t="s">
        <v>580</v>
      </c>
      <c r="C24" s="1"/>
      <c r="D24" s="1"/>
      <c r="E24" s="1"/>
      <c r="F24" s="1"/>
      <c r="G24" s="1"/>
      <c r="H24" s="1"/>
    </row>
    <row r="25" spans="1:8">
      <c r="A25" s="1"/>
      <c r="B25" s="1" t="s">
        <v>581</v>
      </c>
      <c r="C25" s="1"/>
      <c r="D25" s="1"/>
      <c r="E25" s="1"/>
      <c r="F25" s="1"/>
      <c r="G25" s="1"/>
      <c r="H25" s="1"/>
    </row>
    <row r="26" spans="1:8">
      <c r="A26" s="1"/>
      <c r="B26" s="1"/>
      <c r="C26" s="1"/>
      <c r="D26" s="1"/>
      <c r="E26" s="1"/>
      <c r="F26" s="1"/>
      <c r="G26" s="1"/>
      <c r="H26" s="1"/>
    </row>
    <row r="27" spans="1:8">
      <c r="A27" s="1" t="s">
        <v>582</v>
      </c>
      <c r="B27" s="1" t="s">
        <v>583</v>
      </c>
      <c r="C27" s="1"/>
      <c r="D27" s="1"/>
      <c r="E27" s="1"/>
      <c r="F27" s="1"/>
      <c r="G27" s="1"/>
      <c r="H27" s="1"/>
    </row>
    <row r="28" spans="1:8">
      <c r="A28" s="1" t="s">
        <v>584</v>
      </c>
      <c r="B28" s="1"/>
      <c r="C28" s="1"/>
      <c r="D28" s="1"/>
      <c r="E28" s="1"/>
      <c r="F28" s="1"/>
      <c r="G28" s="1"/>
      <c r="H28" s="1"/>
    </row>
    <row r="29" spans="1:8">
      <c r="A29" s="1"/>
      <c r="B29" s="1"/>
      <c r="C29" s="1"/>
      <c r="D29" s="1"/>
      <c r="E29" s="1"/>
      <c r="F29" s="1"/>
      <c r="G29" s="1"/>
      <c r="H29" s="1"/>
    </row>
    <row r="30" spans="1:8">
      <c r="A30" s="1"/>
      <c r="B30" s="1"/>
      <c r="C30" s="1"/>
      <c r="D30" s="1"/>
      <c r="E30" s="1"/>
      <c r="F30" s="1"/>
      <c r="G30" s="1"/>
      <c r="H30" s="1"/>
    </row>
    <row r="31" spans="1:8">
      <c r="A31" s="1" t="s">
        <v>585</v>
      </c>
      <c r="B31" s="1" t="s">
        <v>586</v>
      </c>
      <c r="C31" s="1"/>
      <c r="D31" s="1"/>
      <c r="E31" s="1"/>
      <c r="F31" s="1"/>
      <c r="G31" s="1"/>
      <c r="H31" s="1"/>
    </row>
    <row r="32" spans="1:8">
      <c r="A32" s="1"/>
      <c r="B32" s="1"/>
      <c r="C32" s="1"/>
      <c r="D32" s="1"/>
      <c r="E32" s="1"/>
      <c r="F32" s="1"/>
      <c r="G32" s="1"/>
      <c r="H32" s="1"/>
    </row>
    <row r="33" spans="1:8">
      <c r="A33" s="1" t="s">
        <v>86</v>
      </c>
      <c r="B33" s="1" t="s">
        <v>587</v>
      </c>
      <c r="C33" s="1"/>
      <c r="D33" s="1"/>
      <c r="E33" s="1"/>
      <c r="F33" s="1"/>
      <c r="G33" s="1"/>
      <c r="H33" s="1"/>
    </row>
    <row r="34" spans="1:8">
      <c r="A34" s="1"/>
      <c r="B34" s="1"/>
      <c r="C34" s="1"/>
      <c r="D34" s="1"/>
      <c r="E34" s="1"/>
      <c r="F34" s="1"/>
      <c r="G34" s="1"/>
      <c r="H34" s="1"/>
    </row>
    <row r="35" spans="1:8">
      <c r="A35" s="1" t="s">
        <v>87</v>
      </c>
      <c r="B35" s="1" t="s">
        <v>588</v>
      </c>
      <c r="C35" s="1"/>
      <c r="D35" s="1"/>
      <c r="E35" s="1"/>
      <c r="F35" s="1"/>
      <c r="G35" s="1"/>
      <c r="H35" s="1"/>
    </row>
    <row r="36" spans="1:8">
      <c r="A36" s="1" t="s">
        <v>589</v>
      </c>
      <c r="B36" s="1"/>
      <c r="C36" s="1"/>
      <c r="D36" s="1"/>
      <c r="E36" s="1"/>
      <c r="F36" s="1"/>
      <c r="G36" s="1"/>
      <c r="H36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N3:AA54"/>
  <sheetViews>
    <sheetView zoomScale="70" zoomScaleNormal="70" workbookViewId="0">
      <selection activeCell="E15" sqref="E15"/>
    </sheetView>
  </sheetViews>
  <sheetFormatPr defaultRowHeight="15"/>
  <cols>
    <col min="21" max="21" width="10.42578125" customWidth="1"/>
  </cols>
  <sheetData>
    <row r="3" spans="14:27"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</row>
    <row r="4" spans="14:27" ht="25.5">
      <c r="N4" s="256"/>
      <c r="O4" s="256"/>
      <c r="P4" s="256"/>
      <c r="Q4" s="339" t="s">
        <v>689</v>
      </c>
      <c r="R4" s="339"/>
      <c r="S4" s="339"/>
      <c r="T4" s="339"/>
      <c r="U4" s="256"/>
      <c r="V4" s="256"/>
      <c r="W4" s="256"/>
      <c r="X4" s="256"/>
      <c r="Y4" s="256"/>
      <c r="Z4" s="256"/>
      <c r="AA4" s="256"/>
    </row>
    <row r="5" spans="14:27"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</row>
    <row r="6" spans="14:27">
      <c r="N6" s="256"/>
      <c r="O6" s="256"/>
      <c r="P6" s="256"/>
      <c r="Q6" s="256"/>
      <c r="R6" s="256"/>
      <c r="S6" s="256"/>
      <c r="T6" s="256"/>
      <c r="U6" s="256"/>
      <c r="V6" s="256"/>
      <c r="W6" s="256"/>
      <c r="X6" s="256"/>
      <c r="Y6" s="256"/>
      <c r="Z6" s="256"/>
      <c r="AA6" s="256"/>
    </row>
    <row r="7" spans="14:27">
      <c r="N7" s="256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  <c r="AA7" s="256"/>
    </row>
    <row r="8" spans="14:27">
      <c r="N8" s="256"/>
      <c r="O8" s="256"/>
      <c r="P8" s="256"/>
      <c r="Q8" s="256"/>
      <c r="R8" s="256"/>
      <c r="S8" s="256"/>
      <c r="T8" s="256"/>
      <c r="U8" s="256"/>
      <c r="V8" s="256"/>
      <c r="W8" s="256"/>
      <c r="X8" s="256"/>
      <c r="Y8" s="256"/>
      <c r="Z8" s="256"/>
      <c r="AA8" s="256"/>
    </row>
    <row r="9" spans="14:27">
      <c r="N9" s="256"/>
      <c r="O9" s="256"/>
      <c r="P9" s="256"/>
      <c r="Q9" s="256"/>
      <c r="R9" s="256"/>
      <c r="S9" s="256"/>
      <c r="T9" s="256"/>
      <c r="U9" s="256"/>
      <c r="V9" s="256"/>
      <c r="W9" s="256"/>
      <c r="X9" s="256"/>
      <c r="Y9" s="256"/>
      <c r="Z9" s="256"/>
      <c r="AA9" s="256"/>
    </row>
    <row r="10" spans="14:27">
      <c r="N10" s="256"/>
      <c r="O10" s="256"/>
      <c r="P10" s="256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</row>
    <row r="11" spans="14:27"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</row>
    <row r="12" spans="14:27"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  <c r="AA12" s="256"/>
    </row>
    <row r="13" spans="14:27"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</row>
    <row r="14" spans="14:27"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</row>
    <row r="15" spans="14:27"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</row>
    <row r="16" spans="14:27">
      <c r="N16" s="256"/>
      <c r="O16" s="256"/>
      <c r="P16" s="256"/>
      <c r="Q16" s="256"/>
      <c r="R16" s="256"/>
      <c r="S16" s="256"/>
      <c r="T16" s="256"/>
      <c r="U16" s="256"/>
      <c r="V16" s="256"/>
      <c r="W16" s="256"/>
      <c r="X16" s="256"/>
      <c r="Y16" s="256"/>
      <c r="Z16" s="256"/>
      <c r="AA16" s="256"/>
    </row>
    <row r="17" spans="14:27" ht="25.5">
      <c r="N17" s="256"/>
      <c r="O17" s="256"/>
      <c r="P17" s="256"/>
      <c r="Q17" s="256"/>
      <c r="R17" s="256"/>
      <c r="S17" s="256"/>
      <c r="T17" s="256"/>
      <c r="U17" s="256"/>
      <c r="V17" s="256"/>
      <c r="W17" s="256"/>
      <c r="X17" s="256"/>
      <c r="Y17" s="256"/>
      <c r="Z17" s="271"/>
      <c r="AA17" s="256"/>
    </row>
    <row r="18" spans="14:27"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  <c r="AA18" s="256"/>
    </row>
    <row r="19" spans="14:27"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A19" s="256"/>
    </row>
    <row r="20" spans="14:27"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  <c r="AA20" s="256"/>
    </row>
    <row r="21" spans="14:27"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  <c r="AA21" s="256"/>
    </row>
    <row r="22" spans="14:27"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  <c r="AA22" s="256"/>
    </row>
    <row r="23" spans="14:27"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  <c r="AA23" s="256"/>
    </row>
    <row r="24" spans="14:27">
      <c r="N24" s="341" t="s">
        <v>700</v>
      </c>
      <c r="O24" s="341"/>
      <c r="P24" s="34"/>
      <c r="Q24" s="34"/>
      <c r="R24" s="341" t="s">
        <v>701</v>
      </c>
      <c r="S24" s="34"/>
      <c r="T24" s="34"/>
      <c r="U24" s="341" t="s">
        <v>702</v>
      </c>
      <c r="V24" s="34"/>
      <c r="W24" s="34"/>
      <c r="X24" s="34"/>
      <c r="Y24" s="34"/>
      <c r="Z24" s="34"/>
      <c r="AA24" s="34"/>
    </row>
    <row r="25" spans="14:27">
      <c r="N25" s="341"/>
      <c r="O25" s="341"/>
      <c r="P25" s="34"/>
      <c r="Q25" s="34"/>
      <c r="R25" s="341"/>
      <c r="S25" s="34"/>
      <c r="T25" s="34"/>
      <c r="U25" s="341"/>
      <c r="V25" s="34"/>
      <c r="W25" s="34"/>
      <c r="X25" s="34"/>
      <c r="Y25" s="34"/>
      <c r="Z25" s="34"/>
      <c r="AA25" s="34"/>
    </row>
    <row r="26" spans="14:27"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4:27"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4:27"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4:27" ht="15" customHeight="1"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4:27" ht="15" customHeight="1"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4:27"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4:27"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4:27"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4:27"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4:27"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4:27"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4:27"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</row>
    <row r="38" spans="14:27">
      <c r="N38" s="34"/>
      <c r="O38" s="34"/>
      <c r="P38" s="34"/>
      <c r="Q38" s="34"/>
      <c r="R38" s="34"/>
      <c r="S38" s="34"/>
      <c r="U38" s="34"/>
      <c r="V38" s="34"/>
      <c r="W38" s="34"/>
      <c r="X38" s="34"/>
      <c r="Y38" s="34"/>
      <c r="Z38" s="34"/>
      <c r="AA38" s="34"/>
    </row>
    <row r="39" spans="14:27" ht="15" customHeight="1">
      <c r="N39" s="34"/>
      <c r="O39" s="342" t="s">
        <v>703</v>
      </c>
      <c r="P39" s="342"/>
      <c r="Q39" s="342"/>
      <c r="R39" s="34"/>
      <c r="S39" s="34"/>
      <c r="T39" s="34"/>
      <c r="U39" s="34"/>
      <c r="V39" s="34"/>
      <c r="W39" s="34"/>
      <c r="X39" s="34"/>
      <c r="Y39" s="34"/>
      <c r="Z39" s="34"/>
      <c r="AA39" s="34"/>
    </row>
    <row r="40" spans="14:27">
      <c r="N40" s="34"/>
      <c r="O40" s="342"/>
      <c r="P40" s="342"/>
      <c r="Q40" s="342"/>
      <c r="R40" s="34"/>
      <c r="S40" s="34"/>
      <c r="T40" s="34"/>
      <c r="U40" s="34"/>
      <c r="V40" s="34"/>
      <c r="W40" s="34"/>
      <c r="X40" s="34"/>
      <c r="Y40" s="34"/>
      <c r="Z40" s="34"/>
      <c r="AA40" s="34"/>
    </row>
    <row r="41" spans="14:27" ht="25.5">
      <c r="N41" s="34"/>
      <c r="O41" s="342"/>
      <c r="P41" s="342"/>
      <c r="Q41" s="342"/>
      <c r="R41" s="34"/>
      <c r="S41" s="34"/>
      <c r="T41" s="272" t="s">
        <v>699</v>
      </c>
      <c r="U41" s="34"/>
      <c r="V41" s="34"/>
      <c r="W41" s="34"/>
      <c r="X41" s="34"/>
      <c r="Y41" s="34"/>
      <c r="Z41" s="34"/>
      <c r="AA41" s="34"/>
    </row>
    <row r="42" spans="14:27"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</row>
    <row r="43" spans="14:27"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</row>
    <row r="44" spans="14:27"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</row>
    <row r="45" spans="14:27"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</row>
    <row r="46" spans="14:27"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</row>
    <row r="47" spans="14:27"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</row>
    <row r="48" spans="14:27"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</row>
    <row r="49" spans="14:27"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</row>
    <row r="50" spans="14:27"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</row>
    <row r="51" spans="14:27" ht="25.5">
      <c r="N51" s="257"/>
      <c r="O51" s="257"/>
      <c r="P51" s="257"/>
      <c r="Q51" s="257"/>
      <c r="R51" s="257"/>
      <c r="S51" s="257"/>
      <c r="T51" s="257"/>
      <c r="U51" s="340" t="s">
        <v>690</v>
      </c>
      <c r="V51" s="340"/>
      <c r="W51" s="340"/>
      <c r="X51" s="340"/>
      <c r="Y51" s="340"/>
      <c r="Z51" s="257"/>
      <c r="AA51" s="257"/>
    </row>
    <row r="52" spans="14:27"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</row>
    <row r="53" spans="14:27"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</row>
    <row r="54" spans="14:27"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</row>
  </sheetData>
  <mergeCells count="6">
    <mergeCell ref="Q4:T4"/>
    <mergeCell ref="U51:Y51"/>
    <mergeCell ref="N24:O25"/>
    <mergeCell ref="R24:R25"/>
    <mergeCell ref="U24:U25"/>
    <mergeCell ref="O39:Q41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8"/>
  <sheetViews>
    <sheetView workbookViewId="0"/>
  </sheetViews>
  <sheetFormatPr defaultRowHeight="15"/>
  <cols>
    <col min="1" max="1" width="13.28515625" bestFit="1" customWidth="1"/>
  </cols>
  <sheetData>
    <row r="1" spans="1:1">
      <c r="A1" t="s">
        <v>694</v>
      </c>
    </row>
    <row r="2" spans="1:1">
      <c r="A2" t="s">
        <v>691</v>
      </c>
    </row>
    <row r="3" spans="1:1">
      <c r="A3" t="s">
        <v>692</v>
      </c>
    </row>
    <row r="4" spans="1:1">
      <c r="A4" t="s">
        <v>693</v>
      </c>
    </row>
    <row r="5" spans="1:1">
      <c r="A5" t="s">
        <v>695</v>
      </c>
    </row>
    <row r="6" spans="1:1">
      <c r="A6" t="s">
        <v>696</v>
      </c>
    </row>
    <row r="7" spans="1:1">
      <c r="A7" t="s">
        <v>697</v>
      </c>
    </row>
    <row r="8" spans="1:1">
      <c r="A8" t="s">
        <v>698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Proposed Flow</vt:lpstr>
      <vt:lpstr>BPV</vt:lpstr>
      <vt:lpstr>GRID</vt:lpstr>
      <vt:lpstr>Template</vt:lpstr>
      <vt:lpstr>Consolidated Dummy Deals (RMD)</vt:lpstr>
      <vt:lpstr>Sheet1</vt:lpstr>
      <vt:lpstr>Production BOENPV</vt:lpstr>
      <vt:lpstr>Fx10bpv (Simulation)</vt:lpstr>
      <vt:lpstr>Forward Rates</vt:lpstr>
      <vt:lpstr>Sheet10</vt:lpstr>
      <vt:lpstr>Sheet2</vt:lpstr>
      <vt:lpstr>PastSwapDepoID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Azri Mohamad Jasni</dc:creator>
  <cp:lastModifiedBy>MHBK</cp:lastModifiedBy>
  <dcterms:created xsi:type="dcterms:W3CDTF">2017-04-06T03:49:02Z</dcterms:created>
  <dcterms:modified xsi:type="dcterms:W3CDTF">2017-11-07T05:13:37Z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167c033f-075d-4551-9217-d4889f6d795d</vt:lpwstr>
  </property>
</Properties>
</file>