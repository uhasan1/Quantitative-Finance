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45" windowWidth="11835" windowHeight="8235" activeTab="4"/>
  </bookViews>
  <sheets>
    <sheet name="中债登下载数据" sheetId="4" r:id="rId1"/>
    <sheet name="基础情景" sheetId="5" r:id="rId2"/>
    <sheet name="不利情景" sheetId="6" r:id="rId3"/>
    <sheet name="参数假设" sheetId="7" r:id="rId4"/>
    <sheet name="债券估值" sheetId="1" r:id="rId5"/>
    <sheet name="提前偿还" sheetId="8" r:id="rId6"/>
    <sheet name="假设利率" sheetId="2" r:id="rId7"/>
    <sheet name="Sheet1" sheetId="3" r:id="rId8"/>
  </sheets>
  <functionGroups builtInGroupCount="17"/>
  <externalReferences>
    <externalReference r:id="rId9"/>
  </externalReferences>
  <definedNames>
    <definedName name="_xlnm._FilterDatabase" localSheetId="4" hidden="1">债券估值!$A$7:$K$19</definedName>
    <definedName name="End_Year">参数假设!$B$10</definedName>
    <definedName name="Spread_High">参数假设!$B$3</definedName>
    <definedName name="Spread_Low">参数假设!$B$5</definedName>
    <definedName name="Spread_Mid">参数假设!$B$4</definedName>
    <definedName name="Start_Year">参数假设!$B$9</definedName>
    <definedName name="UFR">参数假设!$B$8</definedName>
  </definedNames>
  <calcPr calcId="144525"/>
</workbook>
</file>

<file path=xl/calcChain.xml><?xml version="1.0" encoding="utf-8"?>
<calcChain xmlns="http://schemas.openxmlformats.org/spreadsheetml/2006/main">
  <c r="L4" i="8" l="1"/>
  <c r="L5" i="8"/>
  <c r="L6" i="8"/>
  <c r="L7" i="8"/>
  <c r="L8" i="8"/>
  <c r="L9" i="8"/>
  <c r="L3" i="8"/>
  <c r="I4" i="8"/>
  <c r="I5" i="8"/>
  <c r="I6" i="8"/>
  <c r="I7" i="8"/>
  <c r="I8" i="8"/>
  <c r="I9" i="8"/>
  <c r="I3" i="8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M9" i="8" l="1"/>
  <c r="M8" i="8"/>
  <c r="M7" i="8"/>
  <c r="M6" i="8"/>
  <c r="M5" i="8"/>
  <c r="M4" i="8"/>
  <c r="M3" i="8"/>
  <c r="E17" i="8"/>
  <c r="G17" i="8" s="1"/>
  <c r="E18" i="8"/>
  <c r="G18" i="8" s="1"/>
  <c r="E19" i="8"/>
  <c r="G19" i="8" s="1"/>
  <c r="E20" i="8"/>
  <c r="G20" i="8" s="1"/>
  <c r="E21" i="8"/>
  <c r="G21" i="8" s="1"/>
  <c r="E22" i="8"/>
  <c r="G22" i="8" s="1"/>
  <c r="E16" i="8"/>
  <c r="B17" i="8"/>
  <c r="D17" i="8" s="1"/>
  <c r="B18" i="8"/>
  <c r="D18" i="8" s="1"/>
  <c r="B19" i="8"/>
  <c r="D19" i="8" s="1"/>
  <c r="B20" i="8"/>
  <c r="D20" i="8" s="1"/>
  <c r="B21" i="8"/>
  <c r="D21" i="8" s="1"/>
  <c r="B22" i="8"/>
  <c r="D22" i="8" s="1"/>
  <c r="B16" i="8"/>
  <c r="D16" i="8" s="1"/>
  <c r="G16" i="8"/>
  <c r="J4" i="8"/>
  <c r="J5" i="8"/>
  <c r="J6" i="8"/>
  <c r="J7" i="8"/>
  <c r="J8" i="8"/>
  <c r="J9" i="8"/>
  <c r="J3" i="8"/>
  <c r="N5" i="8" l="1"/>
  <c r="N9" i="8"/>
  <c r="N4" i="8"/>
  <c r="N7" i="8"/>
  <c r="N3" i="8"/>
  <c r="N6" i="8"/>
  <c r="N8" i="8"/>
  <c r="K3" i="8"/>
  <c r="K4" i="8"/>
  <c r="K8" i="8"/>
  <c r="K7" i="8"/>
  <c r="K6" i="8"/>
  <c r="K9" i="8"/>
  <c r="K5" i="8"/>
  <c r="G25" i="8" l="1"/>
  <c r="D25" i="8"/>
  <c r="D24" i="8"/>
  <c r="G24" i="8"/>
  <c r="O67" i="7"/>
  <c r="L67" i="7" s="1"/>
  <c r="E67" i="7" s="1"/>
  <c r="N67" i="7"/>
  <c r="K67" i="7" s="1"/>
  <c r="D67" i="7" s="1"/>
  <c r="J67" i="7"/>
  <c r="A67" i="7"/>
  <c r="O66" i="7"/>
  <c r="L66" i="7" s="1"/>
  <c r="E66" i="7" s="1"/>
  <c r="N66" i="7"/>
  <c r="K66" i="7" s="1"/>
  <c r="D66" i="7" s="1"/>
  <c r="J66" i="7"/>
  <c r="A66" i="7"/>
  <c r="O65" i="7"/>
  <c r="L65" i="7" s="1"/>
  <c r="E65" i="7" s="1"/>
  <c r="N65" i="7"/>
  <c r="K65" i="7" s="1"/>
  <c r="D65" i="7" s="1"/>
  <c r="J65" i="7"/>
  <c r="A65" i="7"/>
  <c r="O64" i="7"/>
  <c r="L64" i="7" s="1"/>
  <c r="E64" i="7" s="1"/>
  <c r="N64" i="7"/>
  <c r="K64" i="7" s="1"/>
  <c r="D64" i="7" s="1"/>
  <c r="J64" i="7"/>
  <c r="A64" i="7"/>
  <c r="O63" i="7"/>
  <c r="L63" i="7" s="1"/>
  <c r="E63" i="7" s="1"/>
  <c r="N63" i="7"/>
  <c r="K63" i="7" s="1"/>
  <c r="D63" i="7" s="1"/>
  <c r="J63" i="7"/>
  <c r="A63" i="7"/>
  <c r="O62" i="7"/>
  <c r="L62" i="7" s="1"/>
  <c r="E62" i="7" s="1"/>
  <c r="N62" i="7"/>
  <c r="K62" i="7" s="1"/>
  <c r="D62" i="7" s="1"/>
  <c r="J62" i="7"/>
  <c r="A62" i="7"/>
  <c r="O61" i="7"/>
  <c r="L61" i="7" s="1"/>
  <c r="E61" i="7" s="1"/>
  <c r="N61" i="7"/>
  <c r="K61" i="7" s="1"/>
  <c r="D61" i="7" s="1"/>
  <c r="J61" i="7"/>
  <c r="A61" i="7"/>
  <c r="O60" i="7"/>
  <c r="L60" i="7" s="1"/>
  <c r="E60" i="7" s="1"/>
  <c r="N60" i="7"/>
  <c r="K60" i="7" s="1"/>
  <c r="D60" i="7" s="1"/>
  <c r="J60" i="7"/>
  <c r="A60" i="7"/>
  <c r="O59" i="7"/>
  <c r="L59" i="7" s="1"/>
  <c r="E59" i="7" s="1"/>
  <c r="N59" i="7"/>
  <c r="K59" i="7" s="1"/>
  <c r="D59" i="7" s="1"/>
  <c r="J59" i="7"/>
  <c r="A59" i="7"/>
  <c r="O58" i="7"/>
  <c r="L58" i="7" s="1"/>
  <c r="E58" i="7" s="1"/>
  <c r="N58" i="7"/>
  <c r="K58" i="7" s="1"/>
  <c r="D58" i="7" s="1"/>
  <c r="J58" i="7"/>
  <c r="A58" i="7"/>
  <c r="O57" i="7"/>
  <c r="L57" i="7" s="1"/>
  <c r="E57" i="7" s="1"/>
  <c r="N57" i="7"/>
  <c r="K57" i="7" s="1"/>
  <c r="D57" i="7" s="1"/>
  <c r="O56" i="7"/>
  <c r="L56" i="7" s="1"/>
  <c r="E56" i="7" s="1"/>
  <c r="N56" i="7"/>
  <c r="K56" i="7" s="1"/>
  <c r="D56" i="7" s="1"/>
  <c r="O55" i="7"/>
  <c r="L55" i="7" s="1"/>
  <c r="E55" i="7" s="1"/>
  <c r="N55" i="7"/>
  <c r="K55" i="7" s="1"/>
  <c r="D55" i="7" s="1"/>
  <c r="O54" i="7"/>
  <c r="L54" i="7" s="1"/>
  <c r="E54" i="7" s="1"/>
  <c r="N54" i="7"/>
  <c r="K54" i="7" s="1"/>
  <c r="D54" i="7" s="1"/>
  <c r="O53" i="7"/>
  <c r="L53" i="7" s="1"/>
  <c r="E53" i="7" s="1"/>
  <c r="N53" i="7"/>
  <c r="K53" i="7" s="1"/>
  <c r="D53" i="7" s="1"/>
  <c r="O52" i="7"/>
  <c r="L52" i="7" s="1"/>
  <c r="E52" i="7" s="1"/>
  <c r="N52" i="7"/>
  <c r="K52" i="7" s="1"/>
  <c r="D52" i="7" s="1"/>
  <c r="O51" i="7"/>
  <c r="L51" i="7" s="1"/>
  <c r="E51" i="7" s="1"/>
  <c r="N51" i="7"/>
  <c r="K51" i="7" s="1"/>
  <c r="D51" i="7" s="1"/>
  <c r="O50" i="7"/>
  <c r="L50" i="7" s="1"/>
  <c r="E50" i="7" s="1"/>
  <c r="N50" i="7"/>
  <c r="K50" i="7" s="1"/>
  <c r="D50" i="7" s="1"/>
  <c r="O49" i="7"/>
  <c r="L49" i="7" s="1"/>
  <c r="E49" i="7" s="1"/>
  <c r="N49" i="7"/>
  <c r="K49" i="7" s="1"/>
  <c r="D49" i="7" s="1"/>
  <c r="O48" i="7"/>
  <c r="L48" i="7" s="1"/>
  <c r="E48" i="7" s="1"/>
  <c r="N48" i="7"/>
  <c r="K48" i="7" s="1"/>
  <c r="D48" i="7" s="1"/>
  <c r="O47" i="7"/>
  <c r="L47" i="7" s="1"/>
  <c r="E47" i="7" s="1"/>
  <c r="N47" i="7"/>
  <c r="K47" i="7" s="1"/>
  <c r="D47" i="7" s="1"/>
  <c r="O46" i="7"/>
  <c r="L46" i="7" s="1"/>
  <c r="E46" i="7" s="1"/>
  <c r="N46" i="7"/>
  <c r="K46" i="7" s="1"/>
  <c r="D46" i="7" s="1"/>
  <c r="O45" i="7"/>
  <c r="L45" i="7" s="1"/>
  <c r="E45" i="7" s="1"/>
  <c r="N45" i="7"/>
  <c r="K45" i="7" s="1"/>
  <c r="D45" i="7" s="1"/>
  <c r="O44" i="7"/>
  <c r="L44" i="7" s="1"/>
  <c r="E44" i="7" s="1"/>
  <c r="N44" i="7"/>
  <c r="K44" i="7" s="1"/>
  <c r="D44" i="7" s="1"/>
  <c r="O43" i="7"/>
  <c r="L43" i="7" s="1"/>
  <c r="E43" i="7" s="1"/>
  <c r="N43" i="7"/>
  <c r="K43" i="7" s="1"/>
  <c r="D43" i="7" s="1"/>
  <c r="O42" i="7"/>
  <c r="L42" i="7" s="1"/>
  <c r="E42" i="7" s="1"/>
  <c r="N42" i="7"/>
  <c r="K42" i="7" s="1"/>
  <c r="D42" i="7" s="1"/>
  <c r="O41" i="7"/>
  <c r="L41" i="7" s="1"/>
  <c r="E41" i="7" s="1"/>
  <c r="N41" i="7"/>
  <c r="K41" i="7" s="1"/>
  <c r="D41" i="7" s="1"/>
  <c r="O40" i="7"/>
  <c r="L40" i="7" s="1"/>
  <c r="E40" i="7" s="1"/>
  <c r="N40" i="7"/>
  <c r="K40" i="7" s="1"/>
  <c r="D40" i="7" s="1"/>
  <c r="O39" i="7"/>
  <c r="L39" i="7" s="1"/>
  <c r="E39" i="7" s="1"/>
  <c r="N39" i="7"/>
  <c r="K39" i="7" s="1"/>
  <c r="D39" i="7" s="1"/>
  <c r="O38" i="7"/>
  <c r="L38" i="7" s="1"/>
  <c r="E38" i="7" s="1"/>
  <c r="N38" i="7"/>
  <c r="K38" i="7" s="1"/>
  <c r="D38" i="7" s="1"/>
  <c r="O37" i="7"/>
  <c r="L37" i="7" s="1"/>
  <c r="E37" i="7" s="1"/>
  <c r="N37" i="7"/>
  <c r="K37" i="7" s="1"/>
  <c r="D37" i="7" s="1"/>
  <c r="O36" i="7"/>
  <c r="L36" i="7" s="1"/>
  <c r="E36" i="7" s="1"/>
  <c r="N36" i="7"/>
  <c r="K36" i="7" s="1"/>
  <c r="D36" i="7" s="1"/>
  <c r="O35" i="7"/>
  <c r="L35" i="7" s="1"/>
  <c r="E35" i="7" s="1"/>
  <c r="N35" i="7"/>
  <c r="K35" i="7" s="1"/>
  <c r="D35" i="7" s="1"/>
  <c r="O34" i="7"/>
  <c r="L34" i="7" s="1"/>
  <c r="E34" i="7" s="1"/>
  <c r="N34" i="7"/>
  <c r="K34" i="7" s="1"/>
  <c r="D34" i="7" s="1"/>
  <c r="O33" i="7"/>
  <c r="L33" i="7" s="1"/>
  <c r="E33" i="7" s="1"/>
  <c r="N33" i="7"/>
  <c r="K33" i="7" s="1"/>
  <c r="D33" i="7" s="1"/>
  <c r="O32" i="7"/>
  <c r="L32" i="7" s="1"/>
  <c r="E32" i="7" s="1"/>
  <c r="N32" i="7"/>
  <c r="K32" i="7" s="1"/>
  <c r="D32" i="7" s="1"/>
  <c r="O31" i="7"/>
  <c r="L31" i="7" s="1"/>
  <c r="E31" i="7" s="1"/>
  <c r="N31" i="7"/>
  <c r="K31" i="7" s="1"/>
  <c r="D31" i="7" s="1"/>
  <c r="O30" i="7"/>
  <c r="L30" i="7" s="1"/>
  <c r="E30" i="7" s="1"/>
  <c r="N30" i="7"/>
  <c r="K30" i="7" s="1"/>
  <c r="D30" i="7" s="1"/>
  <c r="O29" i="7"/>
  <c r="L29" i="7" s="1"/>
  <c r="E29" i="7" s="1"/>
  <c r="N29" i="7"/>
  <c r="K29" i="7" s="1"/>
  <c r="D29" i="7" s="1"/>
  <c r="O28" i="7"/>
  <c r="L28" i="7" s="1"/>
  <c r="E28" i="7" s="1"/>
  <c r="N28" i="7"/>
  <c r="K28" i="7" s="1"/>
  <c r="D28" i="7" s="1"/>
  <c r="O27" i="7"/>
  <c r="L27" i="7" s="1"/>
  <c r="E27" i="7" s="1"/>
  <c r="N27" i="7"/>
  <c r="K27" i="7" s="1"/>
  <c r="D27" i="7" s="1"/>
  <c r="O26" i="7"/>
  <c r="L26" i="7" s="1"/>
  <c r="E26" i="7" s="1"/>
  <c r="N26" i="7"/>
  <c r="K26" i="7" s="1"/>
  <c r="D26" i="7" s="1"/>
  <c r="O25" i="7"/>
  <c r="L25" i="7" s="1"/>
  <c r="E25" i="7" s="1"/>
  <c r="N25" i="7"/>
  <c r="K25" i="7" s="1"/>
  <c r="D25" i="7" s="1"/>
  <c r="O24" i="7"/>
  <c r="L24" i="7" s="1"/>
  <c r="E24" i="7" s="1"/>
  <c r="N24" i="7"/>
  <c r="K24" i="7" s="1"/>
  <c r="D24" i="7" s="1"/>
  <c r="O23" i="7"/>
  <c r="L23" i="7" s="1"/>
  <c r="E23" i="7" s="1"/>
  <c r="N23" i="7"/>
  <c r="K23" i="7" s="1"/>
  <c r="D23" i="7" s="1"/>
  <c r="O22" i="7"/>
  <c r="L22" i="7" s="1"/>
  <c r="E22" i="7" s="1"/>
  <c r="N22" i="7"/>
  <c r="K22" i="7" s="1"/>
  <c r="D22" i="7" s="1"/>
  <c r="O21" i="7"/>
  <c r="L21" i="7" s="1"/>
  <c r="E21" i="7" s="1"/>
  <c r="N21" i="7"/>
  <c r="K21" i="7" s="1"/>
  <c r="D21" i="7" s="1"/>
  <c r="O20" i="7"/>
  <c r="L20" i="7" s="1"/>
  <c r="E20" i="7" s="1"/>
  <c r="N20" i="7"/>
  <c r="K20" i="7" s="1"/>
  <c r="D20" i="7" s="1"/>
  <c r="O19" i="7"/>
  <c r="L19" i="7" s="1"/>
  <c r="E19" i="7" s="1"/>
  <c r="N19" i="7"/>
  <c r="K19" i="7" s="1"/>
  <c r="D19" i="7" s="1"/>
  <c r="O18" i="7"/>
  <c r="L18" i="7" s="1"/>
  <c r="E18" i="7" s="1"/>
  <c r="N18" i="7"/>
  <c r="K18" i="7" s="1"/>
  <c r="D18" i="7" s="1"/>
  <c r="O17" i="7"/>
  <c r="L17" i="7" s="1"/>
  <c r="E17" i="7" s="1"/>
  <c r="N17" i="7"/>
  <c r="K17" i="7" s="1"/>
  <c r="D17" i="7" s="1"/>
  <c r="B15" i="7"/>
  <c r="C15" i="7" s="1"/>
  <c r="D15" i="7" s="1"/>
  <c r="E15" i="7" s="1"/>
  <c r="A7" i="6"/>
  <c r="E7" i="5"/>
  <c r="A7" i="5"/>
  <c r="A8" i="5" s="1"/>
  <c r="A9" i="5" s="1"/>
  <c r="A10" i="5" s="1"/>
  <c r="F3654" i="4"/>
  <c r="E3654" i="4"/>
  <c r="F3653" i="4"/>
  <c r="E3653" i="4"/>
  <c r="F3652" i="4"/>
  <c r="E3652" i="4"/>
  <c r="F3651" i="4"/>
  <c r="E3651" i="4"/>
  <c r="F3650" i="4"/>
  <c r="E3650" i="4"/>
  <c r="F3649" i="4"/>
  <c r="E3649" i="4"/>
  <c r="F3648" i="4"/>
  <c r="E3648" i="4"/>
  <c r="F3647" i="4"/>
  <c r="E3647" i="4"/>
  <c r="F3646" i="4"/>
  <c r="E3646" i="4"/>
  <c r="F3645" i="4"/>
  <c r="E3645" i="4"/>
  <c r="F3644" i="4"/>
  <c r="E3644" i="4"/>
  <c r="F3643" i="4"/>
  <c r="E3643" i="4"/>
  <c r="F3642" i="4"/>
  <c r="E3642" i="4"/>
  <c r="F3641" i="4"/>
  <c r="E3641" i="4"/>
  <c r="F3640" i="4"/>
  <c r="E3640" i="4"/>
  <c r="F3639" i="4"/>
  <c r="E3639" i="4"/>
  <c r="F3638" i="4"/>
  <c r="E3638" i="4"/>
  <c r="F3637" i="4"/>
  <c r="E3637" i="4"/>
  <c r="F3636" i="4"/>
  <c r="E3636" i="4"/>
  <c r="F3635" i="4"/>
  <c r="E3635" i="4"/>
  <c r="F3634" i="4"/>
  <c r="E3634" i="4"/>
  <c r="F3633" i="4"/>
  <c r="E3633" i="4"/>
  <c r="F3632" i="4"/>
  <c r="E3632" i="4"/>
  <c r="F3631" i="4"/>
  <c r="E3631" i="4"/>
  <c r="F3630" i="4"/>
  <c r="E3630" i="4"/>
  <c r="F3629" i="4"/>
  <c r="E3629" i="4"/>
  <c r="F3628" i="4"/>
  <c r="E3628" i="4"/>
  <c r="F3627" i="4"/>
  <c r="E3627" i="4"/>
  <c r="F3626" i="4"/>
  <c r="E3626" i="4"/>
  <c r="F3625" i="4"/>
  <c r="E3625" i="4"/>
  <c r="F3624" i="4"/>
  <c r="E3624" i="4"/>
  <c r="F3623" i="4"/>
  <c r="E3623" i="4"/>
  <c r="F3622" i="4"/>
  <c r="E3622" i="4"/>
  <c r="F3621" i="4"/>
  <c r="E3621" i="4"/>
  <c r="F3620" i="4"/>
  <c r="E3620" i="4"/>
  <c r="F3619" i="4"/>
  <c r="E3619" i="4"/>
  <c r="F3618" i="4"/>
  <c r="E3618" i="4"/>
  <c r="F3617" i="4"/>
  <c r="E3617" i="4"/>
  <c r="F3616" i="4"/>
  <c r="E3616" i="4"/>
  <c r="F3615" i="4"/>
  <c r="E3615" i="4"/>
  <c r="F3614" i="4"/>
  <c r="E3614" i="4"/>
  <c r="F3613" i="4"/>
  <c r="E3613" i="4"/>
  <c r="F3612" i="4"/>
  <c r="E3612" i="4"/>
  <c r="F3611" i="4"/>
  <c r="E3611" i="4"/>
  <c r="F3610" i="4"/>
  <c r="E3610" i="4"/>
  <c r="F3609" i="4"/>
  <c r="E3609" i="4"/>
  <c r="F3608" i="4"/>
  <c r="E3608" i="4"/>
  <c r="F3607" i="4"/>
  <c r="E3607" i="4"/>
  <c r="F3606" i="4"/>
  <c r="E3606" i="4"/>
  <c r="F3605" i="4"/>
  <c r="E3605" i="4"/>
  <c r="F3604" i="4"/>
  <c r="E3604" i="4"/>
  <c r="F3603" i="4"/>
  <c r="E3603" i="4"/>
  <c r="F3602" i="4"/>
  <c r="E3602" i="4"/>
  <c r="F3601" i="4"/>
  <c r="E3601" i="4"/>
  <c r="F3600" i="4"/>
  <c r="E3600" i="4"/>
  <c r="F3599" i="4"/>
  <c r="E3599" i="4"/>
  <c r="F3598" i="4"/>
  <c r="E3598" i="4"/>
  <c r="F3597" i="4"/>
  <c r="E3597" i="4"/>
  <c r="F3596" i="4"/>
  <c r="E3596" i="4"/>
  <c r="F3595" i="4"/>
  <c r="E3595" i="4"/>
  <c r="F3594" i="4"/>
  <c r="E3594" i="4"/>
  <c r="F3593" i="4"/>
  <c r="E3593" i="4"/>
  <c r="F3592" i="4"/>
  <c r="E3592" i="4"/>
  <c r="F3591" i="4"/>
  <c r="E3591" i="4"/>
  <c r="F3590" i="4"/>
  <c r="E3590" i="4"/>
  <c r="F3589" i="4"/>
  <c r="E3589" i="4"/>
  <c r="F3588" i="4"/>
  <c r="E3588" i="4"/>
  <c r="F3587" i="4"/>
  <c r="E3587" i="4"/>
  <c r="F3586" i="4"/>
  <c r="E3586" i="4"/>
  <c r="F3585" i="4"/>
  <c r="E3585" i="4"/>
  <c r="F3584" i="4"/>
  <c r="E3584" i="4"/>
  <c r="F3583" i="4"/>
  <c r="E3583" i="4"/>
  <c r="F3582" i="4"/>
  <c r="E3582" i="4"/>
  <c r="F3581" i="4"/>
  <c r="E3581" i="4"/>
  <c r="F3580" i="4"/>
  <c r="E3580" i="4"/>
  <c r="F3579" i="4"/>
  <c r="E3579" i="4"/>
  <c r="F3578" i="4"/>
  <c r="E3578" i="4"/>
  <c r="F3577" i="4"/>
  <c r="E3577" i="4"/>
  <c r="F3576" i="4"/>
  <c r="E3576" i="4"/>
  <c r="F3575" i="4"/>
  <c r="E3575" i="4"/>
  <c r="F3574" i="4"/>
  <c r="E3574" i="4"/>
  <c r="F3573" i="4"/>
  <c r="E3573" i="4"/>
  <c r="F3572" i="4"/>
  <c r="E3572" i="4"/>
  <c r="F3571" i="4"/>
  <c r="E3571" i="4"/>
  <c r="F3570" i="4"/>
  <c r="E3570" i="4"/>
  <c r="F3569" i="4"/>
  <c r="E3569" i="4"/>
  <c r="F3568" i="4"/>
  <c r="E3568" i="4"/>
  <c r="F3567" i="4"/>
  <c r="E3567" i="4"/>
  <c r="F3566" i="4"/>
  <c r="E3566" i="4"/>
  <c r="F3565" i="4"/>
  <c r="E3565" i="4"/>
  <c r="F3564" i="4"/>
  <c r="E3564" i="4"/>
  <c r="F3563" i="4"/>
  <c r="E3563" i="4"/>
  <c r="F3562" i="4"/>
  <c r="E3562" i="4"/>
  <c r="F3561" i="4"/>
  <c r="E3561" i="4"/>
  <c r="F3560" i="4"/>
  <c r="E3560" i="4"/>
  <c r="F3559" i="4"/>
  <c r="E3559" i="4"/>
  <c r="F3558" i="4"/>
  <c r="E3558" i="4"/>
  <c r="F3557" i="4"/>
  <c r="E3557" i="4"/>
  <c r="F3556" i="4"/>
  <c r="E3556" i="4"/>
  <c r="F3555" i="4"/>
  <c r="E3555" i="4"/>
  <c r="F3554" i="4"/>
  <c r="E3554" i="4"/>
  <c r="F3553" i="4"/>
  <c r="E3553" i="4"/>
  <c r="F3552" i="4"/>
  <c r="E3552" i="4"/>
  <c r="F3551" i="4"/>
  <c r="E3551" i="4"/>
  <c r="F3550" i="4"/>
  <c r="E3550" i="4"/>
  <c r="F3549" i="4"/>
  <c r="E3549" i="4"/>
  <c r="F3548" i="4"/>
  <c r="E3548" i="4"/>
  <c r="F3547" i="4"/>
  <c r="E3547" i="4"/>
  <c r="F3546" i="4"/>
  <c r="E3546" i="4"/>
  <c r="F3545" i="4"/>
  <c r="E3545" i="4"/>
  <c r="F3544" i="4"/>
  <c r="E3544" i="4"/>
  <c r="F3543" i="4"/>
  <c r="E3543" i="4"/>
  <c r="F3542" i="4"/>
  <c r="E3542" i="4"/>
  <c r="F3541" i="4"/>
  <c r="E3541" i="4"/>
  <c r="F3540" i="4"/>
  <c r="E3540" i="4"/>
  <c r="F3539" i="4"/>
  <c r="E3539" i="4"/>
  <c r="F3538" i="4"/>
  <c r="E3538" i="4"/>
  <c r="F3537" i="4"/>
  <c r="E3537" i="4"/>
  <c r="F3536" i="4"/>
  <c r="E3536" i="4"/>
  <c r="F3535" i="4"/>
  <c r="E3535" i="4"/>
  <c r="F3534" i="4"/>
  <c r="E3534" i="4"/>
  <c r="F3533" i="4"/>
  <c r="E3533" i="4"/>
  <c r="F3532" i="4"/>
  <c r="E3532" i="4"/>
  <c r="F3531" i="4"/>
  <c r="E3531" i="4"/>
  <c r="F3530" i="4"/>
  <c r="E3530" i="4"/>
  <c r="F3529" i="4"/>
  <c r="E3529" i="4"/>
  <c r="F3528" i="4"/>
  <c r="E3528" i="4"/>
  <c r="F3527" i="4"/>
  <c r="E3527" i="4"/>
  <c r="F3526" i="4"/>
  <c r="E3526" i="4"/>
  <c r="F3525" i="4"/>
  <c r="E3525" i="4"/>
  <c r="F3524" i="4"/>
  <c r="E3524" i="4"/>
  <c r="F3523" i="4"/>
  <c r="E3523" i="4"/>
  <c r="F3522" i="4"/>
  <c r="E3522" i="4"/>
  <c r="F3521" i="4"/>
  <c r="E3521" i="4"/>
  <c r="F3520" i="4"/>
  <c r="E3520" i="4"/>
  <c r="F3519" i="4"/>
  <c r="E3519" i="4"/>
  <c r="F3518" i="4"/>
  <c r="E3518" i="4"/>
  <c r="F3517" i="4"/>
  <c r="E3517" i="4"/>
  <c r="F3516" i="4"/>
  <c r="E3516" i="4"/>
  <c r="F3515" i="4"/>
  <c r="E3515" i="4"/>
  <c r="F3514" i="4"/>
  <c r="E3514" i="4"/>
  <c r="F3513" i="4"/>
  <c r="E3513" i="4"/>
  <c r="F3512" i="4"/>
  <c r="E3512" i="4"/>
  <c r="F3511" i="4"/>
  <c r="E3511" i="4"/>
  <c r="F3510" i="4"/>
  <c r="E3510" i="4"/>
  <c r="F3509" i="4"/>
  <c r="E3509" i="4"/>
  <c r="F3508" i="4"/>
  <c r="E3508" i="4"/>
  <c r="F3507" i="4"/>
  <c r="E3507" i="4"/>
  <c r="F3506" i="4"/>
  <c r="E3506" i="4"/>
  <c r="F3505" i="4"/>
  <c r="E3505" i="4"/>
  <c r="F3504" i="4"/>
  <c r="E3504" i="4"/>
  <c r="F3503" i="4"/>
  <c r="E3503" i="4"/>
  <c r="F3502" i="4"/>
  <c r="E3502" i="4"/>
  <c r="F3501" i="4"/>
  <c r="E3501" i="4"/>
  <c r="F3500" i="4"/>
  <c r="E3500" i="4"/>
  <c r="F3499" i="4"/>
  <c r="E3499" i="4"/>
  <c r="F3498" i="4"/>
  <c r="E3498" i="4"/>
  <c r="F3497" i="4"/>
  <c r="E3497" i="4"/>
  <c r="F3496" i="4"/>
  <c r="E3496" i="4"/>
  <c r="F3495" i="4"/>
  <c r="E3495" i="4"/>
  <c r="F3494" i="4"/>
  <c r="E3494" i="4"/>
  <c r="F3493" i="4"/>
  <c r="E3493" i="4"/>
  <c r="F3492" i="4"/>
  <c r="E3492" i="4"/>
  <c r="F3491" i="4"/>
  <c r="E3491" i="4"/>
  <c r="F3490" i="4"/>
  <c r="E3490" i="4"/>
  <c r="F3489" i="4"/>
  <c r="E3489" i="4"/>
  <c r="F3488" i="4"/>
  <c r="E3488" i="4"/>
  <c r="F3487" i="4"/>
  <c r="E3487" i="4"/>
  <c r="F3486" i="4"/>
  <c r="E3486" i="4"/>
  <c r="F3485" i="4"/>
  <c r="E3485" i="4"/>
  <c r="F3484" i="4"/>
  <c r="E3484" i="4"/>
  <c r="F3483" i="4"/>
  <c r="E3483" i="4"/>
  <c r="F3482" i="4"/>
  <c r="E3482" i="4"/>
  <c r="F3481" i="4"/>
  <c r="E3481" i="4"/>
  <c r="F3480" i="4"/>
  <c r="E3480" i="4"/>
  <c r="F3479" i="4"/>
  <c r="E3479" i="4"/>
  <c r="F3478" i="4"/>
  <c r="E3478" i="4"/>
  <c r="F3477" i="4"/>
  <c r="E3477" i="4"/>
  <c r="F3476" i="4"/>
  <c r="E3476" i="4"/>
  <c r="F3475" i="4"/>
  <c r="E3475" i="4"/>
  <c r="F3474" i="4"/>
  <c r="E3474" i="4"/>
  <c r="F3473" i="4"/>
  <c r="E3473" i="4"/>
  <c r="F3472" i="4"/>
  <c r="E3472" i="4"/>
  <c r="F3471" i="4"/>
  <c r="E3471" i="4"/>
  <c r="F3470" i="4"/>
  <c r="E3470" i="4"/>
  <c r="F3469" i="4"/>
  <c r="E3469" i="4"/>
  <c r="F3468" i="4"/>
  <c r="E3468" i="4"/>
  <c r="F3467" i="4"/>
  <c r="E3467" i="4"/>
  <c r="F3466" i="4"/>
  <c r="E3466" i="4"/>
  <c r="F3465" i="4"/>
  <c r="E3465" i="4"/>
  <c r="F3464" i="4"/>
  <c r="E3464" i="4"/>
  <c r="F3463" i="4"/>
  <c r="E3463" i="4"/>
  <c r="F3462" i="4"/>
  <c r="E3462" i="4"/>
  <c r="F3461" i="4"/>
  <c r="E3461" i="4"/>
  <c r="F3460" i="4"/>
  <c r="E3460" i="4"/>
  <c r="F3459" i="4"/>
  <c r="E3459" i="4"/>
  <c r="F3458" i="4"/>
  <c r="E3458" i="4"/>
  <c r="F3457" i="4"/>
  <c r="E3457" i="4"/>
  <c r="F3456" i="4"/>
  <c r="E3456" i="4"/>
  <c r="F3455" i="4"/>
  <c r="E3455" i="4"/>
  <c r="F3454" i="4"/>
  <c r="E3454" i="4"/>
  <c r="F3453" i="4"/>
  <c r="E3453" i="4"/>
  <c r="F3452" i="4"/>
  <c r="E3452" i="4"/>
  <c r="F3451" i="4"/>
  <c r="E3451" i="4"/>
  <c r="F3450" i="4"/>
  <c r="E3450" i="4"/>
  <c r="F3449" i="4"/>
  <c r="E3449" i="4"/>
  <c r="F3448" i="4"/>
  <c r="E3448" i="4"/>
  <c r="F3447" i="4"/>
  <c r="E3447" i="4"/>
  <c r="F3446" i="4"/>
  <c r="E3446" i="4"/>
  <c r="F3445" i="4"/>
  <c r="E3445" i="4"/>
  <c r="F3444" i="4"/>
  <c r="E3444" i="4"/>
  <c r="F3443" i="4"/>
  <c r="E3443" i="4"/>
  <c r="F3442" i="4"/>
  <c r="E3442" i="4"/>
  <c r="F3441" i="4"/>
  <c r="E3441" i="4"/>
  <c r="F3440" i="4"/>
  <c r="E3440" i="4"/>
  <c r="F3439" i="4"/>
  <c r="E3439" i="4"/>
  <c r="F3438" i="4"/>
  <c r="E3438" i="4"/>
  <c r="F3437" i="4"/>
  <c r="E3437" i="4"/>
  <c r="F3436" i="4"/>
  <c r="E3436" i="4"/>
  <c r="F3435" i="4"/>
  <c r="E3435" i="4"/>
  <c r="F3434" i="4"/>
  <c r="E3434" i="4"/>
  <c r="F3433" i="4"/>
  <c r="E3433" i="4"/>
  <c r="F3432" i="4"/>
  <c r="E3432" i="4"/>
  <c r="F3431" i="4"/>
  <c r="E3431" i="4"/>
  <c r="F3430" i="4"/>
  <c r="E3430" i="4"/>
  <c r="F3429" i="4"/>
  <c r="E3429" i="4"/>
  <c r="F3428" i="4"/>
  <c r="E3428" i="4"/>
  <c r="F3427" i="4"/>
  <c r="E3427" i="4"/>
  <c r="F3426" i="4"/>
  <c r="E3426" i="4"/>
  <c r="F3425" i="4"/>
  <c r="E3425" i="4"/>
  <c r="F3424" i="4"/>
  <c r="E3424" i="4"/>
  <c r="F3423" i="4"/>
  <c r="E3423" i="4"/>
  <c r="F3422" i="4"/>
  <c r="E3422" i="4"/>
  <c r="F3421" i="4"/>
  <c r="E3421" i="4"/>
  <c r="F3420" i="4"/>
  <c r="E3420" i="4"/>
  <c r="F3419" i="4"/>
  <c r="E3419" i="4"/>
  <c r="F3418" i="4"/>
  <c r="E3418" i="4"/>
  <c r="F3417" i="4"/>
  <c r="E3417" i="4"/>
  <c r="F3416" i="4"/>
  <c r="E3416" i="4"/>
  <c r="F3415" i="4"/>
  <c r="E3415" i="4"/>
  <c r="F3414" i="4"/>
  <c r="E3414" i="4"/>
  <c r="F3413" i="4"/>
  <c r="E3413" i="4"/>
  <c r="F3412" i="4"/>
  <c r="E3412" i="4"/>
  <c r="F3411" i="4"/>
  <c r="E3411" i="4"/>
  <c r="F3410" i="4"/>
  <c r="E3410" i="4"/>
  <c r="F3409" i="4"/>
  <c r="E3409" i="4"/>
  <c r="F3408" i="4"/>
  <c r="E3408" i="4"/>
  <c r="F3407" i="4"/>
  <c r="E3407" i="4"/>
  <c r="F3406" i="4"/>
  <c r="E3406" i="4"/>
  <c r="F3405" i="4"/>
  <c r="E3405" i="4"/>
  <c r="F3404" i="4"/>
  <c r="E3404" i="4"/>
  <c r="F3403" i="4"/>
  <c r="E3403" i="4"/>
  <c r="F3402" i="4"/>
  <c r="E3402" i="4"/>
  <c r="F3401" i="4"/>
  <c r="E3401" i="4"/>
  <c r="F3400" i="4"/>
  <c r="E3400" i="4"/>
  <c r="F3399" i="4"/>
  <c r="E3399" i="4"/>
  <c r="F3398" i="4"/>
  <c r="E3398" i="4"/>
  <c r="F3397" i="4"/>
  <c r="E3397" i="4"/>
  <c r="F3396" i="4"/>
  <c r="E3396" i="4"/>
  <c r="F3395" i="4"/>
  <c r="E3395" i="4"/>
  <c r="F3394" i="4"/>
  <c r="E3394" i="4"/>
  <c r="F3393" i="4"/>
  <c r="E3393" i="4"/>
  <c r="F3392" i="4"/>
  <c r="E3392" i="4"/>
  <c r="F3391" i="4"/>
  <c r="E3391" i="4"/>
  <c r="F3390" i="4"/>
  <c r="E3390" i="4"/>
  <c r="F3389" i="4"/>
  <c r="E3389" i="4"/>
  <c r="F3388" i="4"/>
  <c r="E3388" i="4"/>
  <c r="F3387" i="4"/>
  <c r="E3387" i="4"/>
  <c r="F3386" i="4"/>
  <c r="E3386" i="4"/>
  <c r="F3385" i="4"/>
  <c r="E3385" i="4"/>
  <c r="F3384" i="4"/>
  <c r="E3384" i="4"/>
  <c r="F3383" i="4"/>
  <c r="E3383" i="4"/>
  <c r="F3382" i="4"/>
  <c r="E3382" i="4"/>
  <c r="F3381" i="4"/>
  <c r="E3381" i="4"/>
  <c r="F3380" i="4"/>
  <c r="E3380" i="4"/>
  <c r="F3379" i="4"/>
  <c r="E3379" i="4"/>
  <c r="F3378" i="4"/>
  <c r="E3378" i="4"/>
  <c r="F3377" i="4"/>
  <c r="E3377" i="4"/>
  <c r="F3376" i="4"/>
  <c r="E3376" i="4"/>
  <c r="F3375" i="4"/>
  <c r="E3375" i="4"/>
  <c r="F3374" i="4"/>
  <c r="E3374" i="4"/>
  <c r="F3373" i="4"/>
  <c r="E3373" i="4"/>
  <c r="F3372" i="4"/>
  <c r="E3372" i="4"/>
  <c r="F3371" i="4"/>
  <c r="E3371" i="4"/>
  <c r="F3370" i="4"/>
  <c r="E3370" i="4"/>
  <c r="F3369" i="4"/>
  <c r="E3369" i="4"/>
  <c r="F3368" i="4"/>
  <c r="E3368" i="4"/>
  <c r="F3367" i="4"/>
  <c r="E3367" i="4"/>
  <c r="F3366" i="4"/>
  <c r="E3366" i="4"/>
  <c r="F3365" i="4"/>
  <c r="E3365" i="4"/>
  <c r="F3364" i="4"/>
  <c r="E3364" i="4"/>
  <c r="F3363" i="4"/>
  <c r="E3363" i="4"/>
  <c r="F3362" i="4"/>
  <c r="E3362" i="4"/>
  <c r="F3361" i="4"/>
  <c r="E3361" i="4"/>
  <c r="F3360" i="4"/>
  <c r="E3360" i="4"/>
  <c r="F3359" i="4"/>
  <c r="E3359" i="4"/>
  <c r="F3358" i="4"/>
  <c r="E3358" i="4"/>
  <c r="F3357" i="4"/>
  <c r="E3357" i="4"/>
  <c r="F3356" i="4"/>
  <c r="E3356" i="4"/>
  <c r="F3355" i="4"/>
  <c r="E3355" i="4"/>
  <c r="F3354" i="4"/>
  <c r="E3354" i="4"/>
  <c r="F3353" i="4"/>
  <c r="E3353" i="4"/>
  <c r="F3352" i="4"/>
  <c r="E3352" i="4"/>
  <c r="F3351" i="4"/>
  <c r="E3351" i="4"/>
  <c r="F3350" i="4"/>
  <c r="E3350" i="4"/>
  <c r="F3349" i="4"/>
  <c r="E3349" i="4"/>
  <c r="F3348" i="4"/>
  <c r="E3348" i="4"/>
  <c r="F3347" i="4"/>
  <c r="E3347" i="4"/>
  <c r="F3346" i="4"/>
  <c r="E3346" i="4"/>
  <c r="F3345" i="4"/>
  <c r="E3345" i="4"/>
  <c r="F3344" i="4"/>
  <c r="E3344" i="4"/>
  <c r="F3343" i="4"/>
  <c r="E3343" i="4"/>
  <c r="F3342" i="4"/>
  <c r="E3342" i="4"/>
  <c r="F3341" i="4"/>
  <c r="E3341" i="4"/>
  <c r="F3340" i="4"/>
  <c r="E3340" i="4"/>
  <c r="F3339" i="4"/>
  <c r="E3339" i="4"/>
  <c r="F3338" i="4"/>
  <c r="E3338" i="4"/>
  <c r="F3337" i="4"/>
  <c r="E3337" i="4"/>
  <c r="F3336" i="4"/>
  <c r="E3336" i="4"/>
  <c r="F3335" i="4"/>
  <c r="E3335" i="4"/>
  <c r="F3334" i="4"/>
  <c r="E3334" i="4"/>
  <c r="F3333" i="4"/>
  <c r="E3333" i="4"/>
  <c r="F3332" i="4"/>
  <c r="E3332" i="4"/>
  <c r="F3331" i="4"/>
  <c r="E3331" i="4"/>
  <c r="F3330" i="4"/>
  <c r="E3330" i="4"/>
  <c r="F3329" i="4"/>
  <c r="E3329" i="4"/>
  <c r="F3328" i="4"/>
  <c r="E3328" i="4"/>
  <c r="F3327" i="4"/>
  <c r="E3327" i="4"/>
  <c r="F3326" i="4"/>
  <c r="E3326" i="4"/>
  <c r="F3325" i="4"/>
  <c r="E3325" i="4"/>
  <c r="F3324" i="4"/>
  <c r="E3324" i="4"/>
  <c r="F3323" i="4"/>
  <c r="E3323" i="4"/>
  <c r="F3322" i="4"/>
  <c r="E3322" i="4"/>
  <c r="F3321" i="4"/>
  <c r="E3321" i="4"/>
  <c r="F3320" i="4"/>
  <c r="E3320" i="4"/>
  <c r="F3319" i="4"/>
  <c r="E3319" i="4"/>
  <c r="F3318" i="4"/>
  <c r="E3318" i="4"/>
  <c r="F3317" i="4"/>
  <c r="E3317" i="4"/>
  <c r="F3316" i="4"/>
  <c r="E3316" i="4"/>
  <c r="F3315" i="4"/>
  <c r="E3315" i="4"/>
  <c r="F3314" i="4"/>
  <c r="E3314" i="4"/>
  <c r="F3313" i="4"/>
  <c r="E3313" i="4"/>
  <c r="F3312" i="4"/>
  <c r="E3312" i="4"/>
  <c r="F3311" i="4"/>
  <c r="E3311" i="4"/>
  <c r="F3310" i="4"/>
  <c r="E3310" i="4"/>
  <c r="F3309" i="4"/>
  <c r="E3309" i="4"/>
  <c r="F3308" i="4"/>
  <c r="E3308" i="4"/>
  <c r="F3307" i="4"/>
  <c r="E3307" i="4"/>
  <c r="F3306" i="4"/>
  <c r="E3306" i="4"/>
  <c r="F3305" i="4"/>
  <c r="E3305" i="4"/>
  <c r="F3304" i="4"/>
  <c r="E3304" i="4"/>
  <c r="F3303" i="4"/>
  <c r="E3303" i="4"/>
  <c r="F3302" i="4"/>
  <c r="E3302" i="4"/>
  <c r="F3301" i="4"/>
  <c r="E3301" i="4"/>
  <c r="F3300" i="4"/>
  <c r="E3300" i="4"/>
  <c r="F3299" i="4"/>
  <c r="E3299" i="4"/>
  <c r="F3298" i="4"/>
  <c r="E3298" i="4"/>
  <c r="F3297" i="4"/>
  <c r="E3297" i="4"/>
  <c r="F3296" i="4"/>
  <c r="E3296" i="4"/>
  <c r="F3295" i="4"/>
  <c r="E3295" i="4"/>
  <c r="F3294" i="4"/>
  <c r="E3294" i="4"/>
  <c r="F3293" i="4"/>
  <c r="E3293" i="4"/>
  <c r="F3292" i="4"/>
  <c r="E3292" i="4"/>
  <c r="F3291" i="4"/>
  <c r="E3291" i="4"/>
  <c r="F3290" i="4"/>
  <c r="E3290" i="4"/>
  <c r="F3289" i="4"/>
  <c r="E3289" i="4"/>
  <c r="F3288" i="4"/>
  <c r="E3288" i="4"/>
  <c r="F3287" i="4"/>
  <c r="E3287" i="4"/>
  <c r="F3286" i="4"/>
  <c r="E3286" i="4"/>
  <c r="F3285" i="4"/>
  <c r="E3285" i="4"/>
  <c r="F3284" i="4"/>
  <c r="E3284" i="4"/>
  <c r="F3283" i="4"/>
  <c r="E3283" i="4"/>
  <c r="F3282" i="4"/>
  <c r="E3282" i="4"/>
  <c r="F3281" i="4"/>
  <c r="E3281" i="4"/>
  <c r="F3280" i="4"/>
  <c r="E3280" i="4"/>
  <c r="F3279" i="4"/>
  <c r="E3279" i="4"/>
  <c r="F3278" i="4"/>
  <c r="E3278" i="4"/>
  <c r="F3277" i="4"/>
  <c r="E3277" i="4"/>
  <c r="F3276" i="4"/>
  <c r="E3276" i="4"/>
  <c r="F3275" i="4"/>
  <c r="E3275" i="4"/>
  <c r="F3274" i="4"/>
  <c r="E3274" i="4"/>
  <c r="F3273" i="4"/>
  <c r="E3273" i="4"/>
  <c r="F3272" i="4"/>
  <c r="E3272" i="4"/>
  <c r="F3271" i="4"/>
  <c r="E3271" i="4"/>
  <c r="F3270" i="4"/>
  <c r="E3270" i="4"/>
  <c r="F3269" i="4"/>
  <c r="E3269" i="4"/>
  <c r="F3268" i="4"/>
  <c r="E3268" i="4"/>
  <c r="F3267" i="4"/>
  <c r="E3267" i="4"/>
  <c r="F3266" i="4"/>
  <c r="E3266" i="4"/>
  <c r="F3265" i="4"/>
  <c r="E3265" i="4"/>
  <c r="F3264" i="4"/>
  <c r="E3264" i="4"/>
  <c r="F3263" i="4"/>
  <c r="E3263" i="4"/>
  <c r="F3262" i="4"/>
  <c r="E3262" i="4"/>
  <c r="F3261" i="4"/>
  <c r="E3261" i="4"/>
  <c r="F3260" i="4"/>
  <c r="E3260" i="4"/>
  <c r="F3259" i="4"/>
  <c r="E3259" i="4"/>
  <c r="F3258" i="4"/>
  <c r="E3258" i="4"/>
  <c r="F3257" i="4"/>
  <c r="E3257" i="4"/>
  <c r="F3256" i="4"/>
  <c r="E3256" i="4"/>
  <c r="F3255" i="4"/>
  <c r="E3255" i="4"/>
  <c r="F3254" i="4"/>
  <c r="E3254" i="4"/>
  <c r="F3253" i="4"/>
  <c r="E3253" i="4"/>
  <c r="F3252" i="4"/>
  <c r="E3252" i="4"/>
  <c r="F3251" i="4"/>
  <c r="E3251" i="4"/>
  <c r="F3250" i="4"/>
  <c r="E3250" i="4"/>
  <c r="F3249" i="4"/>
  <c r="E3249" i="4"/>
  <c r="F3248" i="4"/>
  <c r="E3248" i="4"/>
  <c r="F3247" i="4"/>
  <c r="E3247" i="4"/>
  <c r="F3246" i="4"/>
  <c r="E3246" i="4"/>
  <c r="F3245" i="4"/>
  <c r="E3245" i="4"/>
  <c r="F3244" i="4"/>
  <c r="E3244" i="4"/>
  <c r="F3243" i="4"/>
  <c r="E3243" i="4"/>
  <c r="F3242" i="4"/>
  <c r="E3242" i="4"/>
  <c r="F3241" i="4"/>
  <c r="E3241" i="4"/>
  <c r="F3240" i="4"/>
  <c r="E3240" i="4"/>
  <c r="F3239" i="4"/>
  <c r="E3239" i="4"/>
  <c r="F3238" i="4"/>
  <c r="E3238" i="4"/>
  <c r="F3237" i="4"/>
  <c r="E3237" i="4"/>
  <c r="F3236" i="4"/>
  <c r="E3236" i="4"/>
  <c r="F3235" i="4"/>
  <c r="E3235" i="4"/>
  <c r="F3234" i="4"/>
  <c r="E3234" i="4"/>
  <c r="F3233" i="4"/>
  <c r="E3233" i="4"/>
  <c r="F3232" i="4"/>
  <c r="E3232" i="4"/>
  <c r="F3231" i="4"/>
  <c r="E3231" i="4"/>
  <c r="F3230" i="4"/>
  <c r="E3230" i="4"/>
  <c r="F3229" i="4"/>
  <c r="E3229" i="4"/>
  <c r="F3228" i="4"/>
  <c r="E3228" i="4"/>
  <c r="F3227" i="4"/>
  <c r="E3227" i="4"/>
  <c r="F3226" i="4"/>
  <c r="E3226" i="4"/>
  <c r="F3225" i="4"/>
  <c r="E3225" i="4"/>
  <c r="F3224" i="4"/>
  <c r="E3224" i="4"/>
  <c r="F3223" i="4"/>
  <c r="E3223" i="4"/>
  <c r="F3222" i="4"/>
  <c r="E3222" i="4"/>
  <c r="F3221" i="4"/>
  <c r="E3221" i="4"/>
  <c r="F3220" i="4"/>
  <c r="E3220" i="4"/>
  <c r="F3219" i="4"/>
  <c r="E3219" i="4"/>
  <c r="F3218" i="4"/>
  <c r="E3218" i="4"/>
  <c r="F3217" i="4"/>
  <c r="E3217" i="4"/>
  <c r="F3216" i="4"/>
  <c r="E3216" i="4"/>
  <c r="F3215" i="4"/>
  <c r="E3215" i="4"/>
  <c r="F3214" i="4"/>
  <c r="E3214" i="4"/>
  <c r="F3213" i="4"/>
  <c r="E3213" i="4"/>
  <c r="F3212" i="4"/>
  <c r="E3212" i="4"/>
  <c r="F3211" i="4"/>
  <c r="E3211" i="4"/>
  <c r="F3210" i="4"/>
  <c r="E3210" i="4"/>
  <c r="F3209" i="4"/>
  <c r="E3209" i="4"/>
  <c r="F3208" i="4"/>
  <c r="E3208" i="4"/>
  <c r="F3207" i="4"/>
  <c r="E3207" i="4"/>
  <c r="F3206" i="4"/>
  <c r="E3206" i="4"/>
  <c r="F3205" i="4"/>
  <c r="E3205" i="4"/>
  <c r="F3204" i="4"/>
  <c r="E3204" i="4"/>
  <c r="F3203" i="4"/>
  <c r="E3203" i="4"/>
  <c r="F3202" i="4"/>
  <c r="E3202" i="4"/>
  <c r="F3201" i="4"/>
  <c r="E3201" i="4"/>
  <c r="F3200" i="4"/>
  <c r="E3200" i="4"/>
  <c r="F3199" i="4"/>
  <c r="E3199" i="4"/>
  <c r="F3198" i="4"/>
  <c r="E3198" i="4"/>
  <c r="F3197" i="4"/>
  <c r="E3197" i="4"/>
  <c r="F3196" i="4"/>
  <c r="E3196" i="4"/>
  <c r="F3195" i="4"/>
  <c r="E3195" i="4"/>
  <c r="F3194" i="4"/>
  <c r="E3194" i="4"/>
  <c r="F3193" i="4"/>
  <c r="E3193" i="4"/>
  <c r="F3192" i="4"/>
  <c r="E3192" i="4"/>
  <c r="F3191" i="4"/>
  <c r="E3191" i="4"/>
  <c r="F3190" i="4"/>
  <c r="E3190" i="4"/>
  <c r="F3189" i="4"/>
  <c r="E3189" i="4"/>
  <c r="F3188" i="4"/>
  <c r="E3188" i="4"/>
  <c r="F3187" i="4"/>
  <c r="E3187" i="4"/>
  <c r="F3186" i="4"/>
  <c r="E3186" i="4"/>
  <c r="F3185" i="4"/>
  <c r="E3185" i="4"/>
  <c r="F3184" i="4"/>
  <c r="E3184" i="4"/>
  <c r="F3183" i="4"/>
  <c r="E3183" i="4"/>
  <c r="F3182" i="4"/>
  <c r="E3182" i="4"/>
  <c r="F3181" i="4"/>
  <c r="E3181" i="4"/>
  <c r="F3180" i="4"/>
  <c r="E3180" i="4"/>
  <c r="F3179" i="4"/>
  <c r="E3179" i="4"/>
  <c r="F3178" i="4"/>
  <c r="E3178" i="4"/>
  <c r="F3177" i="4"/>
  <c r="E3177" i="4"/>
  <c r="F3176" i="4"/>
  <c r="E3176" i="4"/>
  <c r="F3175" i="4"/>
  <c r="E3175" i="4"/>
  <c r="F3174" i="4"/>
  <c r="E3174" i="4"/>
  <c r="F3173" i="4"/>
  <c r="E3173" i="4"/>
  <c r="F3172" i="4"/>
  <c r="E3172" i="4"/>
  <c r="F3171" i="4"/>
  <c r="E3171" i="4"/>
  <c r="F3170" i="4"/>
  <c r="E3170" i="4"/>
  <c r="F3169" i="4"/>
  <c r="E3169" i="4"/>
  <c r="F3168" i="4"/>
  <c r="E3168" i="4"/>
  <c r="F3167" i="4"/>
  <c r="E3167" i="4"/>
  <c r="F3166" i="4"/>
  <c r="E3166" i="4"/>
  <c r="F3165" i="4"/>
  <c r="E3165" i="4"/>
  <c r="F3164" i="4"/>
  <c r="E3164" i="4"/>
  <c r="F3163" i="4"/>
  <c r="E3163" i="4"/>
  <c r="F3162" i="4"/>
  <c r="E3162" i="4"/>
  <c r="F3161" i="4"/>
  <c r="E3161" i="4"/>
  <c r="F3160" i="4"/>
  <c r="E3160" i="4"/>
  <c r="F3159" i="4"/>
  <c r="E3159" i="4"/>
  <c r="F3158" i="4"/>
  <c r="E3158" i="4"/>
  <c r="F3157" i="4"/>
  <c r="E3157" i="4"/>
  <c r="F3156" i="4"/>
  <c r="E3156" i="4"/>
  <c r="F3155" i="4"/>
  <c r="E3155" i="4"/>
  <c r="F3154" i="4"/>
  <c r="E3154" i="4"/>
  <c r="F3153" i="4"/>
  <c r="E3153" i="4"/>
  <c r="F3152" i="4"/>
  <c r="E3152" i="4"/>
  <c r="F3151" i="4"/>
  <c r="E3151" i="4"/>
  <c r="F3150" i="4"/>
  <c r="E3150" i="4"/>
  <c r="F3149" i="4"/>
  <c r="E3149" i="4"/>
  <c r="F3148" i="4"/>
  <c r="E3148" i="4"/>
  <c r="F3147" i="4"/>
  <c r="E3147" i="4"/>
  <c r="F3146" i="4"/>
  <c r="E3146" i="4"/>
  <c r="F3145" i="4"/>
  <c r="E3145" i="4"/>
  <c r="F3144" i="4"/>
  <c r="E3144" i="4"/>
  <c r="F3143" i="4"/>
  <c r="E3143" i="4"/>
  <c r="F3142" i="4"/>
  <c r="E3142" i="4"/>
  <c r="F3141" i="4"/>
  <c r="E3141" i="4"/>
  <c r="F3140" i="4"/>
  <c r="E3140" i="4"/>
  <c r="F3139" i="4"/>
  <c r="E3139" i="4"/>
  <c r="F3138" i="4"/>
  <c r="E3138" i="4"/>
  <c r="F3137" i="4"/>
  <c r="E3137" i="4"/>
  <c r="F3136" i="4"/>
  <c r="E3136" i="4"/>
  <c r="F3135" i="4"/>
  <c r="E3135" i="4"/>
  <c r="F3134" i="4"/>
  <c r="E3134" i="4"/>
  <c r="F3133" i="4"/>
  <c r="E3133" i="4"/>
  <c r="F3132" i="4"/>
  <c r="E3132" i="4"/>
  <c r="F3131" i="4"/>
  <c r="E3131" i="4"/>
  <c r="F3130" i="4"/>
  <c r="E3130" i="4"/>
  <c r="F3129" i="4"/>
  <c r="E3129" i="4"/>
  <c r="F3128" i="4"/>
  <c r="E3128" i="4"/>
  <c r="F3127" i="4"/>
  <c r="E3127" i="4"/>
  <c r="F3126" i="4"/>
  <c r="E3126" i="4"/>
  <c r="F3125" i="4"/>
  <c r="E3125" i="4"/>
  <c r="F3124" i="4"/>
  <c r="E3124" i="4"/>
  <c r="F3123" i="4"/>
  <c r="E3123" i="4"/>
  <c r="F3122" i="4"/>
  <c r="E3122" i="4"/>
  <c r="F3121" i="4"/>
  <c r="E3121" i="4"/>
  <c r="F3120" i="4"/>
  <c r="E3120" i="4"/>
  <c r="F3119" i="4"/>
  <c r="E3119" i="4"/>
  <c r="F3118" i="4"/>
  <c r="E3118" i="4"/>
  <c r="F3117" i="4"/>
  <c r="E3117" i="4"/>
  <c r="F3116" i="4"/>
  <c r="E3116" i="4"/>
  <c r="F3115" i="4"/>
  <c r="E3115" i="4"/>
  <c r="F3114" i="4"/>
  <c r="E3114" i="4"/>
  <c r="F3113" i="4"/>
  <c r="E3113" i="4"/>
  <c r="F3112" i="4"/>
  <c r="E3112" i="4"/>
  <c r="F3111" i="4"/>
  <c r="E3111" i="4"/>
  <c r="F3110" i="4"/>
  <c r="E3110" i="4"/>
  <c r="F3109" i="4"/>
  <c r="E3109" i="4"/>
  <c r="F3108" i="4"/>
  <c r="E3108" i="4"/>
  <c r="F3107" i="4"/>
  <c r="E3107" i="4"/>
  <c r="F3106" i="4"/>
  <c r="E3106" i="4"/>
  <c r="F3105" i="4"/>
  <c r="E3105" i="4"/>
  <c r="F3104" i="4"/>
  <c r="E3104" i="4"/>
  <c r="F3103" i="4"/>
  <c r="E3103" i="4"/>
  <c r="F3102" i="4"/>
  <c r="E3102" i="4"/>
  <c r="F3101" i="4"/>
  <c r="E3101" i="4"/>
  <c r="F3100" i="4"/>
  <c r="E3100" i="4"/>
  <c r="F3099" i="4"/>
  <c r="E3099" i="4"/>
  <c r="F3098" i="4"/>
  <c r="E3098" i="4"/>
  <c r="F3097" i="4"/>
  <c r="E3097" i="4"/>
  <c r="F3096" i="4"/>
  <c r="E3096" i="4"/>
  <c r="F3095" i="4"/>
  <c r="E3095" i="4"/>
  <c r="F3094" i="4"/>
  <c r="E3094" i="4"/>
  <c r="F3093" i="4"/>
  <c r="E3093" i="4"/>
  <c r="F3092" i="4"/>
  <c r="E3092" i="4"/>
  <c r="F3091" i="4"/>
  <c r="E3091" i="4"/>
  <c r="F3090" i="4"/>
  <c r="E3090" i="4"/>
  <c r="F3089" i="4"/>
  <c r="E3089" i="4"/>
  <c r="F3088" i="4"/>
  <c r="E3088" i="4"/>
  <c r="F3087" i="4"/>
  <c r="E3087" i="4"/>
  <c r="F3086" i="4"/>
  <c r="E3086" i="4"/>
  <c r="F3085" i="4"/>
  <c r="E3085" i="4"/>
  <c r="F3084" i="4"/>
  <c r="E3084" i="4"/>
  <c r="F3083" i="4"/>
  <c r="E3083" i="4"/>
  <c r="F3082" i="4"/>
  <c r="E3082" i="4"/>
  <c r="F3081" i="4"/>
  <c r="E3081" i="4"/>
  <c r="F3080" i="4"/>
  <c r="E3080" i="4"/>
  <c r="F3079" i="4"/>
  <c r="E3079" i="4"/>
  <c r="F3078" i="4"/>
  <c r="E3078" i="4"/>
  <c r="F3077" i="4"/>
  <c r="E3077" i="4"/>
  <c r="F3076" i="4"/>
  <c r="E3076" i="4"/>
  <c r="F3075" i="4"/>
  <c r="E3075" i="4"/>
  <c r="F3074" i="4"/>
  <c r="E3074" i="4"/>
  <c r="F3073" i="4"/>
  <c r="E3073" i="4"/>
  <c r="F3072" i="4"/>
  <c r="E3072" i="4"/>
  <c r="F3071" i="4"/>
  <c r="E3071" i="4"/>
  <c r="F3070" i="4"/>
  <c r="E3070" i="4"/>
  <c r="F3069" i="4"/>
  <c r="E3069" i="4"/>
  <c r="F3068" i="4"/>
  <c r="E3068" i="4"/>
  <c r="F3067" i="4"/>
  <c r="E3067" i="4"/>
  <c r="F3066" i="4"/>
  <c r="E3066" i="4"/>
  <c r="F3065" i="4"/>
  <c r="E3065" i="4"/>
  <c r="F3064" i="4"/>
  <c r="E3064" i="4"/>
  <c r="F3063" i="4"/>
  <c r="E3063" i="4"/>
  <c r="F3062" i="4"/>
  <c r="E3062" i="4"/>
  <c r="F3061" i="4"/>
  <c r="E3061" i="4"/>
  <c r="F3060" i="4"/>
  <c r="E3060" i="4"/>
  <c r="F3059" i="4"/>
  <c r="E3059" i="4"/>
  <c r="F3058" i="4"/>
  <c r="E3058" i="4"/>
  <c r="F3057" i="4"/>
  <c r="E3057" i="4"/>
  <c r="F3056" i="4"/>
  <c r="E3056" i="4"/>
  <c r="F3055" i="4"/>
  <c r="E3055" i="4"/>
  <c r="F3054" i="4"/>
  <c r="E3054" i="4"/>
  <c r="F3053" i="4"/>
  <c r="E3053" i="4"/>
  <c r="F3052" i="4"/>
  <c r="E3052" i="4"/>
  <c r="F3051" i="4"/>
  <c r="E3051" i="4"/>
  <c r="F3050" i="4"/>
  <c r="E3050" i="4"/>
  <c r="F3049" i="4"/>
  <c r="E3049" i="4"/>
  <c r="F3048" i="4"/>
  <c r="E3048" i="4"/>
  <c r="F3047" i="4"/>
  <c r="E3047" i="4"/>
  <c r="F3046" i="4"/>
  <c r="E3046" i="4"/>
  <c r="F3045" i="4"/>
  <c r="E3045" i="4"/>
  <c r="F3044" i="4"/>
  <c r="E3044" i="4"/>
  <c r="F3043" i="4"/>
  <c r="E3043" i="4"/>
  <c r="F3042" i="4"/>
  <c r="E3042" i="4"/>
  <c r="F3041" i="4"/>
  <c r="E3041" i="4"/>
  <c r="F3040" i="4"/>
  <c r="E3040" i="4"/>
  <c r="F3039" i="4"/>
  <c r="E3039" i="4"/>
  <c r="F3038" i="4"/>
  <c r="E3038" i="4"/>
  <c r="F3037" i="4"/>
  <c r="E3037" i="4"/>
  <c r="F3036" i="4"/>
  <c r="E3036" i="4"/>
  <c r="F3035" i="4"/>
  <c r="E3035" i="4"/>
  <c r="F3034" i="4"/>
  <c r="E3034" i="4"/>
  <c r="F3033" i="4"/>
  <c r="E3033" i="4"/>
  <c r="F3032" i="4"/>
  <c r="E3032" i="4"/>
  <c r="F3031" i="4"/>
  <c r="E3031" i="4"/>
  <c r="F3030" i="4"/>
  <c r="E3030" i="4"/>
  <c r="F3029" i="4"/>
  <c r="E3029" i="4"/>
  <c r="F3028" i="4"/>
  <c r="E3028" i="4"/>
  <c r="F3027" i="4"/>
  <c r="E3027" i="4"/>
  <c r="F3026" i="4"/>
  <c r="E3026" i="4"/>
  <c r="F3025" i="4"/>
  <c r="E3025" i="4"/>
  <c r="F3024" i="4"/>
  <c r="E3024" i="4"/>
  <c r="F3023" i="4"/>
  <c r="E3023" i="4"/>
  <c r="F3022" i="4"/>
  <c r="E3022" i="4"/>
  <c r="F3021" i="4"/>
  <c r="E3021" i="4"/>
  <c r="F3020" i="4"/>
  <c r="E3020" i="4"/>
  <c r="F3019" i="4"/>
  <c r="E3019" i="4"/>
  <c r="F3018" i="4"/>
  <c r="E3018" i="4"/>
  <c r="F3017" i="4"/>
  <c r="E3017" i="4"/>
  <c r="F3016" i="4"/>
  <c r="E3016" i="4"/>
  <c r="F3015" i="4"/>
  <c r="E3015" i="4"/>
  <c r="F3014" i="4"/>
  <c r="E3014" i="4"/>
  <c r="F3013" i="4"/>
  <c r="E3013" i="4"/>
  <c r="F3012" i="4"/>
  <c r="E3012" i="4"/>
  <c r="F3011" i="4"/>
  <c r="E3011" i="4"/>
  <c r="F3010" i="4"/>
  <c r="E3010" i="4"/>
  <c r="F3009" i="4"/>
  <c r="E3009" i="4"/>
  <c r="F3008" i="4"/>
  <c r="E3008" i="4"/>
  <c r="F3007" i="4"/>
  <c r="E3007" i="4"/>
  <c r="F3006" i="4"/>
  <c r="E3006" i="4"/>
  <c r="F3005" i="4"/>
  <c r="E3005" i="4"/>
  <c r="F3004" i="4"/>
  <c r="E3004" i="4"/>
  <c r="F3003" i="4"/>
  <c r="E3003" i="4"/>
  <c r="F3002" i="4"/>
  <c r="E3002" i="4"/>
  <c r="F3001" i="4"/>
  <c r="E3001" i="4"/>
  <c r="F3000" i="4"/>
  <c r="E3000" i="4"/>
  <c r="F2999" i="4"/>
  <c r="E2999" i="4"/>
  <c r="F2998" i="4"/>
  <c r="E2998" i="4"/>
  <c r="F2997" i="4"/>
  <c r="E2997" i="4"/>
  <c r="F2996" i="4"/>
  <c r="E2996" i="4"/>
  <c r="F2995" i="4"/>
  <c r="E2995" i="4"/>
  <c r="F2994" i="4"/>
  <c r="E2994" i="4"/>
  <c r="F2993" i="4"/>
  <c r="E2993" i="4"/>
  <c r="F2992" i="4"/>
  <c r="E2992" i="4"/>
  <c r="F2991" i="4"/>
  <c r="E2991" i="4"/>
  <c r="F2990" i="4"/>
  <c r="E2990" i="4"/>
  <c r="F2989" i="4"/>
  <c r="E2989" i="4"/>
  <c r="F2988" i="4"/>
  <c r="E2988" i="4"/>
  <c r="F2987" i="4"/>
  <c r="E2987" i="4"/>
  <c r="F2986" i="4"/>
  <c r="E2986" i="4"/>
  <c r="F2985" i="4"/>
  <c r="E2985" i="4"/>
  <c r="F2984" i="4"/>
  <c r="E2984" i="4"/>
  <c r="F2983" i="4"/>
  <c r="E2983" i="4"/>
  <c r="F2982" i="4"/>
  <c r="E2982" i="4"/>
  <c r="F2981" i="4"/>
  <c r="E2981" i="4"/>
  <c r="F2980" i="4"/>
  <c r="E2980" i="4"/>
  <c r="F2979" i="4"/>
  <c r="E2979" i="4"/>
  <c r="F2978" i="4"/>
  <c r="E2978" i="4"/>
  <c r="F2977" i="4"/>
  <c r="E2977" i="4"/>
  <c r="F2976" i="4"/>
  <c r="E2976" i="4"/>
  <c r="F2975" i="4"/>
  <c r="E2975" i="4"/>
  <c r="F2974" i="4"/>
  <c r="E2974" i="4"/>
  <c r="F2973" i="4"/>
  <c r="E2973" i="4"/>
  <c r="F2972" i="4"/>
  <c r="E2972" i="4"/>
  <c r="F2971" i="4"/>
  <c r="E2971" i="4"/>
  <c r="F2970" i="4"/>
  <c r="E2970" i="4"/>
  <c r="F2969" i="4"/>
  <c r="E2969" i="4"/>
  <c r="F2968" i="4"/>
  <c r="E2968" i="4"/>
  <c r="F2967" i="4"/>
  <c r="E2967" i="4"/>
  <c r="F2966" i="4"/>
  <c r="E2966" i="4"/>
  <c r="F2965" i="4"/>
  <c r="E2965" i="4"/>
  <c r="F2964" i="4"/>
  <c r="E2964" i="4"/>
  <c r="F2963" i="4"/>
  <c r="E2963" i="4"/>
  <c r="F2962" i="4"/>
  <c r="E2962" i="4"/>
  <c r="F2961" i="4"/>
  <c r="E2961" i="4"/>
  <c r="F2960" i="4"/>
  <c r="E2960" i="4"/>
  <c r="F2959" i="4"/>
  <c r="E2959" i="4"/>
  <c r="F2958" i="4"/>
  <c r="E2958" i="4"/>
  <c r="F2957" i="4"/>
  <c r="E2957" i="4"/>
  <c r="F2956" i="4"/>
  <c r="E2956" i="4"/>
  <c r="F2955" i="4"/>
  <c r="E2955" i="4"/>
  <c r="F2954" i="4"/>
  <c r="E2954" i="4"/>
  <c r="F2953" i="4"/>
  <c r="E2953" i="4"/>
  <c r="F2952" i="4"/>
  <c r="E2952" i="4"/>
  <c r="F2951" i="4"/>
  <c r="E2951" i="4"/>
  <c r="F2950" i="4"/>
  <c r="E2950" i="4"/>
  <c r="F2949" i="4"/>
  <c r="E2949" i="4"/>
  <c r="F2948" i="4"/>
  <c r="E2948" i="4"/>
  <c r="F2947" i="4"/>
  <c r="E2947" i="4"/>
  <c r="F2946" i="4"/>
  <c r="E2946" i="4"/>
  <c r="F2945" i="4"/>
  <c r="E2945" i="4"/>
  <c r="F2944" i="4"/>
  <c r="E2944" i="4"/>
  <c r="F2943" i="4"/>
  <c r="E2943" i="4"/>
  <c r="F2942" i="4"/>
  <c r="E2942" i="4"/>
  <c r="F2941" i="4"/>
  <c r="E2941" i="4"/>
  <c r="F2940" i="4"/>
  <c r="E2940" i="4"/>
  <c r="F2939" i="4"/>
  <c r="E2939" i="4"/>
  <c r="F2938" i="4"/>
  <c r="E2938" i="4"/>
  <c r="F2937" i="4"/>
  <c r="E2937" i="4"/>
  <c r="F2936" i="4"/>
  <c r="E2936" i="4"/>
  <c r="F2935" i="4"/>
  <c r="E2935" i="4"/>
  <c r="F2934" i="4"/>
  <c r="E2934" i="4"/>
  <c r="F2933" i="4"/>
  <c r="E2933" i="4"/>
  <c r="F2932" i="4"/>
  <c r="E2932" i="4"/>
  <c r="F2931" i="4"/>
  <c r="E2931" i="4"/>
  <c r="F2930" i="4"/>
  <c r="E2930" i="4"/>
  <c r="F2929" i="4"/>
  <c r="E2929" i="4"/>
  <c r="F2928" i="4"/>
  <c r="E2928" i="4"/>
  <c r="F2927" i="4"/>
  <c r="E2927" i="4"/>
  <c r="F2926" i="4"/>
  <c r="E2926" i="4"/>
  <c r="F2925" i="4"/>
  <c r="E2925" i="4"/>
  <c r="F2924" i="4"/>
  <c r="E2924" i="4"/>
  <c r="F2923" i="4"/>
  <c r="E2923" i="4"/>
  <c r="F2922" i="4"/>
  <c r="E2922" i="4"/>
  <c r="F2921" i="4"/>
  <c r="E2921" i="4"/>
  <c r="F2920" i="4"/>
  <c r="E2920" i="4"/>
  <c r="F2919" i="4"/>
  <c r="E2919" i="4"/>
  <c r="F2918" i="4"/>
  <c r="E2918" i="4"/>
  <c r="F2917" i="4"/>
  <c r="E2917" i="4"/>
  <c r="F2916" i="4"/>
  <c r="E2916" i="4"/>
  <c r="F2915" i="4"/>
  <c r="E2915" i="4"/>
  <c r="F2914" i="4"/>
  <c r="E2914" i="4"/>
  <c r="F2913" i="4"/>
  <c r="E2913" i="4"/>
  <c r="F2912" i="4"/>
  <c r="E2912" i="4"/>
  <c r="F2911" i="4"/>
  <c r="E2911" i="4"/>
  <c r="F2910" i="4"/>
  <c r="E2910" i="4"/>
  <c r="F2909" i="4"/>
  <c r="E2909" i="4"/>
  <c r="F2908" i="4"/>
  <c r="E2908" i="4"/>
  <c r="F2907" i="4"/>
  <c r="E2907" i="4"/>
  <c r="F2906" i="4"/>
  <c r="E2906" i="4"/>
  <c r="F2905" i="4"/>
  <c r="E2905" i="4"/>
  <c r="F2904" i="4"/>
  <c r="E2904" i="4"/>
  <c r="F2903" i="4"/>
  <c r="E2903" i="4"/>
  <c r="F2902" i="4"/>
  <c r="E2902" i="4"/>
  <c r="F2901" i="4"/>
  <c r="E2901" i="4"/>
  <c r="F2900" i="4"/>
  <c r="E2900" i="4"/>
  <c r="F2899" i="4"/>
  <c r="E2899" i="4"/>
  <c r="F2898" i="4"/>
  <c r="E2898" i="4"/>
  <c r="F2897" i="4"/>
  <c r="E2897" i="4"/>
  <c r="F2896" i="4"/>
  <c r="E2896" i="4"/>
  <c r="F2895" i="4"/>
  <c r="E2895" i="4"/>
  <c r="F2894" i="4"/>
  <c r="E2894" i="4"/>
  <c r="F2893" i="4"/>
  <c r="E2893" i="4"/>
  <c r="F2892" i="4"/>
  <c r="E2892" i="4"/>
  <c r="F2891" i="4"/>
  <c r="E2891" i="4"/>
  <c r="F2890" i="4"/>
  <c r="E2890" i="4"/>
  <c r="F2889" i="4"/>
  <c r="E2889" i="4"/>
  <c r="F2888" i="4"/>
  <c r="E2888" i="4"/>
  <c r="F2887" i="4"/>
  <c r="E2887" i="4"/>
  <c r="F2886" i="4"/>
  <c r="E2886" i="4"/>
  <c r="F2885" i="4"/>
  <c r="E2885" i="4"/>
  <c r="F2884" i="4"/>
  <c r="E2884" i="4"/>
  <c r="F2883" i="4"/>
  <c r="E2883" i="4"/>
  <c r="F2882" i="4"/>
  <c r="E2882" i="4"/>
  <c r="F2881" i="4"/>
  <c r="E2881" i="4"/>
  <c r="F2880" i="4"/>
  <c r="E2880" i="4"/>
  <c r="F2879" i="4"/>
  <c r="E2879" i="4"/>
  <c r="F2878" i="4"/>
  <c r="E2878" i="4"/>
  <c r="F2877" i="4"/>
  <c r="E2877" i="4"/>
  <c r="F2876" i="4"/>
  <c r="E2876" i="4"/>
  <c r="F2875" i="4"/>
  <c r="E2875" i="4"/>
  <c r="F2874" i="4"/>
  <c r="E2874" i="4"/>
  <c r="F2873" i="4"/>
  <c r="E2873" i="4"/>
  <c r="F2872" i="4"/>
  <c r="E2872" i="4"/>
  <c r="F2871" i="4"/>
  <c r="E2871" i="4"/>
  <c r="F2870" i="4"/>
  <c r="E2870" i="4"/>
  <c r="F2869" i="4"/>
  <c r="E2869" i="4"/>
  <c r="F2868" i="4"/>
  <c r="E2868" i="4"/>
  <c r="F2867" i="4"/>
  <c r="E2867" i="4"/>
  <c r="F2866" i="4"/>
  <c r="E2866" i="4"/>
  <c r="F2865" i="4"/>
  <c r="E2865" i="4"/>
  <c r="F2864" i="4"/>
  <c r="E2864" i="4"/>
  <c r="F2863" i="4"/>
  <c r="E2863" i="4"/>
  <c r="F2862" i="4"/>
  <c r="E2862" i="4"/>
  <c r="F2861" i="4"/>
  <c r="E2861" i="4"/>
  <c r="F2860" i="4"/>
  <c r="E2860" i="4"/>
  <c r="F2859" i="4"/>
  <c r="E2859" i="4"/>
  <c r="F2858" i="4"/>
  <c r="E2858" i="4"/>
  <c r="F2857" i="4"/>
  <c r="E2857" i="4"/>
  <c r="F2856" i="4"/>
  <c r="E2856" i="4"/>
  <c r="F2855" i="4"/>
  <c r="E2855" i="4"/>
  <c r="F2854" i="4"/>
  <c r="E2854" i="4"/>
  <c r="F2853" i="4"/>
  <c r="E2853" i="4"/>
  <c r="F2852" i="4"/>
  <c r="E2852" i="4"/>
  <c r="F2851" i="4"/>
  <c r="E2851" i="4"/>
  <c r="F2850" i="4"/>
  <c r="E2850" i="4"/>
  <c r="F2849" i="4"/>
  <c r="E2849" i="4"/>
  <c r="F2848" i="4"/>
  <c r="E2848" i="4"/>
  <c r="F2847" i="4"/>
  <c r="E2847" i="4"/>
  <c r="F2846" i="4"/>
  <c r="E2846" i="4"/>
  <c r="F2845" i="4"/>
  <c r="E2845" i="4"/>
  <c r="F2844" i="4"/>
  <c r="E2844" i="4"/>
  <c r="F2843" i="4"/>
  <c r="E2843" i="4"/>
  <c r="F2842" i="4"/>
  <c r="E2842" i="4"/>
  <c r="F2841" i="4"/>
  <c r="E2841" i="4"/>
  <c r="F2840" i="4"/>
  <c r="E2840" i="4"/>
  <c r="F2839" i="4"/>
  <c r="E2839" i="4"/>
  <c r="F2838" i="4"/>
  <c r="E2838" i="4"/>
  <c r="F2837" i="4"/>
  <c r="E2837" i="4"/>
  <c r="F2836" i="4"/>
  <c r="E2836" i="4"/>
  <c r="F2835" i="4"/>
  <c r="E2835" i="4"/>
  <c r="F2834" i="4"/>
  <c r="E2834" i="4"/>
  <c r="F2833" i="4"/>
  <c r="E2833" i="4"/>
  <c r="F2832" i="4"/>
  <c r="E2832" i="4"/>
  <c r="F2831" i="4"/>
  <c r="E2831" i="4"/>
  <c r="F2830" i="4"/>
  <c r="E2830" i="4"/>
  <c r="F2829" i="4"/>
  <c r="E2829" i="4"/>
  <c r="F2828" i="4"/>
  <c r="E2828" i="4"/>
  <c r="F2827" i="4"/>
  <c r="E2827" i="4"/>
  <c r="F2826" i="4"/>
  <c r="E2826" i="4"/>
  <c r="F2825" i="4"/>
  <c r="E2825" i="4"/>
  <c r="F2824" i="4"/>
  <c r="E2824" i="4"/>
  <c r="F2823" i="4"/>
  <c r="E2823" i="4"/>
  <c r="F2822" i="4"/>
  <c r="E2822" i="4"/>
  <c r="F2821" i="4"/>
  <c r="E2821" i="4"/>
  <c r="F2820" i="4"/>
  <c r="E2820" i="4"/>
  <c r="F2819" i="4"/>
  <c r="E2819" i="4"/>
  <c r="F2818" i="4"/>
  <c r="E2818" i="4"/>
  <c r="F2817" i="4"/>
  <c r="E2817" i="4"/>
  <c r="F2816" i="4"/>
  <c r="E2816" i="4"/>
  <c r="F2815" i="4"/>
  <c r="E2815" i="4"/>
  <c r="F2814" i="4"/>
  <c r="E2814" i="4"/>
  <c r="F2813" i="4"/>
  <c r="E2813" i="4"/>
  <c r="F2812" i="4"/>
  <c r="E2812" i="4"/>
  <c r="F2811" i="4"/>
  <c r="E2811" i="4"/>
  <c r="F2810" i="4"/>
  <c r="E2810" i="4"/>
  <c r="F2809" i="4"/>
  <c r="E2809" i="4"/>
  <c r="F2808" i="4"/>
  <c r="E2808" i="4"/>
  <c r="F2807" i="4"/>
  <c r="E2807" i="4"/>
  <c r="F2806" i="4"/>
  <c r="E2806" i="4"/>
  <c r="F2805" i="4"/>
  <c r="E2805" i="4"/>
  <c r="F2804" i="4"/>
  <c r="E2804" i="4"/>
  <c r="F2803" i="4"/>
  <c r="E2803" i="4"/>
  <c r="F2802" i="4"/>
  <c r="E2802" i="4"/>
  <c r="F2801" i="4"/>
  <c r="E2801" i="4"/>
  <c r="F2800" i="4"/>
  <c r="E2800" i="4"/>
  <c r="F2799" i="4"/>
  <c r="E2799" i="4"/>
  <c r="F2798" i="4"/>
  <c r="E2798" i="4"/>
  <c r="F2797" i="4"/>
  <c r="E2797" i="4"/>
  <c r="F2796" i="4"/>
  <c r="E2796" i="4"/>
  <c r="F2795" i="4"/>
  <c r="E2795" i="4"/>
  <c r="F2794" i="4"/>
  <c r="E2794" i="4"/>
  <c r="F2793" i="4"/>
  <c r="E2793" i="4"/>
  <c r="F2792" i="4"/>
  <c r="E2792" i="4"/>
  <c r="F2791" i="4"/>
  <c r="E2791" i="4"/>
  <c r="F2790" i="4"/>
  <c r="E2790" i="4"/>
  <c r="F2789" i="4"/>
  <c r="E2789" i="4"/>
  <c r="F2788" i="4"/>
  <c r="E2788" i="4"/>
  <c r="F2787" i="4"/>
  <c r="E2787" i="4"/>
  <c r="F2786" i="4"/>
  <c r="E2786" i="4"/>
  <c r="F2785" i="4"/>
  <c r="E2785" i="4"/>
  <c r="F2784" i="4"/>
  <c r="E2784" i="4"/>
  <c r="F2783" i="4"/>
  <c r="E2783" i="4"/>
  <c r="F2782" i="4"/>
  <c r="E2782" i="4"/>
  <c r="F2781" i="4"/>
  <c r="E2781" i="4"/>
  <c r="F2780" i="4"/>
  <c r="E2780" i="4"/>
  <c r="F2779" i="4"/>
  <c r="E2779" i="4"/>
  <c r="F2778" i="4"/>
  <c r="E2778" i="4"/>
  <c r="F2777" i="4"/>
  <c r="E2777" i="4"/>
  <c r="F2776" i="4"/>
  <c r="E2776" i="4"/>
  <c r="F2775" i="4"/>
  <c r="E2775" i="4"/>
  <c r="F2774" i="4"/>
  <c r="E2774" i="4"/>
  <c r="F2773" i="4"/>
  <c r="E2773" i="4"/>
  <c r="F2772" i="4"/>
  <c r="E2772" i="4"/>
  <c r="F2771" i="4"/>
  <c r="E2771" i="4"/>
  <c r="F2770" i="4"/>
  <c r="E2770" i="4"/>
  <c r="F2769" i="4"/>
  <c r="E2769" i="4"/>
  <c r="F2768" i="4"/>
  <c r="E2768" i="4"/>
  <c r="F2767" i="4"/>
  <c r="E2767" i="4"/>
  <c r="F2766" i="4"/>
  <c r="E2766" i="4"/>
  <c r="F2765" i="4"/>
  <c r="E2765" i="4"/>
  <c r="F2764" i="4"/>
  <c r="E2764" i="4"/>
  <c r="F2763" i="4"/>
  <c r="E2763" i="4"/>
  <c r="F2762" i="4"/>
  <c r="E2762" i="4"/>
  <c r="F2761" i="4"/>
  <c r="E2761" i="4"/>
  <c r="F2760" i="4"/>
  <c r="E2760" i="4"/>
  <c r="F2759" i="4"/>
  <c r="E2759" i="4"/>
  <c r="F2758" i="4"/>
  <c r="E2758" i="4"/>
  <c r="F2757" i="4"/>
  <c r="E2757" i="4"/>
  <c r="F2756" i="4"/>
  <c r="E2756" i="4"/>
  <c r="F2755" i="4"/>
  <c r="E2755" i="4"/>
  <c r="F2754" i="4"/>
  <c r="E2754" i="4"/>
  <c r="F2753" i="4"/>
  <c r="E2753" i="4"/>
  <c r="F2752" i="4"/>
  <c r="E2752" i="4"/>
  <c r="F2751" i="4"/>
  <c r="E2751" i="4"/>
  <c r="F2750" i="4"/>
  <c r="E2750" i="4"/>
  <c r="F2749" i="4"/>
  <c r="E2749" i="4"/>
  <c r="F2748" i="4"/>
  <c r="E2748" i="4"/>
  <c r="F2747" i="4"/>
  <c r="E2747" i="4"/>
  <c r="F2746" i="4"/>
  <c r="E2746" i="4"/>
  <c r="F2745" i="4"/>
  <c r="E2745" i="4"/>
  <c r="F2744" i="4"/>
  <c r="E2744" i="4"/>
  <c r="F2743" i="4"/>
  <c r="E2743" i="4"/>
  <c r="F2742" i="4"/>
  <c r="E2742" i="4"/>
  <c r="F2741" i="4"/>
  <c r="E2741" i="4"/>
  <c r="F2740" i="4"/>
  <c r="E2740" i="4"/>
  <c r="F2739" i="4"/>
  <c r="E2739" i="4"/>
  <c r="F2738" i="4"/>
  <c r="E2738" i="4"/>
  <c r="F2737" i="4"/>
  <c r="E2737" i="4"/>
  <c r="F2736" i="4"/>
  <c r="E2736" i="4"/>
  <c r="F2735" i="4"/>
  <c r="E2735" i="4"/>
  <c r="F2734" i="4"/>
  <c r="E2734" i="4"/>
  <c r="F2733" i="4"/>
  <c r="E2733" i="4"/>
  <c r="F2732" i="4"/>
  <c r="E2732" i="4"/>
  <c r="F2731" i="4"/>
  <c r="E2731" i="4"/>
  <c r="F2730" i="4"/>
  <c r="E2730" i="4"/>
  <c r="F2729" i="4"/>
  <c r="E2729" i="4"/>
  <c r="F2728" i="4"/>
  <c r="E2728" i="4"/>
  <c r="F2727" i="4"/>
  <c r="E2727" i="4"/>
  <c r="F2726" i="4"/>
  <c r="E2726" i="4"/>
  <c r="F2725" i="4"/>
  <c r="E2725" i="4"/>
  <c r="F2724" i="4"/>
  <c r="E2724" i="4"/>
  <c r="F2723" i="4"/>
  <c r="E2723" i="4"/>
  <c r="F2722" i="4"/>
  <c r="E2722" i="4"/>
  <c r="F2721" i="4"/>
  <c r="E2721" i="4"/>
  <c r="F2720" i="4"/>
  <c r="E2720" i="4"/>
  <c r="F2719" i="4"/>
  <c r="E2719" i="4"/>
  <c r="F2718" i="4"/>
  <c r="E2718" i="4"/>
  <c r="F2717" i="4"/>
  <c r="E2717" i="4"/>
  <c r="F2716" i="4"/>
  <c r="E2716" i="4"/>
  <c r="F2715" i="4"/>
  <c r="E2715" i="4"/>
  <c r="F2714" i="4"/>
  <c r="E2714" i="4"/>
  <c r="F2713" i="4"/>
  <c r="E2713" i="4"/>
  <c r="F2712" i="4"/>
  <c r="E2712" i="4"/>
  <c r="F2711" i="4"/>
  <c r="E2711" i="4"/>
  <c r="F2710" i="4"/>
  <c r="E2710" i="4"/>
  <c r="F2709" i="4"/>
  <c r="E2709" i="4"/>
  <c r="F2708" i="4"/>
  <c r="E2708" i="4"/>
  <c r="F2707" i="4"/>
  <c r="E2707" i="4"/>
  <c r="F2706" i="4"/>
  <c r="E2706" i="4"/>
  <c r="F2705" i="4"/>
  <c r="E2705" i="4"/>
  <c r="F2704" i="4"/>
  <c r="E2704" i="4"/>
  <c r="F2703" i="4"/>
  <c r="E2703" i="4"/>
  <c r="F2702" i="4"/>
  <c r="E2702" i="4"/>
  <c r="F2701" i="4"/>
  <c r="E2701" i="4"/>
  <c r="F2700" i="4"/>
  <c r="E2700" i="4"/>
  <c r="F2699" i="4"/>
  <c r="E2699" i="4"/>
  <c r="F2698" i="4"/>
  <c r="E2698" i="4"/>
  <c r="F2697" i="4"/>
  <c r="E2697" i="4"/>
  <c r="F2696" i="4"/>
  <c r="E2696" i="4"/>
  <c r="F2695" i="4"/>
  <c r="E2695" i="4"/>
  <c r="F2694" i="4"/>
  <c r="E2694" i="4"/>
  <c r="F2693" i="4"/>
  <c r="E2693" i="4"/>
  <c r="F2692" i="4"/>
  <c r="E2692" i="4"/>
  <c r="F2691" i="4"/>
  <c r="E2691" i="4"/>
  <c r="F2690" i="4"/>
  <c r="E2690" i="4"/>
  <c r="F2689" i="4"/>
  <c r="E2689" i="4"/>
  <c r="F2688" i="4"/>
  <c r="E2688" i="4"/>
  <c r="F2687" i="4"/>
  <c r="E2687" i="4"/>
  <c r="F2686" i="4"/>
  <c r="E2686" i="4"/>
  <c r="F2685" i="4"/>
  <c r="E2685" i="4"/>
  <c r="F2684" i="4"/>
  <c r="E2684" i="4"/>
  <c r="F2683" i="4"/>
  <c r="E2683" i="4"/>
  <c r="F2682" i="4"/>
  <c r="E2682" i="4"/>
  <c r="F2681" i="4"/>
  <c r="E2681" i="4"/>
  <c r="F2680" i="4"/>
  <c r="E2680" i="4"/>
  <c r="F2679" i="4"/>
  <c r="E2679" i="4"/>
  <c r="F2678" i="4"/>
  <c r="E2678" i="4"/>
  <c r="F2677" i="4"/>
  <c r="E2677" i="4"/>
  <c r="F2676" i="4"/>
  <c r="E2676" i="4"/>
  <c r="F2675" i="4"/>
  <c r="E2675" i="4"/>
  <c r="F2674" i="4"/>
  <c r="E2674" i="4"/>
  <c r="F2673" i="4"/>
  <c r="E2673" i="4"/>
  <c r="F2672" i="4"/>
  <c r="E2672" i="4"/>
  <c r="F2671" i="4"/>
  <c r="E2671" i="4"/>
  <c r="F2670" i="4"/>
  <c r="E2670" i="4"/>
  <c r="F2669" i="4"/>
  <c r="E2669" i="4"/>
  <c r="F2668" i="4"/>
  <c r="E2668" i="4"/>
  <c r="F2667" i="4"/>
  <c r="E2667" i="4"/>
  <c r="F2666" i="4"/>
  <c r="E2666" i="4"/>
  <c r="F2665" i="4"/>
  <c r="E2665" i="4"/>
  <c r="F2664" i="4"/>
  <c r="E2664" i="4"/>
  <c r="F2663" i="4"/>
  <c r="E2663" i="4"/>
  <c r="F2662" i="4"/>
  <c r="E2662" i="4"/>
  <c r="F2661" i="4"/>
  <c r="E2661" i="4"/>
  <c r="F2660" i="4"/>
  <c r="E2660" i="4"/>
  <c r="F2659" i="4"/>
  <c r="E2659" i="4"/>
  <c r="F2658" i="4"/>
  <c r="E2658" i="4"/>
  <c r="F2657" i="4"/>
  <c r="E2657" i="4"/>
  <c r="F2656" i="4"/>
  <c r="E2656" i="4"/>
  <c r="F2655" i="4"/>
  <c r="E2655" i="4"/>
  <c r="F2654" i="4"/>
  <c r="E2654" i="4"/>
  <c r="F2653" i="4"/>
  <c r="E2653" i="4"/>
  <c r="F2652" i="4"/>
  <c r="E2652" i="4"/>
  <c r="F2651" i="4"/>
  <c r="E2651" i="4"/>
  <c r="F2650" i="4"/>
  <c r="E2650" i="4"/>
  <c r="F2649" i="4"/>
  <c r="E2649" i="4"/>
  <c r="F2648" i="4"/>
  <c r="E2648" i="4"/>
  <c r="F2647" i="4"/>
  <c r="E2647" i="4"/>
  <c r="F2646" i="4"/>
  <c r="E2646" i="4"/>
  <c r="F2645" i="4"/>
  <c r="E2645" i="4"/>
  <c r="F2644" i="4"/>
  <c r="E2644" i="4"/>
  <c r="F2643" i="4"/>
  <c r="E2643" i="4"/>
  <c r="F2642" i="4"/>
  <c r="E2642" i="4"/>
  <c r="F2641" i="4"/>
  <c r="E2641" i="4"/>
  <c r="F2640" i="4"/>
  <c r="E2640" i="4"/>
  <c r="F2639" i="4"/>
  <c r="E2639" i="4"/>
  <c r="F2638" i="4"/>
  <c r="E2638" i="4"/>
  <c r="F2637" i="4"/>
  <c r="E2637" i="4"/>
  <c r="F2636" i="4"/>
  <c r="E2636" i="4"/>
  <c r="F2635" i="4"/>
  <c r="E2635" i="4"/>
  <c r="F2634" i="4"/>
  <c r="E2634" i="4"/>
  <c r="F2633" i="4"/>
  <c r="E2633" i="4"/>
  <c r="F2632" i="4"/>
  <c r="E2632" i="4"/>
  <c r="F2631" i="4"/>
  <c r="E2631" i="4"/>
  <c r="F2630" i="4"/>
  <c r="E2630" i="4"/>
  <c r="F2629" i="4"/>
  <c r="E2629" i="4"/>
  <c r="F2628" i="4"/>
  <c r="E2628" i="4"/>
  <c r="F2627" i="4"/>
  <c r="E2627" i="4"/>
  <c r="F2626" i="4"/>
  <c r="E2626" i="4"/>
  <c r="F2625" i="4"/>
  <c r="E2625" i="4"/>
  <c r="F2624" i="4"/>
  <c r="E2624" i="4"/>
  <c r="F2623" i="4"/>
  <c r="E2623" i="4"/>
  <c r="F2622" i="4"/>
  <c r="E2622" i="4"/>
  <c r="F2621" i="4"/>
  <c r="E2621" i="4"/>
  <c r="F2620" i="4"/>
  <c r="E2620" i="4"/>
  <c r="F2619" i="4"/>
  <c r="E2619" i="4"/>
  <c r="F2618" i="4"/>
  <c r="E2618" i="4"/>
  <c r="F2617" i="4"/>
  <c r="E2617" i="4"/>
  <c r="F2616" i="4"/>
  <c r="E2616" i="4"/>
  <c r="F2615" i="4"/>
  <c r="E2615" i="4"/>
  <c r="F2614" i="4"/>
  <c r="E2614" i="4"/>
  <c r="F2613" i="4"/>
  <c r="E2613" i="4"/>
  <c r="F2612" i="4"/>
  <c r="E2612" i="4"/>
  <c r="F2611" i="4"/>
  <c r="E2611" i="4"/>
  <c r="F2610" i="4"/>
  <c r="E2610" i="4"/>
  <c r="F2609" i="4"/>
  <c r="E2609" i="4"/>
  <c r="F2608" i="4"/>
  <c r="E2608" i="4"/>
  <c r="F2607" i="4"/>
  <c r="E2607" i="4"/>
  <c r="F2606" i="4"/>
  <c r="E2606" i="4"/>
  <c r="F2605" i="4"/>
  <c r="E2605" i="4"/>
  <c r="F2604" i="4"/>
  <c r="E2604" i="4"/>
  <c r="F2603" i="4"/>
  <c r="E2603" i="4"/>
  <c r="F2602" i="4"/>
  <c r="E2602" i="4"/>
  <c r="F2601" i="4"/>
  <c r="E2601" i="4"/>
  <c r="F2600" i="4"/>
  <c r="E2600" i="4"/>
  <c r="F2599" i="4"/>
  <c r="E2599" i="4"/>
  <c r="F2598" i="4"/>
  <c r="E2598" i="4"/>
  <c r="F2597" i="4"/>
  <c r="E2597" i="4"/>
  <c r="F2596" i="4"/>
  <c r="E2596" i="4"/>
  <c r="F2595" i="4"/>
  <c r="E2595" i="4"/>
  <c r="F2594" i="4"/>
  <c r="E2594" i="4"/>
  <c r="F2593" i="4"/>
  <c r="E2593" i="4"/>
  <c r="F2592" i="4"/>
  <c r="E2592" i="4"/>
  <c r="F2591" i="4"/>
  <c r="E2591" i="4"/>
  <c r="F2590" i="4"/>
  <c r="E2590" i="4"/>
  <c r="F2589" i="4"/>
  <c r="E2589" i="4"/>
  <c r="F2588" i="4"/>
  <c r="E2588" i="4"/>
  <c r="F2587" i="4"/>
  <c r="E2587" i="4"/>
  <c r="F2586" i="4"/>
  <c r="E2586" i="4"/>
  <c r="F2585" i="4"/>
  <c r="E2585" i="4"/>
  <c r="F2584" i="4"/>
  <c r="E2584" i="4"/>
  <c r="F2583" i="4"/>
  <c r="E2583" i="4"/>
  <c r="F2582" i="4"/>
  <c r="E2582" i="4"/>
  <c r="F2581" i="4"/>
  <c r="E2581" i="4"/>
  <c r="F2580" i="4"/>
  <c r="E2580" i="4"/>
  <c r="F2579" i="4"/>
  <c r="E2579" i="4"/>
  <c r="F2578" i="4"/>
  <c r="E2578" i="4"/>
  <c r="F2577" i="4"/>
  <c r="E2577" i="4"/>
  <c r="F2576" i="4"/>
  <c r="E2576" i="4"/>
  <c r="F2575" i="4"/>
  <c r="E2575" i="4"/>
  <c r="F2574" i="4"/>
  <c r="E2574" i="4"/>
  <c r="F2573" i="4"/>
  <c r="E2573" i="4"/>
  <c r="F2572" i="4"/>
  <c r="E2572" i="4"/>
  <c r="F2571" i="4"/>
  <c r="E2571" i="4"/>
  <c r="F2570" i="4"/>
  <c r="E2570" i="4"/>
  <c r="F2569" i="4"/>
  <c r="E2569" i="4"/>
  <c r="F2568" i="4"/>
  <c r="E2568" i="4"/>
  <c r="F2567" i="4"/>
  <c r="E2567" i="4"/>
  <c r="F2566" i="4"/>
  <c r="E2566" i="4"/>
  <c r="F2565" i="4"/>
  <c r="E2565" i="4"/>
  <c r="F2564" i="4"/>
  <c r="E2564" i="4"/>
  <c r="F2563" i="4"/>
  <c r="E2563" i="4"/>
  <c r="F2562" i="4"/>
  <c r="E2562" i="4"/>
  <c r="F2561" i="4"/>
  <c r="E2561" i="4"/>
  <c r="F2560" i="4"/>
  <c r="E2560" i="4"/>
  <c r="F2559" i="4"/>
  <c r="E2559" i="4"/>
  <c r="F2558" i="4"/>
  <c r="E2558" i="4"/>
  <c r="F2557" i="4"/>
  <c r="E2557" i="4"/>
  <c r="F2556" i="4"/>
  <c r="E2556" i="4"/>
  <c r="F2555" i="4"/>
  <c r="E2555" i="4"/>
  <c r="F2554" i="4"/>
  <c r="E2554" i="4"/>
  <c r="F2553" i="4"/>
  <c r="E2553" i="4"/>
  <c r="F2552" i="4"/>
  <c r="E2552" i="4"/>
  <c r="F2551" i="4"/>
  <c r="E2551" i="4"/>
  <c r="F2550" i="4"/>
  <c r="E2550" i="4"/>
  <c r="F2549" i="4"/>
  <c r="E2549" i="4"/>
  <c r="F2548" i="4"/>
  <c r="E2548" i="4"/>
  <c r="F2547" i="4"/>
  <c r="E2547" i="4"/>
  <c r="F2546" i="4"/>
  <c r="E2546" i="4"/>
  <c r="F2545" i="4"/>
  <c r="E2545" i="4"/>
  <c r="F2544" i="4"/>
  <c r="E2544" i="4"/>
  <c r="F2543" i="4"/>
  <c r="E2543" i="4"/>
  <c r="F2542" i="4"/>
  <c r="E2542" i="4"/>
  <c r="F2541" i="4"/>
  <c r="E2541" i="4"/>
  <c r="F2540" i="4"/>
  <c r="E2540" i="4"/>
  <c r="F2539" i="4"/>
  <c r="E2539" i="4"/>
  <c r="F2538" i="4"/>
  <c r="E2538" i="4"/>
  <c r="F2537" i="4"/>
  <c r="E2537" i="4"/>
  <c r="F2536" i="4"/>
  <c r="E2536" i="4"/>
  <c r="F2535" i="4"/>
  <c r="E2535" i="4"/>
  <c r="F2534" i="4"/>
  <c r="E2534" i="4"/>
  <c r="F2533" i="4"/>
  <c r="E2533" i="4"/>
  <c r="F2532" i="4"/>
  <c r="E2532" i="4"/>
  <c r="F2531" i="4"/>
  <c r="E2531" i="4"/>
  <c r="F2530" i="4"/>
  <c r="E2530" i="4"/>
  <c r="F2529" i="4"/>
  <c r="E2529" i="4"/>
  <c r="F2528" i="4"/>
  <c r="E2528" i="4"/>
  <c r="F2527" i="4"/>
  <c r="E2527" i="4"/>
  <c r="F2526" i="4"/>
  <c r="E2526" i="4"/>
  <c r="F2525" i="4"/>
  <c r="E2525" i="4"/>
  <c r="F2524" i="4"/>
  <c r="E2524" i="4"/>
  <c r="F2523" i="4"/>
  <c r="E2523" i="4"/>
  <c r="F2522" i="4"/>
  <c r="E2522" i="4"/>
  <c r="F2521" i="4"/>
  <c r="E2521" i="4"/>
  <c r="F2520" i="4"/>
  <c r="E2520" i="4"/>
  <c r="F2519" i="4"/>
  <c r="E2519" i="4"/>
  <c r="F2518" i="4"/>
  <c r="E2518" i="4"/>
  <c r="F2517" i="4"/>
  <c r="E2517" i="4"/>
  <c r="F2516" i="4"/>
  <c r="E2516" i="4"/>
  <c r="F2515" i="4"/>
  <c r="E2515" i="4"/>
  <c r="F2514" i="4"/>
  <c r="E2514" i="4"/>
  <c r="F2513" i="4"/>
  <c r="E2513" i="4"/>
  <c r="F2512" i="4"/>
  <c r="E2512" i="4"/>
  <c r="F2511" i="4"/>
  <c r="E2511" i="4"/>
  <c r="F2510" i="4"/>
  <c r="E2510" i="4"/>
  <c r="F2509" i="4"/>
  <c r="E2509" i="4"/>
  <c r="F2508" i="4"/>
  <c r="E2508" i="4"/>
  <c r="F2507" i="4"/>
  <c r="E2507" i="4"/>
  <c r="F2506" i="4"/>
  <c r="E2506" i="4"/>
  <c r="F2505" i="4"/>
  <c r="E2505" i="4"/>
  <c r="F2504" i="4"/>
  <c r="E2504" i="4"/>
  <c r="F2503" i="4"/>
  <c r="E2503" i="4"/>
  <c r="F2502" i="4"/>
  <c r="E2502" i="4"/>
  <c r="F2501" i="4"/>
  <c r="E2501" i="4"/>
  <c r="F2500" i="4"/>
  <c r="E2500" i="4"/>
  <c r="F2499" i="4"/>
  <c r="E2499" i="4"/>
  <c r="F2498" i="4"/>
  <c r="E2498" i="4"/>
  <c r="F2497" i="4"/>
  <c r="E2497" i="4"/>
  <c r="F2496" i="4"/>
  <c r="E2496" i="4"/>
  <c r="F2495" i="4"/>
  <c r="E2495" i="4"/>
  <c r="F2494" i="4"/>
  <c r="E2494" i="4"/>
  <c r="F2493" i="4"/>
  <c r="E2493" i="4"/>
  <c r="F2492" i="4"/>
  <c r="E2492" i="4"/>
  <c r="F2491" i="4"/>
  <c r="E2491" i="4"/>
  <c r="F2490" i="4"/>
  <c r="E2490" i="4"/>
  <c r="F2489" i="4"/>
  <c r="E2489" i="4"/>
  <c r="F2488" i="4"/>
  <c r="E2488" i="4"/>
  <c r="F2487" i="4"/>
  <c r="E2487" i="4"/>
  <c r="F2486" i="4"/>
  <c r="E2486" i="4"/>
  <c r="F2485" i="4"/>
  <c r="E2485" i="4"/>
  <c r="F2484" i="4"/>
  <c r="E2484" i="4"/>
  <c r="F2483" i="4"/>
  <c r="E2483" i="4"/>
  <c r="F2482" i="4"/>
  <c r="E2482" i="4"/>
  <c r="F2481" i="4"/>
  <c r="E2481" i="4"/>
  <c r="F2480" i="4"/>
  <c r="E2480" i="4"/>
  <c r="F2479" i="4"/>
  <c r="E2479" i="4"/>
  <c r="F2478" i="4"/>
  <c r="E2478" i="4"/>
  <c r="F2477" i="4"/>
  <c r="E2477" i="4"/>
  <c r="F2476" i="4"/>
  <c r="E2476" i="4"/>
  <c r="F2475" i="4"/>
  <c r="E2475" i="4"/>
  <c r="F2474" i="4"/>
  <c r="E2474" i="4"/>
  <c r="F2473" i="4"/>
  <c r="E2473" i="4"/>
  <c r="F2472" i="4"/>
  <c r="E2472" i="4"/>
  <c r="F2471" i="4"/>
  <c r="E2471" i="4"/>
  <c r="F2470" i="4"/>
  <c r="E2470" i="4"/>
  <c r="F2469" i="4"/>
  <c r="E2469" i="4"/>
  <c r="F2468" i="4"/>
  <c r="E2468" i="4"/>
  <c r="F2467" i="4"/>
  <c r="E2467" i="4"/>
  <c r="F2466" i="4"/>
  <c r="E2466" i="4"/>
  <c r="F2465" i="4"/>
  <c r="E2465" i="4"/>
  <c r="F2464" i="4"/>
  <c r="E2464" i="4"/>
  <c r="F2463" i="4"/>
  <c r="E2463" i="4"/>
  <c r="F2462" i="4"/>
  <c r="E2462" i="4"/>
  <c r="F2461" i="4"/>
  <c r="E2461" i="4"/>
  <c r="F2460" i="4"/>
  <c r="E2460" i="4"/>
  <c r="F2459" i="4"/>
  <c r="E2459" i="4"/>
  <c r="F2458" i="4"/>
  <c r="E2458" i="4"/>
  <c r="F2457" i="4"/>
  <c r="E2457" i="4"/>
  <c r="F2456" i="4"/>
  <c r="E2456" i="4"/>
  <c r="F2455" i="4"/>
  <c r="E2455" i="4"/>
  <c r="F2454" i="4"/>
  <c r="E2454" i="4"/>
  <c r="F2453" i="4"/>
  <c r="E2453" i="4"/>
  <c r="F2452" i="4"/>
  <c r="E2452" i="4"/>
  <c r="F2451" i="4"/>
  <c r="E2451" i="4"/>
  <c r="F2450" i="4"/>
  <c r="E2450" i="4"/>
  <c r="F2449" i="4"/>
  <c r="E2449" i="4"/>
  <c r="F2448" i="4"/>
  <c r="E2448" i="4"/>
  <c r="F2447" i="4"/>
  <c r="E2447" i="4"/>
  <c r="F2446" i="4"/>
  <c r="E2446" i="4"/>
  <c r="F2445" i="4"/>
  <c r="E2445" i="4"/>
  <c r="F2444" i="4"/>
  <c r="E2444" i="4"/>
  <c r="F2443" i="4"/>
  <c r="E2443" i="4"/>
  <c r="F2442" i="4"/>
  <c r="E2442" i="4"/>
  <c r="F2441" i="4"/>
  <c r="E2441" i="4"/>
  <c r="F2440" i="4"/>
  <c r="E2440" i="4"/>
  <c r="F2439" i="4"/>
  <c r="E2439" i="4"/>
  <c r="F2438" i="4"/>
  <c r="E2438" i="4"/>
  <c r="F2437" i="4"/>
  <c r="E2437" i="4"/>
  <c r="F2436" i="4"/>
  <c r="E2436" i="4"/>
  <c r="F2435" i="4"/>
  <c r="E2435" i="4"/>
  <c r="F2434" i="4"/>
  <c r="E2434" i="4"/>
  <c r="F2433" i="4"/>
  <c r="E2433" i="4"/>
  <c r="F2432" i="4"/>
  <c r="E2432" i="4"/>
  <c r="F2431" i="4"/>
  <c r="E2431" i="4"/>
  <c r="F2430" i="4"/>
  <c r="E2430" i="4"/>
  <c r="F2429" i="4"/>
  <c r="E2429" i="4"/>
  <c r="F2428" i="4"/>
  <c r="E2428" i="4"/>
  <c r="F2427" i="4"/>
  <c r="E2427" i="4"/>
  <c r="F2426" i="4"/>
  <c r="E2426" i="4"/>
  <c r="F2425" i="4"/>
  <c r="E2425" i="4"/>
  <c r="F2424" i="4"/>
  <c r="E2424" i="4"/>
  <c r="F2423" i="4"/>
  <c r="E2423" i="4"/>
  <c r="F2422" i="4"/>
  <c r="E2422" i="4"/>
  <c r="F2421" i="4"/>
  <c r="E2421" i="4"/>
  <c r="F2420" i="4"/>
  <c r="E2420" i="4"/>
  <c r="F2419" i="4"/>
  <c r="E2419" i="4"/>
  <c r="F2418" i="4"/>
  <c r="E2418" i="4"/>
  <c r="F2417" i="4"/>
  <c r="E2417" i="4"/>
  <c r="F2416" i="4"/>
  <c r="E2416" i="4"/>
  <c r="F2415" i="4"/>
  <c r="E2415" i="4"/>
  <c r="F2414" i="4"/>
  <c r="E2414" i="4"/>
  <c r="F2413" i="4"/>
  <c r="E2413" i="4"/>
  <c r="F2412" i="4"/>
  <c r="E2412" i="4"/>
  <c r="F2411" i="4"/>
  <c r="E2411" i="4"/>
  <c r="F2410" i="4"/>
  <c r="E2410" i="4"/>
  <c r="F2409" i="4"/>
  <c r="E2409" i="4"/>
  <c r="F2408" i="4"/>
  <c r="E2408" i="4"/>
  <c r="F2407" i="4"/>
  <c r="E2407" i="4"/>
  <c r="F2406" i="4"/>
  <c r="E2406" i="4"/>
  <c r="F2405" i="4"/>
  <c r="E2405" i="4"/>
  <c r="F2404" i="4"/>
  <c r="E2404" i="4"/>
  <c r="F2403" i="4"/>
  <c r="E2403" i="4"/>
  <c r="F2402" i="4"/>
  <c r="E2402" i="4"/>
  <c r="F2401" i="4"/>
  <c r="E2401" i="4"/>
  <c r="F2400" i="4"/>
  <c r="E2400" i="4"/>
  <c r="F2399" i="4"/>
  <c r="E2399" i="4"/>
  <c r="F2398" i="4"/>
  <c r="E2398" i="4"/>
  <c r="F2397" i="4"/>
  <c r="E2397" i="4"/>
  <c r="F2396" i="4"/>
  <c r="E2396" i="4"/>
  <c r="F2395" i="4"/>
  <c r="E2395" i="4"/>
  <c r="F2394" i="4"/>
  <c r="E2394" i="4"/>
  <c r="F2393" i="4"/>
  <c r="E2393" i="4"/>
  <c r="F2392" i="4"/>
  <c r="E2392" i="4"/>
  <c r="F2391" i="4"/>
  <c r="E2391" i="4"/>
  <c r="F2390" i="4"/>
  <c r="E2390" i="4"/>
  <c r="F2389" i="4"/>
  <c r="E2389" i="4"/>
  <c r="F2388" i="4"/>
  <c r="E2388" i="4"/>
  <c r="F2387" i="4"/>
  <c r="E2387" i="4"/>
  <c r="F2386" i="4"/>
  <c r="E2386" i="4"/>
  <c r="F2385" i="4"/>
  <c r="E2385" i="4"/>
  <c r="F2384" i="4"/>
  <c r="E2384" i="4"/>
  <c r="F2383" i="4"/>
  <c r="E2383" i="4"/>
  <c r="F2382" i="4"/>
  <c r="E2382" i="4"/>
  <c r="F2381" i="4"/>
  <c r="E2381" i="4"/>
  <c r="F2380" i="4"/>
  <c r="E2380" i="4"/>
  <c r="F2379" i="4"/>
  <c r="E2379" i="4"/>
  <c r="F2378" i="4"/>
  <c r="E2378" i="4"/>
  <c r="F2377" i="4"/>
  <c r="E2377" i="4"/>
  <c r="F2376" i="4"/>
  <c r="E2376" i="4"/>
  <c r="F2375" i="4"/>
  <c r="E2375" i="4"/>
  <c r="F2374" i="4"/>
  <c r="E2374" i="4"/>
  <c r="F2373" i="4"/>
  <c r="E2373" i="4"/>
  <c r="F2372" i="4"/>
  <c r="E2372" i="4"/>
  <c r="F2371" i="4"/>
  <c r="E2371" i="4"/>
  <c r="F2370" i="4"/>
  <c r="E2370" i="4"/>
  <c r="F2369" i="4"/>
  <c r="E2369" i="4"/>
  <c r="F2368" i="4"/>
  <c r="E2368" i="4"/>
  <c r="F2367" i="4"/>
  <c r="E2367" i="4"/>
  <c r="F2366" i="4"/>
  <c r="E2366" i="4"/>
  <c r="F2365" i="4"/>
  <c r="E2365" i="4"/>
  <c r="F2364" i="4"/>
  <c r="E2364" i="4"/>
  <c r="F2363" i="4"/>
  <c r="E2363" i="4"/>
  <c r="F2362" i="4"/>
  <c r="E2362" i="4"/>
  <c r="F2361" i="4"/>
  <c r="E2361" i="4"/>
  <c r="F2360" i="4"/>
  <c r="E2360" i="4"/>
  <c r="F2359" i="4"/>
  <c r="E2359" i="4"/>
  <c r="F2358" i="4"/>
  <c r="E2358" i="4"/>
  <c r="F2357" i="4"/>
  <c r="E2357" i="4"/>
  <c r="F2356" i="4"/>
  <c r="E2356" i="4"/>
  <c r="F2355" i="4"/>
  <c r="E2355" i="4"/>
  <c r="F2354" i="4"/>
  <c r="E2354" i="4"/>
  <c r="F2353" i="4"/>
  <c r="E2353" i="4"/>
  <c r="F2352" i="4"/>
  <c r="E2352" i="4"/>
  <c r="F2351" i="4"/>
  <c r="E2351" i="4"/>
  <c r="F2350" i="4"/>
  <c r="E2350" i="4"/>
  <c r="F2349" i="4"/>
  <c r="E2349" i="4"/>
  <c r="F2348" i="4"/>
  <c r="E2348" i="4"/>
  <c r="F2347" i="4"/>
  <c r="E2347" i="4"/>
  <c r="F2346" i="4"/>
  <c r="E2346" i="4"/>
  <c r="F2345" i="4"/>
  <c r="E2345" i="4"/>
  <c r="F2344" i="4"/>
  <c r="E2344" i="4"/>
  <c r="F2343" i="4"/>
  <c r="E2343" i="4"/>
  <c r="F2342" i="4"/>
  <c r="E2342" i="4"/>
  <c r="F2341" i="4"/>
  <c r="E2341" i="4"/>
  <c r="F2340" i="4"/>
  <c r="E2340" i="4"/>
  <c r="F2339" i="4"/>
  <c r="E2339" i="4"/>
  <c r="F2338" i="4"/>
  <c r="E2338" i="4"/>
  <c r="F2337" i="4"/>
  <c r="E2337" i="4"/>
  <c r="F2336" i="4"/>
  <c r="E2336" i="4"/>
  <c r="F2335" i="4"/>
  <c r="E2335" i="4"/>
  <c r="F2334" i="4"/>
  <c r="E2334" i="4"/>
  <c r="F2333" i="4"/>
  <c r="E2333" i="4"/>
  <c r="F2332" i="4"/>
  <c r="E2332" i="4"/>
  <c r="F2331" i="4"/>
  <c r="E2331" i="4"/>
  <c r="F2330" i="4"/>
  <c r="E2330" i="4"/>
  <c r="F2329" i="4"/>
  <c r="E2329" i="4"/>
  <c r="F2328" i="4"/>
  <c r="E2328" i="4"/>
  <c r="F2327" i="4"/>
  <c r="E2327" i="4"/>
  <c r="F2326" i="4"/>
  <c r="E2326" i="4"/>
  <c r="F2325" i="4"/>
  <c r="E2325" i="4"/>
  <c r="F2324" i="4"/>
  <c r="E2324" i="4"/>
  <c r="F2323" i="4"/>
  <c r="E2323" i="4"/>
  <c r="F2322" i="4"/>
  <c r="E2322" i="4"/>
  <c r="F2321" i="4"/>
  <c r="E2321" i="4"/>
  <c r="F2320" i="4"/>
  <c r="E2320" i="4"/>
  <c r="F2319" i="4"/>
  <c r="E2319" i="4"/>
  <c r="F2318" i="4"/>
  <c r="E2318" i="4"/>
  <c r="F2317" i="4"/>
  <c r="E2317" i="4"/>
  <c r="F2316" i="4"/>
  <c r="E2316" i="4"/>
  <c r="F2315" i="4"/>
  <c r="E2315" i="4"/>
  <c r="F2314" i="4"/>
  <c r="E2314" i="4"/>
  <c r="F2313" i="4"/>
  <c r="E2313" i="4"/>
  <c r="F2312" i="4"/>
  <c r="E2312" i="4"/>
  <c r="F2311" i="4"/>
  <c r="E2311" i="4"/>
  <c r="F2310" i="4"/>
  <c r="E2310" i="4"/>
  <c r="F2309" i="4"/>
  <c r="E2309" i="4"/>
  <c r="F2308" i="4"/>
  <c r="E2308" i="4"/>
  <c r="F2307" i="4"/>
  <c r="E2307" i="4"/>
  <c r="F2306" i="4"/>
  <c r="E2306" i="4"/>
  <c r="F2305" i="4"/>
  <c r="E2305" i="4"/>
  <c r="F2304" i="4"/>
  <c r="E2304" i="4"/>
  <c r="F2303" i="4"/>
  <c r="E2303" i="4"/>
  <c r="F2302" i="4"/>
  <c r="E2302" i="4"/>
  <c r="F2301" i="4"/>
  <c r="E2301" i="4"/>
  <c r="F2300" i="4"/>
  <c r="E2300" i="4"/>
  <c r="F2299" i="4"/>
  <c r="E2299" i="4"/>
  <c r="F2298" i="4"/>
  <c r="E2298" i="4"/>
  <c r="F2297" i="4"/>
  <c r="E2297" i="4"/>
  <c r="F2296" i="4"/>
  <c r="E2296" i="4"/>
  <c r="F2295" i="4"/>
  <c r="E2295" i="4"/>
  <c r="F2294" i="4"/>
  <c r="E2294" i="4"/>
  <c r="F2293" i="4"/>
  <c r="E2293" i="4"/>
  <c r="F2292" i="4"/>
  <c r="E2292" i="4"/>
  <c r="F2291" i="4"/>
  <c r="E2291" i="4"/>
  <c r="F2290" i="4"/>
  <c r="E2290" i="4"/>
  <c r="F2289" i="4"/>
  <c r="E2289" i="4"/>
  <c r="F2288" i="4"/>
  <c r="E2288" i="4"/>
  <c r="F2287" i="4"/>
  <c r="E2287" i="4"/>
  <c r="F2286" i="4"/>
  <c r="E2286" i="4"/>
  <c r="F2285" i="4"/>
  <c r="E2285" i="4"/>
  <c r="F2284" i="4"/>
  <c r="E2284" i="4"/>
  <c r="F2283" i="4"/>
  <c r="E2283" i="4"/>
  <c r="F2282" i="4"/>
  <c r="E2282" i="4"/>
  <c r="F2281" i="4"/>
  <c r="E2281" i="4"/>
  <c r="F2280" i="4"/>
  <c r="E2280" i="4"/>
  <c r="F2279" i="4"/>
  <c r="E2279" i="4"/>
  <c r="F2278" i="4"/>
  <c r="E2278" i="4"/>
  <c r="F2277" i="4"/>
  <c r="E2277" i="4"/>
  <c r="F2276" i="4"/>
  <c r="E2276" i="4"/>
  <c r="F2275" i="4"/>
  <c r="E2275" i="4"/>
  <c r="F2274" i="4"/>
  <c r="E2274" i="4"/>
  <c r="F2273" i="4"/>
  <c r="E2273" i="4"/>
  <c r="F2272" i="4"/>
  <c r="E2272" i="4"/>
  <c r="F2271" i="4"/>
  <c r="E2271" i="4"/>
  <c r="F2270" i="4"/>
  <c r="E2270" i="4"/>
  <c r="F2269" i="4"/>
  <c r="E2269" i="4"/>
  <c r="F2268" i="4"/>
  <c r="E2268" i="4"/>
  <c r="F2267" i="4"/>
  <c r="E2267" i="4"/>
  <c r="F2266" i="4"/>
  <c r="E2266" i="4"/>
  <c r="F2265" i="4"/>
  <c r="E2265" i="4"/>
  <c r="F2264" i="4"/>
  <c r="E2264" i="4"/>
  <c r="F2263" i="4"/>
  <c r="E2263" i="4"/>
  <c r="F2262" i="4"/>
  <c r="E2262" i="4"/>
  <c r="F2261" i="4"/>
  <c r="E2261" i="4"/>
  <c r="F2260" i="4"/>
  <c r="E2260" i="4"/>
  <c r="F2259" i="4"/>
  <c r="E2259" i="4"/>
  <c r="F2258" i="4"/>
  <c r="E2258" i="4"/>
  <c r="F2257" i="4"/>
  <c r="E2257" i="4"/>
  <c r="F2256" i="4"/>
  <c r="E2256" i="4"/>
  <c r="F2255" i="4"/>
  <c r="E2255" i="4"/>
  <c r="F2254" i="4"/>
  <c r="E2254" i="4"/>
  <c r="F2253" i="4"/>
  <c r="E2253" i="4"/>
  <c r="F2252" i="4"/>
  <c r="E2252" i="4"/>
  <c r="F2251" i="4"/>
  <c r="E2251" i="4"/>
  <c r="F2250" i="4"/>
  <c r="E2250" i="4"/>
  <c r="F2249" i="4"/>
  <c r="E2249" i="4"/>
  <c r="F2248" i="4"/>
  <c r="E2248" i="4"/>
  <c r="F2247" i="4"/>
  <c r="E2247" i="4"/>
  <c r="F2246" i="4"/>
  <c r="E2246" i="4"/>
  <c r="F2245" i="4"/>
  <c r="E2245" i="4"/>
  <c r="F2244" i="4"/>
  <c r="E2244" i="4"/>
  <c r="F2243" i="4"/>
  <c r="E2243" i="4"/>
  <c r="F2242" i="4"/>
  <c r="E2242" i="4"/>
  <c r="F2241" i="4"/>
  <c r="E2241" i="4"/>
  <c r="F2240" i="4"/>
  <c r="E2240" i="4"/>
  <c r="F2239" i="4"/>
  <c r="E2239" i="4"/>
  <c r="F2238" i="4"/>
  <c r="E2238" i="4"/>
  <c r="F2237" i="4"/>
  <c r="E2237" i="4"/>
  <c r="F2236" i="4"/>
  <c r="E2236" i="4"/>
  <c r="F2235" i="4"/>
  <c r="E2235" i="4"/>
  <c r="F2234" i="4"/>
  <c r="E2234" i="4"/>
  <c r="F2233" i="4"/>
  <c r="E2233" i="4"/>
  <c r="F2232" i="4"/>
  <c r="E2232" i="4"/>
  <c r="F2231" i="4"/>
  <c r="E2231" i="4"/>
  <c r="F2230" i="4"/>
  <c r="E2230" i="4"/>
  <c r="F2229" i="4"/>
  <c r="E2229" i="4"/>
  <c r="F2228" i="4"/>
  <c r="E2228" i="4"/>
  <c r="F2227" i="4"/>
  <c r="E2227" i="4"/>
  <c r="F2226" i="4"/>
  <c r="E2226" i="4"/>
  <c r="F2225" i="4"/>
  <c r="E2225" i="4"/>
  <c r="F2224" i="4"/>
  <c r="E2224" i="4"/>
  <c r="F2223" i="4"/>
  <c r="E2223" i="4"/>
  <c r="F2222" i="4"/>
  <c r="E2222" i="4"/>
  <c r="F2221" i="4"/>
  <c r="E2221" i="4"/>
  <c r="F2220" i="4"/>
  <c r="E2220" i="4"/>
  <c r="F2219" i="4"/>
  <c r="E2219" i="4"/>
  <c r="F2218" i="4"/>
  <c r="E2218" i="4"/>
  <c r="F2217" i="4"/>
  <c r="E2217" i="4"/>
  <c r="F2216" i="4"/>
  <c r="E2216" i="4"/>
  <c r="F2215" i="4"/>
  <c r="E2215" i="4"/>
  <c r="F2214" i="4"/>
  <c r="E2214" i="4"/>
  <c r="F2213" i="4"/>
  <c r="E2213" i="4"/>
  <c r="F2212" i="4"/>
  <c r="E2212" i="4"/>
  <c r="F2211" i="4"/>
  <c r="E2211" i="4"/>
  <c r="F2210" i="4"/>
  <c r="E2210" i="4"/>
  <c r="F2209" i="4"/>
  <c r="E2209" i="4"/>
  <c r="F2208" i="4"/>
  <c r="E2208" i="4"/>
  <c r="F2207" i="4"/>
  <c r="E2207" i="4"/>
  <c r="F2206" i="4"/>
  <c r="E2206" i="4"/>
  <c r="F2205" i="4"/>
  <c r="E2205" i="4"/>
  <c r="F2204" i="4"/>
  <c r="E2204" i="4"/>
  <c r="F2203" i="4"/>
  <c r="E2203" i="4"/>
  <c r="F2202" i="4"/>
  <c r="E2202" i="4"/>
  <c r="F2201" i="4"/>
  <c r="E2201" i="4"/>
  <c r="F2200" i="4"/>
  <c r="E2200" i="4"/>
  <c r="F2199" i="4"/>
  <c r="E2199" i="4"/>
  <c r="F2198" i="4"/>
  <c r="E2198" i="4"/>
  <c r="F2197" i="4"/>
  <c r="E2197" i="4"/>
  <c r="F2196" i="4"/>
  <c r="E2196" i="4"/>
  <c r="F2195" i="4"/>
  <c r="E2195" i="4"/>
  <c r="F2194" i="4"/>
  <c r="E2194" i="4"/>
  <c r="F2193" i="4"/>
  <c r="E2193" i="4"/>
  <c r="F2192" i="4"/>
  <c r="E2192" i="4"/>
  <c r="F2191" i="4"/>
  <c r="E2191" i="4"/>
  <c r="F2190" i="4"/>
  <c r="E2190" i="4"/>
  <c r="F2189" i="4"/>
  <c r="E2189" i="4"/>
  <c r="F2188" i="4"/>
  <c r="E2188" i="4"/>
  <c r="F2187" i="4"/>
  <c r="E2187" i="4"/>
  <c r="F2186" i="4"/>
  <c r="E2186" i="4"/>
  <c r="F2185" i="4"/>
  <c r="E2185" i="4"/>
  <c r="F2184" i="4"/>
  <c r="E2184" i="4"/>
  <c r="F2183" i="4"/>
  <c r="E2183" i="4"/>
  <c r="F2182" i="4"/>
  <c r="E2182" i="4"/>
  <c r="F2181" i="4"/>
  <c r="E2181" i="4"/>
  <c r="F2180" i="4"/>
  <c r="E2180" i="4"/>
  <c r="F2179" i="4"/>
  <c r="E2179" i="4"/>
  <c r="F2178" i="4"/>
  <c r="E2178" i="4"/>
  <c r="F2177" i="4"/>
  <c r="E2177" i="4"/>
  <c r="F2176" i="4"/>
  <c r="E2176" i="4"/>
  <c r="F2175" i="4"/>
  <c r="E2175" i="4"/>
  <c r="F2174" i="4"/>
  <c r="E2174" i="4"/>
  <c r="F2173" i="4"/>
  <c r="E2173" i="4"/>
  <c r="F2172" i="4"/>
  <c r="E2172" i="4"/>
  <c r="F2171" i="4"/>
  <c r="E2171" i="4"/>
  <c r="F2170" i="4"/>
  <c r="E2170" i="4"/>
  <c r="F2169" i="4"/>
  <c r="E2169" i="4"/>
  <c r="F2168" i="4"/>
  <c r="E2168" i="4"/>
  <c r="F2167" i="4"/>
  <c r="E2167" i="4"/>
  <c r="F2166" i="4"/>
  <c r="E2166" i="4"/>
  <c r="F2165" i="4"/>
  <c r="E2165" i="4"/>
  <c r="F2164" i="4"/>
  <c r="E2164" i="4"/>
  <c r="F2163" i="4"/>
  <c r="E2163" i="4"/>
  <c r="F2162" i="4"/>
  <c r="E2162" i="4"/>
  <c r="F2161" i="4"/>
  <c r="E2161" i="4"/>
  <c r="F2160" i="4"/>
  <c r="E2160" i="4"/>
  <c r="F2159" i="4"/>
  <c r="E2159" i="4"/>
  <c r="F2158" i="4"/>
  <c r="E2158" i="4"/>
  <c r="F2157" i="4"/>
  <c r="E2157" i="4"/>
  <c r="F2156" i="4"/>
  <c r="E2156" i="4"/>
  <c r="F2155" i="4"/>
  <c r="E2155" i="4"/>
  <c r="F2154" i="4"/>
  <c r="E2154" i="4"/>
  <c r="F2153" i="4"/>
  <c r="E2153" i="4"/>
  <c r="F2152" i="4"/>
  <c r="E2152" i="4"/>
  <c r="F2151" i="4"/>
  <c r="E2151" i="4"/>
  <c r="F2150" i="4"/>
  <c r="E2150" i="4"/>
  <c r="F2149" i="4"/>
  <c r="E2149" i="4"/>
  <c r="F2148" i="4"/>
  <c r="E2148" i="4"/>
  <c r="F2147" i="4"/>
  <c r="E2147" i="4"/>
  <c r="F2146" i="4"/>
  <c r="E2146" i="4"/>
  <c r="F2145" i="4"/>
  <c r="E2145" i="4"/>
  <c r="F2144" i="4"/>
  <c r="E2144" i="4"/>
  <c r="F2143" i="4"/>
  <c r="E2143" i="4"/>
  <c r="F2142" i="4"/>
  <c r="E2142" i="4"/>
  <c r="F2141" i="4"/>
  <c r="E2141" i="4"/>
  <c r="F2140" i="4"/>
  <c r="E2140" i="4"/>
  <c r="F2139" i="4"/>
  <c r="E2139" i="4"/>
  <c r="F2138" i="4"/>
  <c r="E2138" i="4"/>
  <c r="F2137" i="4"/>
  <c r="E2137" i="4"/>
  <c r="F2136" i="4"/>
  <c r="E2136" i="4"/>
  <c r="F2135" i="4"/>
  <c r="E2135" i="4"/>
  <c r="F2134" i="4"/>
  <c r="E2134" i="4"/>
  <c r="F2133" i="4"/>
  <c r="E2133" i="4"/>
  <c r="F2132" i="4"/>
  <c r="E2132" i="4"/>
  <c r="F2131" i="4"/>
  <c r="E2131" i="4"/>
  <c r="F2130" i="4"/>
  <c r="E2130" i="4"/>
  <c r="F2129" i="4"/>
  <c r="E2129" i="4"/>
  <c r="F2128" i="4"/>
  <c r="E2128" i="4"/>
  <c r="F2127" i="4"/>
  <c r="E2127" i="4"/>
  <c r="F2126" i="4"/>
  <c r="E2126" i="4"/>
  <c r="F2125" i="4"/>
  <c r="E2125" i="4"/>
  <c r="F2124" i="4"/>
  <c r="E2124" i="4"/>
  <c r="F2123" i="4"/>
  <c r="E2123" i="4"/>
  <c r="F2122" i="4"/>
  <c r="E2122" i="4"/>
  <c r="F2121" i="4"/>
  <c r="E2121" i="4"/>
  <c r="F2120" i="4"/>
  <c r="E2120" i="4"/>
  <c r="F2119" i="4"/>
  <c r="E2119" i="4"/>
  <c r="F2118" i="4"/>
  <c r="E2118" i="4"/>
  <c r="F2117" i="4"/>
  <c r="E2117" i="4"/>
  <c r="F2116" i="4"/>
  <c r="E2116" i="4"/>
  <c r="F2115" i="4"/>
  <c r="E2115" i="4"/>
  <c r="F2114" i="4"/>
  <c r="E2114" i="4"/>
  <c r="F2113" i="4"/>
  <c r="E2113" i="4"/>
  <c r="F2112" i="4"/>
  <c r="E2112" i="4"/>
  <c r="F2111" i="4"/>
  <c r="E2111" i="4"/>
  <c r="F2110" i="4"/>
  <c r="E2110" i="4"/>
  <c r="F2109" i="4"/>
  <c r="E2109" i="4"/>
  <c r="F2108" i="4"/>
  <c r="E2108" i="4"/>
  <c r="F2107" i="4"/>
  <c r="E2107" i="4"/>
  <c r="F2106" i="4"/>
  <c r="E2106" i="4"/>
  <c r="F2105" i="4"/>
  <c r="E2105" i="4"/>
  <c r="F2104" i="4"/>
  <c r="E2104" i="4"/>
  <c r="F2103" i="4"/>
  <c r="E2103" i="4"/>
  <c r="F2102" i="4"/>
  <c r="E2102" i="4"/>
  <c r="F2101" i="4"/>
  <c r="E2101" i="4"/>
  <c r="F2100" i="4"/>
  <c r="E2100" i="4"/>
  <c r="F2099" i="4"/>
  <c r="E2099" i="4"/>
  <c r="F2098" i="4"/>
  <c r="E2098" i="4"/>
  <c r="F2097" i="4"/>
  <c r="E2097" i="4"/>
  <c r="F2096" i="4"/>
  <c r="E2096" i="4"/>
  <c r="F2095" i="4"/>
  <c r="E2095" i="4"/>
  <c r="F2094" i="4"/>
  <c r="E2094" i="4"/>
  <c r="F2093" i="4"/>
  <c r="E2093" i="4"/>
  <c r="F2092" i="4"/>
  <c r="E2092" i="4"/>
  <c r="F2091" i="4"/>
  <c r="E2091" i="4"/>
  <c r="F2090" i="4"/>
  <c r="E2090" i="4"/>
  <c r="F2089" i="4"/>
  <c r="E2089" i="4"/>
  <c r="F2088" i="4"/>
  <c r="E2088" i="4"/>
  <c r="F2087" i="4"/>
  <c r="E2087" i="4"/>
  <c r="F2086" i="4"/>
  <c r="E2086" i="4"/>
  <c r="F2085" i="4"/>
  <c r="E2085" i="4"/>
  <c r="F2084" i="4"/>
  <c r="E2084" i="4"/>
  <c r="F2083" i="4"/>
  <c r="E2083" i="4"/>
  <c r="F2082" i="4"/>
  <c r="E2082" i="4"/>
  <c r="F2081" i="4"/>
  <c r="E2081" i="4"/>
  <c r="F2080" i="4"/>
  <c r="E2080" i="4"/>
  <c r="F2079" i="4"/>
  <c r="E2079" i="4"/>
  <c r="F2078" i="4"/>
  <c r="E2078" i="4"/>
  <c r="F2077" i="4"/>
  <c r="E2077" i="4"/>
  <c r="F2076" i="4"/>
  <c r="E2076" i="4"/>
  <c r="F2075" i="4"/>
  <c r="E2075" i="4"/>
  <c r="F2074" i="4"/>
  <c r="E2074" i="4"/>
  <c r="F2073" i="4"/>
  <c r="E2073" i="4"/>
  <c r="F2072" i="4"/>
  <c r="E2072" i="4"/>
  <c r="F2071" i="4"/>
  <c r="E2071" i="4"/>
  <c r="F2070" i="4"/>
  <c r="E2070" i="4"/>
  <c r="F2069" i="4"/>
  <c r="E2069" i="4"/>
  <c r="F2068" i="4"/>
  <c r="E2068" i="4"/>
  <c r="F2067" i="4"/>
  <c r="E2067" i="4"/>
  <c r="F2066" i="4"/>
  <c r="E2066" i="4"/>
  <c r="F2065" i="4"/>
  <c r="E2065" i="4"/>
  <c r="F2064" i="4"/>
  <c r="E2064" i="4"/>
  <c r="F2063" i="4"/>
  <c r="E2063" i="4"/>
  <c r="F2062" i="4"/>
  <c r="E2062" i="4"/>
  <c r="F2061" i="4"/>
  <c r="E2061" i="4"/>
  <c r="F2060" i="4"/>
  <c r="E2060" i="4"/>
  <c r="F2059" i="4"/>
  <c r="E2059" i="4"/>
  <c r="F2058" i="4"/>
  <c r="E2058" i="4"/>
  <c r="F2057" i="4"/>
  <c r="E2057" i="4"/>
  <c r="F2056" i="4"/>
  <c r="E2056" i="4"/>
  <c r="F2055" i="4"/>
  <c r="E2055" i="4"/>
  <c r="F2054" i="4"/>
  <c r="E2054" i="4"/>
  <c r="F2053" i="4"/>
  <c r="E2053" i="4"/>
  <c r="F2052" i="4"/>
  <c r="E2052" i="4"/>
  <c r="F2051" i="4"/>
  <c r="E2051" i="4"/>
  <c r="F2050" i="4"/>
  <c r="E2050" i="4"/>
  <c r="F2049" i="4"/>
  <c r="E2049" i="4"/>
  <c r="F2048" i="4"/>
  <c r="E2048" i="4"/>
  <c r="F2047" i="4"/>
  <c r="E2047" i="4"/>
  <c r="F2046" i="4"/>
  <c r="E2046" i="4"/>
  <c r="F2045" i="4"/>
  <c r="E2045" i="4"/>
  <c r="F2044" i="4"/>
  <c r="E2044" i="4"/>
  <c r="F2043" i="4"/>
  <c r="E2043" i="4"/>
  <c r="F2042" i="4"/>
  <c r="E2042" i="4"/>
  <c r="F2041" i="4"/>
  <c r="E2041" i="4"/>
  <c r="F2040" i="4"/>
  <c r="E2040" i="4"/>
  <c r="F2039" i="4"/>
  <c r="E2039" i="4"/>
  <c r="F2038" i="4"/>
  <c r="E2038" i="4"/>
  <c r="F2037" i="4"/>
  <c r="E2037" i="4"/>
  <c r="F2036" i="4"/>
  <c r="E2036" i="4"/>
  <c r="F2035" i="4"/>
  <c r="E2035" i="4"/>
  <c r="F2034" i="4"/>
  <c r="E2034" i="4"/>
  <c r="F2033" i="4"/>
  <c r="E2033" i="4"/>
  <c r="F2032" i="4"/>
  <c r="E2032" i="4"/>
  <c r="F2031" i="4"/>
  <c r="E2031" i="4"/>
  <c r="F2030" i="4"/>
  <c r="E2030" i="4"/>
  <c r="F2029" i="4"/>
  <c r="E2029" i="4"/>
  <c r="F2028" i="4"/>
  <c r="E2028" i="4"/>
  <c r="F2027" i="4"/>
  <c r="E2027" i="4"/>
  <c r="F2026" i="4"/>
  <c r="E2026" i="4"/>
  <c r="F2025" i="4"/>
  <c r="E2025" i="4"/>
  <c r="F2024" i="4"/>
  <c r="E2024" i="4"/>
  <c r="F2023" i="4"/>
  <c r="E2023" i="4"/>
  <c r="F2022" i="4"/>
  <c r="E2022" i="4"/>
  <c r="F2021" i="4"/>
  <c r="E2021" i="4"/>
  <c r="F2020" i="4"/>
  <c r="E2020" i="4"/>
  <c r="F2019" i="4"/>
  <c r="E2019" i="4"/>
  <c r="F2018" i="4"/>
  <c r="E2018" i="4"/>
  <c r="F2017" i="4"/>
  <c r="E2017" i="4"/>
  <c r="F2016" i="4"/>
  <c r="E2016" i="4"/>
  <c r="F2015" i="4"/>
  <c r="E2015" i="4"/>
  <c r="F2014" i="4"/>
  <c r="E2014" i="4"/>
  <c r="F2013" i="4"/>
  <c r="E2013" i="4"/>
  <c r="F2012" i="4"/>
  <c r="E2012" i="4"/>
  <c r="F2011" i="4"/>
  <c r="E2011" i="4"/>
  <c r="F2010" i="4"/>
  <c r="E2010" i="4"/>
  <c r="F2009" i="4"/>
  <c r="E2009" i="4"/>
  <c r="F2008" i="4"/>
  <c r="E2008" i="4"/>
  <c r="F2007" i="4"/>
  <c r="E2007" i="4"/>
  <c r="F2006" i="4"/>
  <c r="E2006" i="4"/>
  <c r="F2005" i="4"/>
  <c r="E2005" i="4"/>
  <c r="F2004" i="4"/>
  <c r="E2004" i="4"/>
  <c r="F2003" i="4"/>
  <c r="E2003" i="4"/>
  <c r="F2002" i="4"/>
  <c r="E2002" i="4"/>
  <c r="F2001" i="4"/>
  <c r="E2001" i="4"/>
  <c r="F2000" i="4"/>
  <c r="E2000" i="4"/>
  <c r="F1999" i="4"/>
  <c r="E1999" i="4"/>
  <c r="F1998" i="4"/>
  <c r="E1998" i="4"/>
  <c r="F1997" i="4"/>
  <c r="E1997" i="4"/>
  <c r="F1996" i="4"/>
  <c r="E1996" i="4"/>
  <c r="F1995" i="4"/>
  <c r="E1995" i="4"/>
  <c r="F1994" i="4"/>
  <c r="E1994" i="4"/>
  <c r="F1993" i="4"/>
  <c r="E1993" i="4"/>
  <c r="F1992" i="4"/>
  <c r="E1992" i="4"/>
  <c r="F1991" i="4"/>
  <c r="E1991" i="4"/>
  <c r="F1990" i="4"/>
  <c r="E1990" i="4"/>
  <c r="F1989" i="4"/>
  <c r="E1989" i="4"/>
  <c r="F1988" i="4"/>
  <c r="E1988" i="4"/>
  <c r="F1987" i="4"/>
  <c r="E1987" i="4"/>
  <c r="F1986" i="4"/>
  <c r="E1986" i="4"/>
  <c r="F1985" i="4"/>
  <c r="E1985" i="4"/>
  <c r="F1984" i="4"/>
  <c r="E1984" i="4"/>
  <c r="F1983" i="4"/>
  <c r="E1983" i="4"/>
  <c r="F1982" i="4"/>
  <c r="E1982" i="4"/>
  <c r="F1981" i="4"/>
  <c r="E1981" i="4"/>
  <c r="F1980" i="4"/>
  <c r="E1980" i="4"/>
  <c r="F1979" i="4"/>
  <c r="E1979" i="4"/>
  <c r="F1978" i="4"/>
  <c r="E1978" i="4"/>
  <c r="F1977" i="4"/>
  <c r="E1977" i="4"/>
  <c r="F1976" i="4"/>
  <c r="E1976" i="4"/>
  <c r="F1975" i="4"/>
  <c r="E1975" i="4"/>
  <c r="F1974" i="4"/>
  <c r="E1974" i="4"/>
  <c r="F1973" i="4"/>
  <c r="E1973" i="4"/>
  <c r="F1972" i="4"/>
  <c r="E1972" i="4"/>
  <c r="F1971" i="4"/>
  <c r="E1971" i="4"/>
  <c r="F1970" i="4"/>
  <c r="E1970" i="4"/>
  <c r="F1969" i="4"/>
  <c r="E1969" i="4"/>
  <c r="F1968" i="4"/>
  <c r="E1968" i="4"/>
  <c r="F1967" i="4"/>
  <c r="E1967" i="4"/>
  <c r="F1966" i="4"/>
  <c r="E1966" i="4"/>
  <c r="F1965" i="4"/>
  <c r="E1965" i="4"/>
  <c r="F1964" i="4"/>
  <c r="E1964" i="4"/>
  <c r="F1963" i="4"/>
  <c r="E1963" i="4"/>
  <c r="F1962" i="4"/>
  <c r="E1962" i="4"/>
  <c r="F1961" i="4"/>
  <c r="E1961" i="4"/>
  <c r="F1960" i="4"/>
  <c r="E1960" i="4"/>
  <c r="F1959" i="4"/>
  <c r="E1959" i="4"/>
  <c r="F1958" i="4"/>
  <c r="E1958" i="4"/>
  <c r="F1957" i="4"/>
  <c r="E1957" i="4"/>
  <c r="F1956" i="4"/>
  <c r="E1956" i="4"/>
  <c r="F1955" i="4"/>
  <c r="E1955" i="4"/>
  <c r="F1954" i="4"/>
  <c r="E1954" i="4"/>
  <c r="F1953" i="4"/>
  <c r="E1953" i="4"/>
  <c r="F1952" i="4"/>
  <c r="E1952" i="4"/>
  <c r="F1951" i="4"/>
  <c r="E1951" i="4"/>
  <c r="F1950" i="4"/>
  <c r="E1950" i="4"/>
  <c r="F1949" i="4"/>
  <c r="E1949" i="4"/>
  <c r="F1948" i="4"/>
  <c r="E1948" i="4"/>
  <c r="F1947" i="4"/>
  <c r="E1947" i="4"/>
  <c r="F1946" i="4"/>
  <c r="E1946" i="4"/>
  <c r="F1945" i="4"/>
  <c r="E1945" i="4"/>
  <c r="F1944" i="4"/>
  <c r="E1944" i="4"/>
  <c r="F1943" i="4"/>
  <c r="E1943" i="4"/>
  <c r="F1942" i="4"/>
  <c r="E1942" i="4"/>
  <c r="F1941" i="4"/>
  <c r="E1941" i="4"/>
  <c r="F1940" i="4"/>
  <c r="E1940" i="4"/>
  <c r="F1939" i="4"/>
  <c r="E1939" i="4"/>
  <c r="F1938" i="4"/>
  <c r="E1938" i="4"/>
  <c r="F1937" i="4"/>
  <c r="E1937" i="4"/>
  <c r="F1936" i="4"/>
  <c r="E1936" i="4"/>
  <c r="F1935" i="4"/>
  <c r="E1935" i="4"/>
  <c r="F1934" i="4"/>
  <c r="E1934" i="4"/>
  <c r="F1933" i="4"/>
  <c r="E1933" i="4"/>
  <c r="F1932" i="4"/>
  <c r="E1932" i="4"/>
  <c r="F1931" i="4"/>
  <c r="E1931" i="4"/>
  <c r="F1930" i="4"/>
  <c r="E1930" i="4"/>
  <c r="F1929" i="4"/>
  <c r="E1929" i="4"/>
  <c r="F1928" i="4"/>
  <c r="E1928" i="4"/>
  <c r="F1927" i="4"/>
  <c r="E1927" i="4"/>
  <c r="F1926" i="4"/>
  <c r="E1926" i="4"/>
  <c r="F1925" i="4"/>
  <c r="E1925" i="4"/>
  <c r="F1924" i="4"/>
  <c r="E1924" i="4"/>
  <c r="F1923" i="4"/>
  <c r="E1923" i="4"/>
  <c r="F1922" i="4"/>
  <c r="E1922" i="4"/>
  <c r="F1921" i="4"/>
  <c r="E1921" i="4"/>
  <c r="F1920" i="4"/>
  <c r="E1920" i="4"/>
  <c r="F1919" i="4"/>
  <c r="E1919" i="4"/>
  <c r="F1918" i="4"/>
  <c r="E1918" i="4"/>
  <c r="F1917" i="4"/>
  <c r="E1917" i="4"/>
  <c r="F1916" i="4"/>
  <c r="E1916" i="4"/>
  <c r="F1915" i="4"/>
  <c r="E1915" i="4"/>
  <c r="F1914" i="4"/>
  <c r="E1914" i="4"/>
  <c r="F1913" i="4"/>
  <c r="E1913" i="4"/>
  <c r="F1912" i="4"/>
  <c r="E1912" i="4"/>
  <c r="F1911" i="4"/>
  <c r="E1911" i="4"/>
  <c r="F1910" i="4"/>
  <c r="E1910" i="4"/>
  <c r="F1909" i="4"/>
  <c r="E1909" i="4"/>
  <c r="F1908" i="4"/>
  <c r="E1908" i="4"/>
  <c r="F1907" i="4"/>
  <c r="E1907" i="4"/>
  <c r="F1906" i="4"/>
  <c r="E1906" i="4"/>
  <c r="F1905" i="4"/>
  <c r="E1905" i="4"/>
  <c r="F1904" i="4"/>
  <c r="E1904" i="4"/>
  <c r="F1903" i="4"/>
  <c r="E1903" i="4"/>
  <c r="F1902" i="4"/>
  <c r="E1902" i="4"/>
  <c r="F1901" i="4"/>
  <c r="E1901" i="4"/>
  <c r="F1900" i="4"/>
  <c r="E1900" i="4"/>
  <c r="F1899" i="4"/>
  <c r="E1899" i="4"/>
  <c r="F1898" i="4"/>
  <c r="E1898" i="4"/>
  <c r="F1897" i="4"/>
  <c r="E1897" i="4"/>
  <c r="F1896" i="4"/>
  <c r="E1896" i="4"/>
  <c r="F1895" i="4"/>
  <c r="E1895" i="4"/>
  <c r="F1894" i="4"/>
  <c r="E1894" i="4"/>
  <c r="F1893" i="4"/>
  <c r="E1893" i="4"/>
  <c r="F1892" i="4"/>
  <c r="E1892" i="4"/>
  <c r="F1891" i="4"/>
  <c r="E1891" i="4"/>
  <c r="F1890" i="4"/>
  <c r="E1890" i="4"/>
  <c r="F1889" i="4"/>
  <c r="E1889" i="4"/>
  <c r="F1888" i="4"/>
  <c r="E1888" i="4"/>
  <c r="F1887" i="4"/>
  <c r="E1887" i="4"/>
  <c r="F1886" i="4"/>
  <c r="E1886" i="4"/>
  <c r="F1885" i="4"/>
  <c r="E1885" i="4"/>
  <c r="F1884" i="4"/>
  <c r="E1884" i="4"/>
  <c r="F1883" i="4"/>
  <c r="E1883" i="4"/>
  <c r="F1882" i="4"/>
  <c r="E1882" i="4"/>
  <c r="F1881" i="4"/>
  <c r="E1881" i="4"/>
  <c r="F1880" i="4"/>
  <c r="E1880" i="4"/>
  <c r="F1879" i="4"/>
  <c r="E1879" i="4"/>
  <c r="F1878" i="4"/>
  <c r="E1878" i="4"/>
  <c r="F1877" i="4"/>
  <c r="E1877" i="4"/>
  <c r="F1876" i="4"/>
  <c r="E1876" i="4"/>
  <c r="F1875" i="4"/>
  <c r="E1875" i="4"/>
  <c r="F1874" i="4"/>
  <c r="E1874" i="4"/>
  <c r="F1873" i="4"/>
  <c r="E1873" i="4"/>
  <c r="F1872" i="4"/>
  <c r="E1872" i="4"/>
  <c r="F1871" i="4"/>
  <c r="E1871" i="4"/>
  <c r="F1870" i="4"/>
  <c r="E1870" i="4"/>
  <c r="F1869" i="4"/>
  <c r="E1869" i="4"/>
  <c r="F1868" i="4"/>
  <c r="E1868" i="4"/>
  <c r="F1867" i="4"/>
  <c r="E1867" i="4"/>
  <c r="F1866" i="4"/>
  <c r="E1866" i="4"/>
  <c r="F1865" i="4"/>
  <c r="E1865" i="4"/>
  <c r="F1864" i="4"/>
  <c r="E1864" i="4"/>
  <c r="F1863" i="4"/>
  <c r="E1863" i="4"/>
  <c r="F1862" i="4"/>
  <c r="E1862" i="4"/>
  <c r="F1861" i="4"/>
  <c r="E1861" i="4"/>
  <c r="F1860" i="4"/>
  <c r="E1860" i="4"/>
  <c r="F1859" i="4"/>
  <c r="E1859" i="4"/>
  <c r="F1858" i="4"/>
  <c r="E1858" i="4"/>
  <c r="F1857" i="4"/>
  <c r="E1857" i="4"/>
  <c r="F1856" i="4"/>
  <c r="E1856" i="4"/>
  <c r="F1855" i="4"/>
  <c r="E1855" i="4"/>
  <c r="F1854" i="4"/>
  <c r="E1854" i="4"/>
  <c r="F1853" i="4"/>
  <c r="E1853" i="4"/>
  <c r="F1852" i="4"/>
  <c r="E1852" i="4"/>
  <c r="F1851" i="4"/>
  <c r="E1851" i="4"/>
  <c r="F1850" i="4"/>
  <c r="E1850" i="4"/>
  <c r="F1849" i="4"/>
  <c r="E1849" i="4"/>
  <c r="F1848" i="4"/>
  <c r="E1848" i="4"/>
  <c r="F1847" i="4"/>
  <c r="E1847" i="4"/>
  <c r="F1846" i="4"/>
  <c r="E1846" i="4"/>
  <c r="F1845" i="4"/>
  <c r="E1845" i="4"/>
  <c r="F1844" i="4"/>
  <c r="E1844" i="4"/>
  <c r="F1843" i="4"/>
  <c r="E1843" i="4"/>
  <c r="F1842" i="4"/>
  <c r="E1842" i="4"/>
  <c r="F1841" i="4"/>
  <c r="E1841" i="4"/>
  <c r="F1840" i="4"/>
  <c r="E1840" i="4"/>
  <c r="F1839" i="4"/>
  <c r="E1839" i="4"/>
  <c r="F1838" i="4"/>
  <c r="E1838" i="4"/>
  <c r="F1837" i="4"/>
  <c r="E1837" i="4"/>
  <c r="F1836" i="4"/>
  <c r="E1836" i="4"/>
  <c r="F1835" i="4"/>
  <c r="E1835" i="4"/>
  <c r="F1834" i="4"/>
  <c r="E1834" i="4"/>
  <c r="F1833" i="4"/>
  <c r="E1833" i="4"/>
  <c r="F1832" i="4"/>
  <c r="E1832" i="4"/>
  <c r="F1831" i="4"/>
  <c r="E1831" i="4"/>
  <c r="F1830" i="4"/>
  <c r="E1830" i="4"/>
  <c r="F1829" i="4"/>
  <c r="E1829" i="4"/>
  <c r="F1828" i="4"/>
  <c r="E1828" i="4"/>
  <c r="F1827" i="4"/>
  <c r="E1827" i="4"/>
  <c r="F1826" i="4"/>
  <c r="E1826" i="4"/>
  <c r="F1825" i="4"/>
  <c r="E1825" i="4"/>
  <c r="F1824" i="4"/>
  <c r="E1824" i="4"/>
  <c r="F1823" i="4"/>
  <c r="E1823" i="4"/>
  <c r="F1822" i="4"/>
  <c r="E1822" i="4"/>
  <c r="F1821" i="4"/>
  <c r="E1821" i="4"/>
  <c r="F1820" i="4"/>
  <c r="E1820" i="4"/>
  <c r="F1819" i="4"/>
  <c r="E1819" i="4"/>
  <c r="F1818" i="4"/>
  <c r="E1818" i="4"/>
  <c r="F1817" i="4"/>
  <c r="E1817" i="4"/>
  <c r="F1816" i="4"/>
  <c r="E1816" i="4"/>
  <c r="F1815" i="4"/>
  <c r="E1815" i="4"/>
  <c r="F1814" i="4"/>
  <c r="E1814" i="4"/>
  <c r="F1813" i="4"/>
  <c r="E1813" i="4"/>
  <c r="F1812" i="4"/>
  <c r="E1812" i="4"/>
  <c r="F1811" i="4"/>
  <c r="E1811" i="4"/>
  <c r="F1810" i="4"/>
  <c r="E1810" i="4"/>
  <c r="F1809" i="4"/>
  <c r="E1809" i="4"/>
  <c r="F1808" i="4"/>
  <c r="E1808" i="4"/>
  <c r="F1807" i="4"/>
  <c r="E1807" i="4"/>
  <c r="F1806" i="4"/>
  <c r="E1806" i="4"/>
  <c r="F1805" i="4"/>
  <c r="E1805" i="4"/>
  <c r="F1804" i="4"/>
  <c r="E1804" i="4"/>
  <c r="F1803" i="4"/>
  <c r="E1803" i="4"/>
  <c r="F1802" i="4"/>
  <c r="E1802" i="4"/>
  <c r="F1801" i="4"/>
  <c r="E1801" i="4"/>
  <c r="F1800" i="4"/>
  <c r="E1800" i="4"/>
  <c r="F1799" i="4"/>
  <c r="E1799" i="4"/>
  <c r="F1798" i="4"/>
  <c r="E1798" i="4"/>
  <c r="F1797" i="4"/>
  <c r="E1797" i="4"/>
  <c r="F1796" i="4"/>
  <c r="E1796" i="4"/>
  <c r="F1795" i="4"/>
  <c r="E1795" i="4"/>
  <c r="F1794" i="4"/>
  <c r="E1794" i="4"/>
  <c r="F1793" i="4"/>
  <c r="E1793" i="4"/>
  <c r="F1792" i="4"/>
  <c r="E1792" i="4"/>
  <c r="F1791" i="4"/>
  <c r="E1791" i="4"/>
  <c r="F1790" i="4"/>
  <c r="E1790" i="4"/>
  <c r="F1789" i="4"/>
  <c r="E1789" i="4"/>
  <c r="F1788" i="4"/>
  <c r="E1788" i="4"/>
  <c r="F1787" i="4"/>
  <c r="E1787" i="4"/>
  <c r="F1786" i="4"/>
  <c r="E1786" i="4"/>
  <c r="F1785" i="4"/>
  <c r="E1785" i="4"/>
  <c r="F1784" i="4"/>
  <c r="E1784" i="4"/>
  <c r="F1783" i="4"/>
  <c r="E1783" i="4"/>
  <c r="F1782" i="4"/>
  <c r="E1782" i="4"/>
  <c r="F1781" i="4"/>
  <c r="E1781" i="4"/>
  <c r="F1780" i="4"/>
  <c r="E1780" i="4"/>
  <c r="F1779" i="4"/>
  <c r="E1779" i="4"/>
  <c r="F1778" i="4"/>
  <c r="E1778" i="4"/>
  <c r="F1777" i="4"/>
  <c r="E1777" i="4"/>
  <c r="F1776" i="4"/>
  <c r="E1776" i="4"/>
  <c r="F1775" i="4"/>
  <c r="E1775" i="4"/>
  <c r="F1774" i="4"/>
  <c r="E1774" i="4"/>
  <c r="F1773" i="4"/>
  <c r="E1773" i="4"/>
  <c r="F1772" i="4"/>
  <c r="E1772" i="4"/>
  <c r="F1771" i="4"/>
  <c r="E1771" i="4"/>
  <c r="F1770" i="4"/>
  <c r="E1770" i="4"/>
  <c r="F1769" i="4"/>
  <c r="E1769" i="4"/>
  <c r="F1768" i="4"/>
  <c r="E1768" i="4"/>
  <c r="F1767" i="4"/>
  <c r="E1767" i="4"/>
  <c r="F1766" i="4"/>
  <c r="E1766" i="4"/>
  <c r="F1765" i="4"/>
  <c r="E1765" i="4"/>
  <c r="F1764" i="4"/>
  <c r="E1764" i="4"/>
  <c r="F1763" i="4"/>
  <c r="E1763" i="4"/>
  <c r="F1762" i="4"/>
  <c r="E1762" i="4"/>
  <c r="F1761" i="4"/>
  <c r="E1761" i="4"/>
  <c r="F1760" i="4"/>
  <c r="E1760" i="4"/>
  <c r="F1759" i="4"/>
  <c r="E1759" i="4"/>
  <c r="F1758" i="4"/>
  <c r="E1758" i="4"/>
  <c r="F1757" i="4"/>
  <c r="E1757" i="4"/>
  <c r="F1756" i="4"/>
  <c r="E1756" i="4"/>
  <c r="F1755" i="4"/>
  <c r="E1755" i="4"/>
  <c r="F1754" i="4"/>
  <c r="E1754" i="4"/>
  <c r="F1753" i="4"/>
  <c r="E1753" i="4"/>
  <c r="F1752" i="4"/>
  <c r="E1752" i="4"/>
  <c r="F1751" i="4"/>
  <c r="E1751" i="4"/>
  <c r="F1750" i="4"/>
  <c r="E1750" i="4"/>
  <c r="F1749" i="4"/>
  <c r="E1749" i="4"/>
  <c r="F1748" i="4"/>
  <c r="E1748" i="4"/>
  <c r="F1747" i="4"/>
  <c r="E1747" i="4"/>
  <c r="F1746" i="4"/>
  <c r="E1746" i="4"/>
  <c r="F1745" i="4"/>
  <c r="E1745" i="4"/>
  <c r="F1744" i="4"/>
  <c r="E1744" i="4"/>
  <c r="F1743" i="4"/>
  <c r="E1743" i="4"/>
  <c r="F1742" i="4"/>
  <c r="E1742" i="4"/>
  <c r="F1741" i="4"/>
  <c r="E1741" i="4"/>
  <c r="F1740" i="4"/>
  <c r="E1740" i="4"/>
  <c r="F1739" i="4"/>
  <c r="E1739" i="4"/>
  <c r="F1738" i="4"/>
  <c r="E1738" i="4"/>
  <c r="F1737" i="4"/>
  <c r="E1737" i="4"/>
  <c r="F1736" i="4"/>
  <c r="E1736" i="4"/>
  <c r="F1735" i="4"/>
  <c r="E1735" i="4"/>
  <c r="F1734" i="4"/>
  <c r="E1734" i="4"/>
  <c r="F1733" i="4"/>
  <c r="E1733" i="4"/>
  <c r="F1732" i="4"/>
  <c r="E1732" i="4"/>
  <c r="F1731" i="4"/>
  <c r="E1731" i="4"/>
  <c r="F1730" i="4"/>
  <c r="E1730" i="4"/>
  <c r="F1729" i="4"/>
  <c r="E1729" i="4"/>
  <c r="F1728" i="4"/>
  <c r="E1728" i="4"/>
  <c r="F1727" i="4"/>
  <c r="E1727" i="4"/>
  <c r="F1726" i="4"/>
  <c r="E1726" i="4"/>
  <c r="F1725" i="4"/>
  <c r="E1725" i="4"/>
  <c r="F1724" i="4"/>
  <c r="E1724" i="4"/>
  <c r="F1723" i="4"/>
  <c r="E1723" i="4"/>
  <c r="F1722" i="4"/>
  <c r="E1722" i="4"/>
  <c r="F1721" i="4"/>
  <c r="E1721" i="4"/>
  <c r="F1720" i="4"/>
  <c r="E1720" i="4"/>
  <c r="F1719" i="4"/>
  <c r="E1719" i="4"/>
  <c r="F1718" i="4"/>
  <c r="E1718" i="4"/>
  <c r="F1717" i="4"/>
  <c r="E1717" i="4"/>
  <c r="F1716" i="4"/>
  <c r="E1716" i="4"/>
  <c r="F1715" i="4"/>
  <c r="E1715" i="4"/>
  <c r="F1714" i="4"/>
  <c r="E1714" i="4"/>
  <c r="F1713" i="4"/>
  <c r="E1713" i="4"/>
  <c r="F1712" i="4"/>
  <c r="E1712" i="4"/>
  <c r="F1711" i="4"/>
  <c r="E1711" i="4"/>
  <c r="F1710" i="4"/>
  <c r="E1710" i="4"/>
  <c r="F1709" i="4"/>
  <c r="E1709" i="4"/>
  <c r="F1708" i="4"/>
  <c r="E1708" i="4"/>
  <c r="F1707" i="4"/>
  <c r="E1707" i="4"/>
  <c r="F1706" i="4"/>
  <c r="E1706" i="4"/>
  <c r="F1705" i="4"/>
  <c r="E1705" i="4"/>
  <c r="F1704" i="4"/>
  <c r="E1704" i="4"/>
  <c r="F1703" i="4"/>
  <c r="E1703" i="4"/>
  <c r="F1702" i="4"/>
  <c r="E1702" i="4"/>
  <c r="F1701" i="4"/>
  <c r="E1701" i="4"/>
  <c r="F1700" i="4"/>
  <c r="E1700" i="4"/>
  <c r="F1699" i="4"/>
  <c r="E1699" i="4"/>
  <c r="F1698" i="4"/>
  <c r="E1698" i="4"/>
  <c r="F1697" i="4"/>
  <c r="E1697" i="4"/>
  <c r="F1696" i="4"/>
  <c r="E1696" i="4"/>
  <c r="F1695" i="4"/>
  <c r="E1695" i="4"/>
  <c r="F1694" i="4"/>
  <c r="E1694" i="4"/>
  <c r="F1693" i="4"/>
  <c r="E1693" i="4"/>
  <c r="F1692" i="4"/>
  <c r="E1692" i="4"/>
  <c r="F1691" i="4"/>
  <c r="E1691" i="4"/>
  <c r="F1690" i="4"/>
  <c r="E1690" i="4"/>
  <c r="F1689" i="4"/>
  <c r="E1689" i="4"/>
  <c r="F1688" i="4"/>
  <c r="E1688" i="4"/>
  <c r="F1687" i="4"/>
  <c r="E1687" i="4"/>
  <c r="F1686" i="4"/>
  <c r="E1686" i="4"/>
  <c r="F1685" i="4"/>
  <c r="E1685" i="4"/>
  <c r="F1684" i="4"/>
  <c r="E1684" i="4"/>
  <c r="F1683" i="4"/>
  <c r="E1683" i="4"/>
  <c r="F1682" i="4"/>
  <c r="E1682" i="4"/>
  <c r="F1681" i="4"/>
  <c r="E1681" i="4"/>
  <c r="F1680" i="4"/>
  <c r="E1680" i="4"/>
  <c r="F1679" i="4"/>
  <c r="E1679" i="4"/>
  <c r="F1678" i="4"/>
  <c r="E1678" i="4"/>
  <c r="F1677" i="4"/>
  <c r="E1677" i="4"/>
  <c r="F1676" i="4"/>
  <c r="E1676" i="4"/>
  <c r="F1675" i="4"/>
  <c r="E1675" i="4"/>
  <c r="F1674" i="4"/>
  <c r="E1674" i="4"/>
  <c r="F1673" i="4"/>
  <c r="E1673" i="4"/>
  <c r="F1672" i="4"/>
  <c r="E1672" i="4"/>
  <c r="F1671" i="4"/>
  <c r="E1671" i="4"/>
  <c r="F1670" i="4"/>
  <c r="E1670" i="4"/>
  <c r="F1669" i="4"/>
  <c r="E1669" i="4"/>
  <c r="F1668" i="4"/>
  <c r="E1668" i="4"/>
  <c r="F1667" i="4"/>
  <c r="E1667" i="4"/>
  <c r="F1666" i="4"/>
  <c r="E1666" i="4"/>
  <c r="F1665" i="4"/>
  <c r="E1665" i="4"/>
  <c r="F1664" i="4"/>
  <c r="E1664" i="4"/>
  <c r="F1663" i="4"/>
  <c r="E1663" i="4"/>
  <c r="F1662" i="4"/>
  <c r="E1662" i="4"/>
  <c r="F1661" i="4"/>
  <c r="E1661" i="4"/>
  <c r="F1660" i="4"/>
  <c r="E1660" i="4"/>
  <c r="F1659" i="4"/>
  <c r="E1659" i="4"/>
  <c r="F1658" i="4"/>
  <c r="E1658" i="4"/>
  <c r="F1657" i="4"/>
  <c r="E1657" i="4"/>
  <c r="F1656" i="4"/>
  <c r="E1656" i="4"/>
  <c r="F1655" i="4"/>
  <c r="E1655" i="4"/>
  <c r="F1654" i="4"/>
  <c r="E1654" i="4"/>
  <c r="F1653" i="4"/>
  <c r="E1653" i="4"/>
  <c r="F1652" i="4"/>
  <c r="E1652" i="4"/>
  <c r="F1651" i="4"/>
  <c r="E1651" i="4"/>
  <c r="F1650" i="4"/>
  <c r="E1650" i="4"/>
  <c r="F1649" i="4"/>
  <c r="E1649" i="4"/>
  <c r="F1648" i="4"/>
  <c r="E1648" i="4"/>
  <c r="F1647" i="4"/>
  <c r="E1647" i="4"/>
  <c r="F1646" i="4"/>
  <c r="E1646" i="4"/>
  <c r="F1645" i="4"/>
  <c r="E1645" i="4"/>
  <c r="F1644" i="4"/>
  <c r="E1644" i="4"/>
  <c r="F1643" i="4"/>
  <c r="E1643" i="4"/>
  <c r="F1642" i="4"/>
  <c r="E1642" i="4"/>
  <c r="F1641" i="4"/>
  <c r="E1641" i="4"/>
  <c r="F1640" i="4"/>
  <c r="E1640" i="4"/>
  <c r="F1639" i="4"/>
  <c r="E1639" i="4"/>
  <c r="F1638" i="4"/>
  <c r="E1638" i="4"/>
  <c r="F1637" i="4"/>
  <c r="E1637" i="4"/>
  <c r="F1636" i="4"/>
  <c r="E1636" i="4"/>
  <c r="F1635" i="4"/>
  <c r="E1635" i="4"/>
  <c r="F1634" i="4"/>
  <c r="E1634" i="4"/>
  <c r="F1633" i="4"/>
  <c r="E1633" i="4"/>
  <c r="F1632" i="4"/>
  <c r="E1632" i="4"/>
  <c r="F1631" i="4"/>
  <c r="E1631" i="4"/>
  <c r="F1630" i="4"/>
  <c r="E1630" i="4"/>
  <c r="F1629" i="4"/>
  <c r="E1629" i="4"/>
  <c r="F1628" i="4"/>
  <c r="E1628" i="4"/>
  <c r="F1627" i="4"/>
  <c r="E1627" i="4"/>
  <c r="F1626" i="4"/>
  <c r="E1626" i="4"/>
  <c r="F1625" i="4"/>
  <c r="E1625" i="4"/>
  <c r="F1624" i="4"/>
  <c r="E1624" i="4"/>
  <c r="F1623" i="4"/>
  <c r="E1623" i="4"/>
  <c r="F1622" i="4"/>
  <c r="E1622" i="4"/>
  <c r="F1621" i="4"/>
  <c r="E1621" i="4"/>
  <c r="F1620" i="4"/>
  <c r="E1620" i="4"/>
  <c r="F1619" i="4"/>
  <c r="E1619" i="4"/>
  <c r="F1618" i="4"/>
  <c r="E1618" i="4"/>
  <c r="F1617" i="4"/>
  <c r="E1617" i="4"/>
  <c r="F1616" i="4"/>
  <c r="E1616" i="4"/>
  <c r="F1615" i="4"/>
  <c r="E1615" i="4"/>
  <c r="F1614" i="4"/>
  <c r="E1614" i="4"/>
  <c r="F1613" i="4"/>
  <c r="E1613" i="4"/>
  <c r="F1612" i="4"/>
  <c r="E1612" i="4"/>
  <c r="F1611" i="4"/>
  <c r="E1611" i="4"/>
  <c r="F1610" i="4"/>
  <c r="E1610" i="4"/>
  <c r="F1609" i="4"/>
  <c r="E1609" i="4"/>
  <c r="F1608" i="4"/>
  <c r="E1608" i="4"/>
  <c r="F1607" i="4"/>
  <c r="E1607" i="4"/>
  <c r="F1606" i="4"/>
  <c r="E1606" i="4"/>
  <c r="F1605" i="4"/>
  <c r="E1605" i="4"/>
  <c r="F1604" i="4"/>
  <c r="E1604" i="4"/>
  <c r="F1603" i="4"/>
  <c r="E1603" i="4"/>
  <c r="F1602" i="4"/>
  <c r="E1602" i="4"/>
  <c r="F1601" i="4"/>
  <c r="E1601" i="4"/>
  <c r="F1600" i="4"/>
  <c r="E1600" i="4"/>
  <c r="F1599" i="4"/>
  <c r="E1599" i="4"/>
  <c r="F1598" i="4"/>
  <c r="E1598" i="4"/>
  <c r="F1597" i="4"/>
  <c r="E1597" i="4"/>
  <c r="F1596" i="4"/>
  <c r="E1596" i="4"/>
  <c r="F1595" i="4"/>
  <c r="E1595" i="4"/>
  <c r="F1594" i="4"/>
  <c r="E1594" i="4"/>
  <c r="F1593" i="4"/>
  <c r="E1593" i="4"/>
  <c r="F1592" i="4"/>
  <c r="E1592" i="4"/>
  <c r="F1591" i="4"/>
  <c r="E1591" i="4"/>
  <c r="F1590" i="4"/>
  <c r="E1590" i="4"/>
  <c r="F1589" i="4"/>
  <c r="E1589" i="4"/>
  <c r="F1588" i="4"/>
  <c r="E1588" i="4"/>
  <c r="F1587" i="4"/>
  <c r="E1587" i="4"/>
  <c r="F1586" i="4"/>
  <c r="E1586" i="4"/>
  <c r="F1585" i="4"/>
  <c r="E1585" i="4"/>
  <c r="F1584" i="4"/>
  <c r="E1584" i="4"/>
  <c r="F1583" i="4"/>
  <c r="E1583" i="4"/>
  <c r="F1582" i="4"/>
  <c r="E1582" i="4"/>
  <c r="F1581" i="4"/>
  <c r="E1581" i="4"/>
  <c r="F1580" i="4"/>
  <c r="E1580" i="4"/>
  <c r="F1579" i="4"/>
  <c r="E1579" i="4"/>
  <c r="F1578" i="4"/>
  <c r="E1578" i="4"/>
  <c r="F1577" i="4"/>
  <c r="E1577" i="4"/>
  <c r="F1576" i="4"/>
  <c r="E1576" i="4"/>
  <c r="F1575" i="4"/>
  <c r="E1575" i="4"/>
  <c r="F1574" i="4"/>
  <c r="E1574" i="4"/>
  <c r="F1573" i="4"/>
  <c r="E1573" i="4"/>
  <c r="F1572" i="4"/>
  <c r="E1572" i="4"/>
  <c r="F1571" i="4"/>
  <c r="E1571" i="4"/>
  <c r="F1570" i="4"/>
  <c r="E1570" i="4"/>
  <c r="F1569" i="4"/>
  <c r="E1569" i="4"/>
  <c r="F1568" i="4"/>
  <c r="E1568" i="4"/>
  <c r="F1567" i="4"/>
  <c r="E1567" i="4"/>
  <c r="F1566" i="4"/>
  <c r="E1566" i="4"/>
  <c r="F1565" i="4"/>
  <c r="E1565" i="4"/>
  <c r="F1564" i="4"/>
  <c r="E1564" i="4"/>
  <c r="F1563" i="4"/>
  <c r="E1563" i="4"/>
  <c r="F1562" i="4"/>
  <c r="E1562" i="4"/>
  <c r="F1561" i="4"/>
  <c r="E1561" i="4"/>
  <c r="F1560" i="4"/>
  <c r="E1560" i="4"/>
  <c r="F1559" i="4"/>
  <c r="E1559" i="4"/>
  <c r="F1558" i="4"/>
  <c r="E1558" i="4"/>
  <c r="F1557" i="4"/>
  <c r="E1557" i="4"/>
  <c r="F1556" i="4"/>
  <c r="E1556" i="4"/>
  <c r="F1555" i="4"/>
  <c r="E1555" i="4"/>
  <c r="F1554" i="4"/>
  <c r="E1554" i="4"/>
  <c r="F1553" i="4"/>
  <c r="E1553" i="4"/>
  <c r="F1552" i="4"/>
  <c r="E1552" i="4"/>
  <c r="F1551" i="4"/>
  <c r="E1551" i="4"/>
  <c r="F1550" i="4"/>
  <c r="E1550" i="4"/>
  <c r="F1549" i="4"/>
  <c r="E1549" i="4"/>
  <c r="F1548" i="4"/>
  <c r="E1548" i="4"/>
  <c r="F1547" i="4"/>
  <c r="E1547" i="4"/>
  <c r="F1546" i="4"/>
  <c r="E1546" i="4"/>
  <c r="F1545" i="4"/>
  <c r="E1545" i="4"/>
  <c r="F1544" i="4"/>
  <c r="E1544" i="4"/>
  <c r="F1543" i="4"/>
  <c r="E1543" i="4"/>
  <c r="F1542" i="4"/>
  <c r="E1542" i="4"/>
  <c r="F1541" i="4"/>
  <c r="E1541" i="4"/>
  <c r="F1540" i="4"/>
  <c r="E1540" i="4"/>
  <c r="F1539" i="4"/>
  <c r="E1539" i="4"/>
  <c r="F1538" i="4"/>
  <c r="E1538" i="4"/>
  <c r="F1537" i="4"/>
  <c r="E1537" i="4"/>
  <c r="F1536" i="4"/>
  <c r="E1536" i="4"/>
  <c r="F1535" i="4"/>
  <c r="E1535" i="4"/>
  <c r="F1534" i="4"/>
  <c r="E1534" i="4"/>
  <c r="F1533" i="4"/>
  <c r="E1533" i="4"/>
  <c r="F1532" i="4"/>
  <c r="E1532" i="4"/>
  <c r="F1531" i="4"/>
  <c r="E1531" i="4"/>
  <c r="F1530" i="4"/>
  <c r="E1530" i="4"/>
  <c r="F1529" i="4"/>
  <c r="E1529" i="4"/>
  <c r="F1528" i="4"/>
  <c r="E1528" i="4"/>
  <c r="F1527" i="4"/>
  <c r="E1527" i="4"/>
  <c r="F1526" i="4"/>
  <c r="E1526" i="4"/>
  <c r="F1525" i="4"/>
  <c r="E1525" i="4"/>
  <c r="F1524" i="4"/>
  <c r="E1524" i="4"/>
  <c r="F1523" i="4"/>
  <c r="E1523" i="4"/>
  <c r="F1522" i="4"/>
  <c r="E1522" i="4"/>
  <c r="F1521" i="4"/>
  <c r="E1521" i="4"/>
  <c r="F1520" i="4"/>
  <c r="E1520" i="4"/>
  <c r="F1519" i="4"/>
  <c r="E1519" i="4"/>
  <c r="F1518" i="4"/>
  <c r="E1518" i="4"/>
  <c r="F1517" i="4"/>
  <c r="E1517" i="4"/>
  <c r="F1516" i="4"/>
  <c r="E1516" i="4"/>
  <c r="F1515" i="4"/>
  <c r="E1515" i="4"/>
  <c r="F1514" i="4"/>
  <c r="E1514" i="4"/>
  <c r="F1513" i="4"/>
  <c r="E1513" i="4"/>
  <c r="F1512" i="4"/>
  <c r="E1512" i="4"/>
  <c r="F1511" i="4"/>
  <c r="E1511" i="4"/>
  <c r="F1510" i="4"/>
  <c r="E1510" i="4"/>
  <c r="F1509" i="4"/>
  <c r="E1509" i="4"/>
  <c r="F1508" i="4"/>
  <c r="E1508" i="4"/>
  <c r="F1507" i="4"/>
  <c r="E1507" i="4"/>
  <c r="F1506" i="4"/>
  <c r="E1506" i="4"/>
  <c r="F1505" i="4"/>
  <c r="E1505" i="4"/>
  <c r="F1504" i="4"/>
  <c r="E1504" i="4"/>
  <c r="F1503" i="4"/>
  <c r="E1503" i="4"/>
  <c r="F1502" i="4"/>
  <c r="E1502" i="4"/>
  <c r="F1501" i="4"/>
  <c r="E1501" i="4"/>
  <c r="F1500" i="4"/>
  <c r="E1500" i="4"/>
  <c r="F1499" i="4"/>
  <c r="E1499" i="4"/>
  <c r="F1498" i="4"/>
  <c r="E1498" i="4"/>
  <c r="F1497" i="4"/>
  <c r="E1497" i="4"/>
  <c r="F1496" i="4"/>
  <c r="E1496" i="4"/>
  <c r="F1495" i="4"/>
  <c r="E1495" i="4"/>
  <c r="F1494" i="4"/>
  <c r="E1494" i="4"/>
  <c r="F1493" i="4"/>
  <c r="E1493" i="4"/>
  <c r="F1492" i="4"/>
  <c r="E1492" i="4"/>
  <c r="F1491" i="4"/>
  <c r="E1491" i="4"/>
  <c r="F1490" i="4"/>
  <c r="E1490" i="4"/>
  <c r="F1489" i="4"/>
  <c r="E1489" i="4"/>
  <c r="F1488" i="4"/>
  <c r="E1488" i="4"/>
  <c r="F1487" i="4"/>
  <c r="E1487" i="4"/>
  <c r="F1486" i="4"/>
  <c r="E1486" i="4"/>
  <c r="F1485" i="4"/>
  <c r="E1485" i="4"/>
  <c r="F1484" i="4"/>
  <c r="E1484" i="4"/>
  <c r="F1483" i="4"/>
  <c r="E1483" i="4"/>
  <c r="F1482" i="4"/>
  <c r="E1482" i="4"/>
  <c r="F1481" i="4"/>
  <c r="E1481" i="4"/>
  <c r="F1480" i="4"/>
  <c r="E1480" i="4"/>
  <c r="F1479" i="4"/>
  <c r="E1479" i="4"/>
  <c r="F1478" i="4"/>
  <c r="E1478" i="4"/>
  <c r="F1477" i="4"/>
  <c r="E1477" i="4"/>
  <c r="F1476" i="4"/>
  <c r="E1476" i="4"/>
  <c r="F1475" i="4"/>
  <c r="E1475" i="4"/>
  <c r="F1474" i="4"/>
  <c r="E1474" i="4"/>
  <c r="F1473" i="4"/>
  <c r="E1473" i="4"/>
  <c r="F1472" i="4"/>
  <c r="E1472" i="4"/>
  <c r="F1471" i="4"/>
  <c r="E1471" i="4"/>
  <c r="F1470" i="4"/>
  <c r="E1470" i="4"/>
  <c r="F1469" i="4"/>
  <c r="E1469" i="4"/>
  <c r="F1468" i="4"/>
  <c r="E1468" i="4"/>
  <c r="F1467" i="4"/>
  <c r="E1467" i="4"/>
  <c r="F1466" i="4"/>
  <c r="E1466" i="4"/>
  <c r="F1465" i="4"/>
  <c r="E1465" i="4"/>
  <c r="F1464" i="4"/>
  <c r="E1464" i="4"/>
  <c r="F1463" i="4"/>
  <c r="E1463" i="4"/>
  <c r="F1462" i="4"/>
  <c r="E1462" i="4"/>
  <c r="F1461" i="4"/>
  <c r="E1461" i="4"/>
  <c r="F1460" i="4"/>
  <c r="E1460" i="4"/>
  <c r="F1459" i="4"/>
  <c r="E1459" i="4"/>
  <c r="F1458" i="4"/>
  <c r="E1458" i="4"/>
  <c r="F1457" i="4"/>
  <c r="E1457" i="4"/>
  <c r="F1456" i="4"/>
  <c r="E1456" i="4"/>
  <c r="F1455" i="4"/>
  <c r="E1455" i="4"/>
  <c r="F1454" i="4"/>
  <c r="E1454" i="4"/>
  <c r="F1453" i="4"/>
  <c r="E1453" i="4"/>
  <c r="F1452" i="4"/>
  <c r="E1452" i="4"/>
  <c r="F1451" i="4"/>
  <c r="E1451" i="4"/>
  <c r="F1450" i="4"/>
  <c r="E1450" i="4"/>
  <c r="F1449" i="4"/>
  <c r="E1449" i="4"/>
  <c r="F1448" i="4"/>
  <c r="E1448" i="4"/>
  <c r="F1447" i="4"/>
  <c r="E1447" i="4"/>
  <c r="F1446" i="4"/>
  <c r="E1446" i="4"/>
  <c r="F1445" i="4"/>
  <c r="E1445" i="4"/>
  <c r="F1444" i="4"/>
  <c r="E1444" i="4"/>
  <c r="F1443" i="4"/>
  <c r="E1443" i="4"/>
  <c r="F1442" i="4"/>
  <c r="E1442" i="4"/>
  <c r="F1441" i="4"/>
  <c r="E1441" i="4"/>
  <c r="F1440" i="4"/>
  <c r="E1440" i="4"/>
  <c r="F1439" i="4"/>
  <c r="E1439" i="4"/>
  <c r="F1438" i="4"/>
  <c r="E1438" i="4"/>
  <c r="F1437" i="4"/>
  <c r="E1437" i="4"/>
  <c r="F1436" i="4"/>
  <c r="E1436" i="4"/>
  <c r="F1435" i="4"/>
  <c r="E1435" i="4"/>
  <c r="F1434" i="4"/>
  <c r="E1434" i="4"/>
  <c r="F1433" i="4"/>
  <c r="E1433" i="4"/>
  <c r="F1432" i="4"/>
  <c r="E1432" i="4"/>
  <c r="F1431" i="4"/>
  <c r="E1431" i="4"/>
  <c r="F1430" i="4"/>
  <c r="E1430" i="4"/>
  <c r="F1429" i="4"/>
  <c r="E1429" i="4"/>
  <c r="F1428" i="4"/>
  <c r="E1428" i="4"/>
  <c r="F1427" i="4"/>
  <c r="E1427" i="4"/>
  <c r="F1426" i="4"/>
  <c r="E1426" i="4"/>
  <c r="F1425" i="4"/>
  <c r="E1425" i="4"/>
  <c r="F1424" i="4"/>
  <c r="E1424" i="4"/>
  <c r="F1423" i="4"/>
  <c r="E1423" i="4"/>
  <c r="F1422" i="4"/>
  <c r="E1422" i="4"/>
  <c r="F1421" i="4"/>
  <c r="E1421" i="4"/>
  <c r="F1420" i="4"/>
  <c r="E1420" i="4"/>
  <c r="F1419" i="4"/>
  <c r="E1419" i="4"/>
  <c r="F1418" i="4"/>
  <c r="E1418" i="4"/>
  <c r="F1417" i="4"/>
  <c r="E1417" i="4"/>
  <c r="F1416" i="4"/>
  <c r="E1416" i="4"/>
  <c r="F1415" i="4"/>
  <c r="E1415" i="4"/>
  <c r="F1414" i="4"/>
  <c r="E1414" i="4"/>
  <c r="F1413" i="4"/>
  <c r="E1413" i="4"/>
  <c r="F1412" i="4"/>
  <c r="E1412" i="4"/>
  <c r="F1411" i="4"/>
  <c r="E1411" i="4"/>
  <c r="F1410" i="4"/>
  <c r="E1410" i="4"/>
  <c r="F1409" i="4"/>
  <c r="E1409" i="4"/>
  <c r="F1408" i="4"/>
  <c r="E1408" i="4"/>
  <c r="F1407" i="4"/>
  <c r="E1407" i="4"/>
  <c r="F1406" i="4"/>
  <c r="E1406" i="4"/>
  <c r="F1405" i="4"/>
  <c r="E1405" i="4"/>
  <c r="F1404" i="4"/>
  <c r="E1404" i="4"/>
  <c r="F1403" i="4"/>
  <c r="E1403" i="4"/>
  <c r="F1402" i="4"/>
  <c r="E1402" i="4"/>
  <c r="F1401" i="4"/>
  <c r="E1401" i="4"/>
  <c r="F1400" i="4"/>
  <c r="E1400" i="4"/>
  <c r="F1399" i="4"/>
  <c r="E1399" i="4"/>
  <c r="F1398" i="4"/>
  <c r="E1398" i="4"/>
  <c r="F1397" i="4"/>
  <c r="E1397" i="4"/>
  <c r="F1396" i="4"/>
  <c r="E1396" i="4"/>
  <c r="F1395" i="4"/>
  <c r="E1395" i="4"/>
  <c r="F1394" i="4"/>
  <c r="E1394" i="4"/>
  <c r="F1393" i="4"/>
  <c r="E1393" i="4"/>
  <c r="F1392" i="4"/>
  <c r="E1392" i="4"/>
  <c r="F1391" i="4"/>
  <c r="E1391" i="4"/>
  <c r="F1390" i="4"/>
  <c r="E1390" i="4"/>
  <c r="F1389" i="4"/>
  <c r="E1389" i="4"/>
  <c r="F1388" i="4"/>
  <c r="E1388" i="4"/>
  <c r="F1387" i="4"/>
  <c r="E1387" i="4"/>
  <c r="F1386" i="4"/>
  <c r="E1386" i="4"/>
  <c r="F1385" i="4"/>
  <c r="E1385" i="4"/>
  <c r="F1384" i="4"/>
  <c r="E1384" i="4"/>
  <c r="F1383" i="4"/>
  <c r="E1383" i="4"/>
  <c r="F1382" i="4"/>
  <c r="E1382" i="4"/>
  <c r="F1381" i="4"/>
  <c r="E1381" i="4"/>
  <c r="F1380" i="4"/>
  <c r="E1380" i="4"/>
  <c r="F1379" i="4"/>
  <c r="E1379" i="4"/>
  <c r="F1378" i="4"/>
  <c r="E1378" i="4"/>
  <c r="F1377" i="4"/>
  <c r="E1377" i="4"/>
  <c r="F1376" i="4"/>
  <c r="E1376" i="4"/>
  <c r="F1375" i="4"/>
  <c r="E1375" i="4"/>
  <c r="F1374" i="4"/>
  <c r="E1374" i="4"/>
  <c r="F1373" i="4"/>
  <c r="E1373" i="4"/>
  <c r="F1372" i="4"/>
  <c r="E1372" i="4"/>
  <c r="F1371" i="4"/>
  <c r="E1371" i="4"/>
  <c r="F1370" i="4"/>
  <c r="E1370" i="4"/>
  <c r="F1369" i="4"/>
  <c r="E1369" i="4"/>
  <c r="F1368" i="4"/>
  <c r="E1368" i="4"/>
  <c r="F1367" i="4"/>
  <c r="E1367" i="4"/>
  <c r="F1366" i="4"/>
  <c r="E1366" i="4"/>
  <c r="F1365" i="4"/>
  <c r="E1365" i="4"/>
  <c r="F1364" i="4"/>
  <c r="E1364" i="4"/>
  <c r="F1363" i="4"/>
  <c r="E1363" i="4"/>
  <c r="F1362" i="4"/>
  <c r="E1362" i="4"/>
  <c r="F1361" i="4"/>
  <c r="E1361" i="4"/>
  <c r="F1360" i="4"/>
  <c r="E1360" i="4"/>
  <c r="F1359" i="4"/>
  <c r="E1359" i="4"/>
  <c r="F1358" i="4"/>
  <c r="E1358" i="4"/>
  <c r="F1357" i="4"/>
  <c r="E1357" i="4"/>
  <c r="F1356" i="4"/>
  <c r="E1356" i="4"/>
  <c r="F1355" i="4"/>
  <c r="E1355" i="4"/>
  <c r="F1354" i="4"/>
  <c r="E1354" i="4"/>
  <c r="F1353" i="4"/>
  <c r="E1353" i="4"/>
  <c r="F1352" i="4"/>
  <c r="E1352" i="4"/>
  <c r="F1351" i="4"/>
  <c r="E1351" i="4"/>
  <c r="F1350" i="4"/>
  <c r="E1350" i="4"/>
  <c r="F1349" i="4"/>
  <c r="E1349" i="4"/>
  <c r="F1348" i="4"/>
  <c r="E1348" i="4"/>
  <c r="F1347" i="4"/>
  <c r="E1347" i="4"/>
  <c r="F1346" i="4"/>
  <c r="E1346" i="4"/>
  <c r="F1345" i="4"/>
  <c r="E1345" i="4"/>
  <c r="F1344" i="4"/>
  <c r="E1344" i="4"/>
  <c r="F1343" i="4"/>
  <c r="E1343" i="4"/>
  <c r="F1342" i="4"/>
  <c r="E1342" i="4"/>
  <c r="F1341" i="4"/>
  <c r="E1341" i="4"/>
  <c r="F1340" i="4"/>
  <c r="E1340" i="4"/>
  <c r="F1339" i="4"/>
  <c r="E1339" i="4"/>
  <c r="F1338" i="4"/>
  <c r="E1338" i="4"/>
  <c r="F1337" i="4"/>
  <c r="E1337" i="4"/>
  <c r="F1336" i="4"/>
  <c r="E1336" i="4"/>
  <c r="F1335" i="4"/>
  <c r="E1335" i="4"/>
  <c r="F1334" i="4"/>
  <c r="E1334" i="4"/>
  <c r="F1333" i="4"/>
  <c r="E1333" i="4"/>
  <c r="F1332" i="4"/>
  <c r="E1332" i="4"/>
  <c r="F1331" i="4"/>
  <c r="E1331" i="4"/>
  <c r="F1330" i="4"/>
  <c r="E1330" i="4"/>
  <c r="F1329" i="4"/>
  <c r="E1329" i="4"/>
  <c r="F1328" i="4"/>
  <c r="E1328" i="4"/>
  <c r="F1327" i="4"/>
  <c r="E1327" i="4"/>
  <c r="F1326" i="4"/>
  <c r="E1326" i="4"/>
  <c r="F1325" i="4"/>
  <c r="E1325" i="4"/>
  <c r="F1324" i="4"/>
  <c r="E1324" i="4"/>
  <c r="F1323" i="4"/>
  <c r="E1323" i="4"/>
  <c r="F1322" i="4"/>
  <c r="E1322" i="4"/>
  <c r="F1321" i="4"/>
  <c r="E1321" i="4"/>
  <c r="F1320" i="4"/>
  <c r="E1320" i="4"/>
  <c r="F1319" i="4"/>
  <c r="E1319" i="4"/>
  <c r="F1318" i="4"/>
  <c r="E1318" i="4"/>
  <c r="F1317" i="4"/>
  <c r="E1317" i="4"/>
  <c r="F1316" i="4"/>
  <c r="E1316" i="4"/>
  <c r="F1315" i="4"/>
  <c r="E1315" i="4"/>
  <c r="F1314" i="4"/>
  <c r="E1314" i="4"/>
  <c r="F1313" i="4"/>
  <c r="E1313" i="4"/>
  <c r="F1312" i="4"/>
  <c r="E1312" i="4"/>
  <c r="F1311" i="4"/>
  <c r="E1311" i="4"/>
  <c r="F1310" i="4"/>
  <c r="E1310" i="4"/>
  <c r="F1309" i="4"/>
  <c r="E1309" i="4"/>
  <c r="F1308" i="4"/>
  <c r="E1308" i="4"/>
  <c r="F1307" i="4"/>
  <c r="E1307" i="4"/>
  <c r="F1306" i="4"/>
  <c r="E1306" i="4"/>
  <c r="F1305" i="4"/>
  <c r="E1305" i="4"/>
  <c r="F1304" i="4"/>
  <c r="E1304" i="4"/>
  <c r="F1303" i="4"/>
  <c r="E1303" i="4"/>
  <c r="F1302" i="4"/>
  <c r="E1302" i="4"/>
  <c r="F1301" i="4"/>
  <c r="E1301" i="4"/>
  <c r="F1300" i="4"/>
  <c r="E1300" i="4"/>
  <c r="F1299" i="4"/>
  <c r="E1299" i="4"/>
  <c r="F1298" i="4"/>
  <c r="E1298" i="4"/>
  <c r="F1297" i="4"/>
  <c r="E1297" i="4"/>
  <c r="F1296" i="4"/>
  <c r="E1296" i="4"/>
  <c r="F1295" i="4"/>
  <c r="E1295" i="4"/>
  <c r="F1294" i="4"/>
  <c r="E1294" i="4"/>
  <c r="F1293" i="4"/>
  <c r="E1293" i="4"/>
  <c r="F1292" i="4"/>
  <c r="E1292" i="4"/>
  <c r="F1291" i="4"/>
  <c r="E1291" i="4"/>
  <c r="F1290" i="4"/>
  <c r="E1290" i="4"/>
  <c r="F1289" i="4"/>
  <c r="E1289" i="4"/>
  <c r="F1288" i="4"/>
  <c r="E1288" i="4"/>
  <c r="F1287" i="4"/>
  <c r="E1287" i="4"/>
  <c r="F1286" i="4"/>
  <c r="E1286" i="4"/>
  <c r="F1285" i="4"/>
  <c r="E1285" i="4"/>
  <c r="F1284" i="4"/>
  <c r="E1284" i="4"/>
  <c r="F1283" i="4"/>
  <c r="E1283" i="4"/>
  <c r="F1282" i="4"/>
  <c r="E1282" i="4"/>
  <c r="F1281" i="4"/>
  <c r="E1281" i="4"/>
  <c r="F1280" i="4"/>
  <c r="E1280" i="4"/>
  <c r="F1279" i="4"/>
  <c r="E1279" i="4"/>
  <c r="F1278" i="4"/>
  <c r="E1278" i="4"/>
  <c r="F1277" i="4"/>
  <c r="E1277" i="4"/>
  <c r="F1276" i="4"/>
  <c r="E1276" i="4"/>
  <c r="F1275" i="4"/>
  <c r="E1275" i="4"/>
  <c r="F1274" i="4"/>
  <c r="E1274" i="4"/>
  <c r="F1273" i="4"/>
  <c r="E1273" i="4"/>
  <c r="F1272" i="4"/>
  <c r="E1272" i="4"/>
  <c r="F1271" i="4"/>
  <c r="E1271" i="4"/>
  <c r="F1270" i="4"/>
  <c r="E1270" i="4"/>
  <c r="F1269" i="4"/>
  <c r="E1269" i="4"/>
  <c r="F1268" i="4"/>
  <c r="E1268" i="4"/>
  <c r="F1267" i="4"/>
  <c r="E1267" i="4"/>
  <c r="F1266" i="4"/>
  <c r="E1266" i="4"/>
  <c r="F1265" i="4"/>
  <c r="E1265" i="4"/>
  <c r="F1264" i="4"/>
  <c r="E1264" i="4"/>
  <c r="F1263" i="4"/>
  <c r="E1263" i="4"/>
  <c r="F1262" i="4"/>
  <c r="E1262" i="4"/>
  <c r="F1261" i="4"/>
  <c r="E1261" i="4"/>
  <c r="F1260" i="4"/>
  <c r="E1260" i="4"/>
  <c r="F1259" i="4"/>
  <c r="E1259" i="4"/>
  <c r="F1258" i="4"/>
  <c r="E1258" i="4"/>
  <c r="F1257" i="4"/>
  <c r="E1257" i="4"/>
  <c r="F1256" i="4"/>
  <c r="E1256" i="4"/>
  <c r="F1255" i="4"/>
  <c r="E1255" i="4"/>
  <c r="F1254" i="4"/>
  <c r="E1254" i="4"/>
  <c r="F1253" i="4"/>
  <c r="E1253" i="4"/>
  <c r="F1252" i="4"/>
  <c r="E1252" i="4"/>
  <c r="F1251" i="4"/>
  <c r="E1251" i="4"/>
  <c r="F1250" i="4"/>
  <c r="E1250" i="4"/>
  <c r="F1249" i="4"/>
  <c r="E1249" i="4"/>
  <c r="F1248" i="4"/>
  <c r="E1248" i="4"/>
  <c r="F1247" i="4"/>
  <c r="E1247" i="4"/>
  <c r="F1246" i="4"/>
  <c r="E1246" i="4"/>
  <c r="F1245" i="4"/>
  <c r="E1245" i="4"/>
  <c r="F1244" i="4"/>
  <c r="E1244" i="4"/>
  <c r="F1243" i="4"/>
  <c r="E1243" i="4"/>
  <c r="F1242" i="4"/>
  <c r="E1242" i="4"/>
  <c r="F1241" i="4"/>
  <c r="E1241" i="4"/>
  <c r="F1240" i="4"/>
  <c r="E1240" i="4"/>
  <c r="F1239" i="4"/>
  <c r="E1239" i="4"/>
  <c r="F1238" i="4"/>
  <c r="E1238" i="4"/>
  <c r="F1237" i="4"/>
  <c r="E1237" i="4"/>
  <c r="F1236" i="4"/>
  <c r="E1236" i="4"/>
  <c r="F1235" i="4"/>
  <c r="E1235" i="4"/>
  <c r="F1234" i="4"/>
  <c r="E1234" i="4"/>
  <c r="F1233" i="4"/>
  <c r="E1233" i="4"/>
  <c r="F1232" i="4"/>
  <c r="E1232" i="4"/>
  <c r="F1231" i="4"/>
  <c r="E1231" i="4"/>
  <c r="F1230" i="4"/>
  <c r="E1230" i="4"/>
  <c r="F1229" i="4"/>
  <c r="E1229" i="4"/>
  <c r="F1228" i="4"/>
  <c r="E1228" i="4"/>
  <c r="F1227" i="4"/>
  <c r="E1227" i="4"/>
  <c r="F1226" i="4"/>
  <c r="E1226" i="4"/>
  <c r="F1225" i="4"/>
  <c r="E1225" i="4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B55" i="5" l="1"/>
  <c r="X55" i="5" s="1"/>
  <c r="A11" i="5"/>
  <c r="B10" i="5"/>
  <c r="B5" i="5"/>
  <c r="B9" i="5"/>
  <c r="B6" i="5"/>
  <c r="B7" i="5"/>
  <c r="B7" i="6" s="1"/>
  <c r="B8" i="5"/>
  <c r="A8" i="6"/>
  <c r="E8" i="5"/>
  <c r="B6" i="6" l="1"/>
  <c r="C6" i="5"/>
  <c r="C8" i="5"/>
  <c r="C5" i="5"/>
  <c r="C5" i="6"/>
  <c r="E5" i="6" s="1"/>
  <c r="B5" i="6"/>
  <c r="D5" i="6" s="1"/>
  <c r="C6" i="6"/>
  <c r="X6" i="5"/>
  <c r="X8" i="5"/>
  <c r="X7" i="5"/>
  <c r="C7" i="5"/>
  <c r="C7" i="6"/>
  <c r="A12" i="5"/>
  <c r="B11" i="5"/>
  <c r="X11" i="5" s="1"/>
  <c r="B8" i="6"/>
  <c r="D8" i="6" s="1"/>
  <c r="F8" i="6" s="1"/>
  <c r="C8" i="6"/>
  <c r="E8" i="6" s="1"/>
  <c r="A9" i="6"/>
  <c r="E9" i="5"/>
  <c r="X9" i="5"/>
  <c r="C9" i="5"/>
  <c r="C10" i="5"/>
  <c r="X10" i="5"/>
  <c r="D6" i="6" l="1"/>
  <c r="F6" i="6" s="1"/>
  <c r="G6" i="6" s="1"/>
  <c r="C11" i="5"/>
  <c r="E6" i="6"/>
  <c r="E7" i="6"/>
  <c r="F5" i="5"/>
  <c r="F55" i="5"/>
  <c r="F6" i="5"/>
  <c r="F10" i="5"/>
  <c r="F11" i="5"/>
  <c r="F8" i="5"/>
  <c r="F9" i="5"/>
  <c r="F7" i="5"/>
  <c r="B12" i="5"/>
  <c r="A13" i="5"/>
  <c r="F12" i="5"/>
  <c r="D7" i="6"/>
  <c r="F7" i="6" s="1"/>
  <c r="B9" i="6"/>
  <c r="D9" i="6" s="1"/>
  <c r="F9" i="6" s="1"/>
  <c r="C9" i="6"/>
  <c r="E9" i="6" s="1"/>
  <c r="A10" i="6"/>
  <c r="E10" i="5"/>
  <c r="G7" i="6" l="1"/>
  <c r="G8" i="6"/>
  <c r="G9" i="6"/>
  <c r="I12" i="5"/>
  <c r="H12" i="5"/>
  <c r="G12" i="5"/>
  <c r="G7" i="5"/>
  <c r="H7" i="5"/>
  <c r="I7" i="5"/>
  <c r="I10" i="5"/>
  <c r="G10" i="5"/>
  <c r="H10" i="5"/>
  <c r="B13" i="5"/>
  <c r="A14" i="5"/>
  <c r="F13" i="5"/>
  <c r="G9" i="5"/>
  <c r="H9" i="5"/>
  <c r="I9" i="5"/>
  <c r="I6" i="5"/>
  <c r="G6" i="5"/>
  <c r="H6" i="5"/>
  <c r="X12" i="5"/>
  <c r="C12" i="5"/>
  <c r="I8" i="5"/>
  <c r="G8" i="5"/>
  <c r="H8" i="5"/>
  <c r="G55" i="5"/>
  <c r="I55" i="5"/>
  <c r="H55" i="5"/>
  <c r="G11" i="5"/>
  <c r="I11" i="5"/>
  <c r="H11" i="5"/>
  <c r="I5" i="5"/>
  <c r="L5" i="5" s="1"/>
  <c r="G5" i="5"/>
  <c r="J5" i="5" s="1"/>
  <c r="H5" i="5"/>
  <c r="K5" i="5" s="1"/>
  <c r="C10" i="6"/>
  <c r="E10" i="6" s="1"/>
  <c r="B10" i="6"/>
  <c r="D10" i="6" s="1"/>
  <c r="F10" i="6" s="1"/>
  <c r="G10" i="6" s="1"/>
  <c r="A11" i="6"/>
  <c r="E11" i="5"/>
  <c r="L11" i="5" l="1"/>
  <c r="O11" i="5" s="1"/>
  <c r="L8" i="5"/>
  <c r="O8" i="5" s="1"/>
  <c r="J11" i="5"/>
  <c r="M11" i="5" s="1"/>
  <c r="L6" i="5"/>
  <c r="R6" i="5" s="1"/>
  <c r="K10" i="5"/>
  <c r="Q10" i="5" s="1"/>
  <c r="K7" i="5"/>
  <c r="N7" i="5" s="1"/>
  <c r="L9" i="5"/>
  <c r="O9" i="5" s="1"/>
  <c r="J10" i="5"/>
  <c r="Q5" i="5"/>
  <c r="N5" i="5"/>
  <c r="L12" i="5"/>
  <c r="K8" i="5"/>
  <c r="B14" i="5"/>
  <c r="A15" i="5"/>
  <c r="F14" i="5"/>
  <c r="O5" i="5"/>
  <c r="R5" i="5"/>
  <c r="J8" i="5"/>
  <c r="K6" i="5"/>
  <c r="K9" i="5"/>
  <c r="X13" i="5"/>
  <c r="C13" i="5"/>
  <c r="L10" i="5"/>
  <c r="J12" i="5"/>
  <c r="G13" i="5"/>
  <c r="J13" i="5" s="1"/>
  <c r="H13" i="5"/>
  <c r="K13" i="5" s="1"/>
  <c r="I13" i="5"/>
  <c r="L13" i="5" s="1"/>
  <c r="M5" i="5"/>
  <c r="P5" i="5"/>
  <c r="K11" i="5"/>
  <c r="Q11" i="5" s="1"/>
  <c r="J7" i="5"/>
  <c r="J6" i="5"/>
  <c r="J9" i="5"/>
  <c r="L7" i="5"/>
  <c r="K12" i="5"/>
  <c r="B11" i="6"/>
  <c r="D11" i="6" s="1"/>
  <c r="F11" i="6" s="1"/>
  <c r="G11" i="6" s="1"/>
  <c r="C11" i="6"/>
  <c r="E11" i="6" s="1"/>
  <c r="A12" i="6"/>
  <c r="E12" i="5"/>
  <c r="R11" i="5" l="1"/>
  <c r="P11" i="5"/>
  <c r="R8" i="5"/>
  <c r="Q7" i="5"/>
  <c r="N10" i="5"/>
  <c r="O6" i="5"/>
  <c r="N11" i="5"/>
  <c r="R9" i="5"/>
  <c r="M10" i="5"/>
  <c r="P10" i="5"/>
  <c r="C14" i="5"/>
  <c r="X14" i="5"/>
  <c r="M7" i="5"/>
  <c r="P7" i="5"/>
  <c r="B15" i="5"/>
  <c r="F15" i="5"/>
  <c r="A16" i="5"/>
  <c r="Q8" i="5"/>
  <c r="N8" i="5"/>
  <c r="O7" i="5"/>
  <c r="R7" i="5"/>
  <c r="N9" i="5"/>
  <c r="Q9" i="5"/>
  <c r="P9" i="5"/>
  <c r="M9" i="5"/>
  <c r="O10" i="5"/>
  <c r="R10" i="5"/>
  <c r="Q6" i="5"/>
  <c r="N6" i="5"/>
  <c r="P6" i="5"/>
  <c r="M6" i="5"/>
  <c r="P8" i="5"/>
  <c r="M8" i="5"/>
  <c r="H14" i="5"/>
  <c r="K14" i="5" s="1"/>
  <c r="I14" i="5"/>
  <c r="L14" i="5" s="1"/>
  <c r="G14" i="5"/>
  <c r="J14" i="5" s="1"/>
  <c r="B12" i="6"/>
  <c r="D12" i="6" s="1"/>
  <c r="F12" i="6" s="1"/>
  <c r="G12" i="6" s="1"/>
  <c r="C12" i="6"/>
  <c r="E12" i="6" s="1"/>
  <c r="A13" i="6"/>
  <c r="Q12" i="5"/>
  <c r="M12" i="5"/>
  <c r="P12" i="5"/>
  <c r="R12" i="5"/>
  <c r="E13" i="5"/>
  <c r="O12" i="5"/>
  <c r="N12" i="5"/>
  <c r="B16" i="5" l="1"/>
  <c r="F16" i="5"/>
  <c r="A17" i="5"/>
  <c r="G15" i="5"/>
  <c r="J15" i="5" s="1"/>
  <c r="H15" i="5"/>
  <c r="K15" i="5" s="1"/>
  <c r="I15" i="5"/>
  <c r="L15" i="5" s="1"/>
  <c r="X15" i="5"/>
  <c r="C15" i="5"/>
  <c r="C13" i="6"/>
  <c r="E13" i="6" s="1"/>
  <c r="B13" i="6"/>
  <c r="D13" i="6" s="1"/>
  <c r="F13" i="6" s="1"/>
  <c r="G13" i="6" s="1"/>
  <c r="A14" i="6"/>
  <c r="E14" i="5"/>
  <c r="O13" i="5"/>
  <c r="R13" i="5"/>
  <c r="N13" i="5"/>
  <c r="Q13" i="5"/>
  <c r="P13" i="5"/>
  <c r="M13" i="5"/>
  <c r="B17" i="5" l="1"/>
  <c r="F17" i="5"/>
  <c r="A18" i="5"/>
  <c r="I16" i="5"/>
  <c r="L16" i="5" s="1"/>
  <c r="G16" i="5"/>
  <c r="J16" i="5" s="1"/>
  <c r="H16" i="5"/>
  <c r="K16" i="5" s="1"/>
  <c r="X16" i="5"/>
  <c r="C16" i="5"/>
  <c r="C14" i="6"/>
  <c r="E14" i="6" s="1"/>
  <c r="B14" i="6"/>
  <c r="D14" i="6" s="1"/>
  <c r="F14" i="6" s="1"/>
  <c r="G14" i="6" s="1"/>
  <c r="A15" i="6"/>
  <c r="Q14" i="5"/>
  <c r="M14" i="5"/>
  <c r="P14" i="5"/>
  <c r="E15" i="5"/>
  <c r="O14" i="5"/>
  <c r="R14" i="5"/>
  <c r="N14" i="5"/>
  <c r="I17" i="5" l="1"/>
  <c r="L17" i="5" s="1"/>
  <c r="H17" i="5"/>
  <c r="K17" i="5" s="1"/>
  <c r="G17" i="5"/>
  <c r="J17" i="5" s="1"/>
  <c r="X17" i="5"/>
  <c r="C17" i="5"/>
  <c r="B18" i="5"/>
  <c r="F18" i="5"/>
  <c r="A19" i="5"/>
  <c r="B15" i="6"/>
  <c r="D15" i="6" s="1"/>
  <c r="F15" i="6" s="1"/>
  <c r="G15" i="6" s="1"/>
  <c r="C15" i="6"/>
  <c r="E15" i="6" s="1"/>
  <c r="A16" i="6"/>
  <c r="E16" i="5"/>
  <c r="O15" i="5"/>
  <c r="R15" i="5"/>
  <c r="N15" i="5"/>
  <c r="M15" i="5"/>
  <c r="P15" i="5"/>
  <c r="Q15" i="5"/>
  <c r="H18" i="5" l="1"/>
  <c r="K18" i="5" s="1"/>
  <c r="G18" i="5"/>
  <c r="J18" i="5" s="1"/>
  <c r="I18" i="5"/>
  <c r="L18" i="5" s="1"/>
  <c r="C18" i="5"/>
  <c r="X18" i="5"/>
  <c r="B19" i="5"/>
  <c r="A20" i="5"/>
  <c r="F19" i="5"/>
  <c r="B16" i="6"/>
  <c r="D16" i="6" s="1"/>
  <c r="F16" i="6" s="1"/>
  <c r="G16" i="6" s="1"/>
  <c r="C16" i="6"/>
  <c r="E16" i="6" s="1"/>
  <c r="A17" i="6"/>
  <c r="Q16" i="5"/>
  <c r="M16" i="5"/>
  <c r="P16" i="5"/>
  <c r="N16" i="5"/>
  <c r="R16" i="5"/>
  <c r="E17" i="5"/>
  <c r="O16" i="5"/>
  <c r="I19" i="5" l="1"/>
  <c r="L19" i="5" s="1"/>
  <c r="H19" i="5"/>
  <c r="K19" i="5" s="1"/>
  <c r="G19" i="5"/>
  <c r="J19" i="5" s="1"/>
  <c r="B20" i="5"/>
  <c r="F20" i="5"/>
  <c r="A21" i="5"/>
  <c r="X19" i="5"/>
  <c r="C19" i="5"/>
  <c r="B17" i="6"/>
  <c r="D17" i="6" s="1"/>
  <c r="F17" i="6" s="1"/>
  <c r="G17" i="6" s="1"/>
  <c r="C17" i="6"/>
  <c r="E17" i="6" s="1"/>
  <c r="A18" i="6"/>
  <c r="E18" i="5"/>
  <c r="O17" i="5"/>
  <c r="R17" i="5"/>
  <c r="N17" i="5"/>
  <c r="Q17" i="5"/>
  <c r="P17" i="5"/>
  <c r="M17" i="5"/>
  <c r="C20" i="5" l="1"/>
  <c r="X20" i="5"/>
  <c r="B21" i="5"/>
  <c r="F21" i="5"/>
  <c r="A22" i="5"/>
  <c r="G20" i="5"/>
  <c r="J20" i="5" s="1"/>
  <c r="I20" i="5"/>
  <c r="L20" i="5" s="1"/>
  <c r="H20" i="5"/>
  <c r="K20" i="5" s="1"/>
  <c r="C18" i="6"/>
  <c r="E18" i="6" s="1"/>
  <c r="B18" i="6"/>
  <c r="D18" i="6" s="1"/>
  <c r="F18" i="6" s="1"/>
  <c r="G18" i="6" s="1"/>
  <c r="A19" i="6"/>
  <c r="Q18" i="5"/>
  <c r="M18" i="5"/>
  <c r="P18" i="5"/>
  <c r="E19" i="5"/>
  <c r="O18" i="5"/>
  <c r="N18" i="5"/>
  <c r="R18" i="5"/>
  <c r="X21" i="5" l="1"/>
  <c r="C21" i="5"/>
  <c r="B22" i="5"/>
  <c r="A23" i="5"/>
  <c r="F22" i="5"/>
  <c r="H21" i="5"/>
  <c r="K21" i="5" s="1"/>
  <c r="G21" i="5"/>
  <c r="J21" i="5" s="1"/>
  <c r="I21" i="5"/>
  <c r="L21" i="5" s="1"/>
  <c r="C19" i="6"/>
  <c r="E19" i="6" s="1"/>
  <c r="B19" i="6"/>
  <c r="D19" i="6" s="1"/>
  <c r="F19" i="6" s="1"/>
  <c r="G19" i="6" s="1"/>
  <c r="A20" i="6"/>
  <c r="E20" i="5"/>
  <c r="O19" i="5"/>
  <c r="R19" i="5"/>
  <c r="N19" i="5"/>
  <c r="M19" i="5"/>
  <c r="Q19" i="5"/>
  <c r="P19" i="5"/>
  <c r="B23" i="5" l="1"/>
  <c r="F23" i="5"/>
  <c r="A24" i="5"/>
  <c r="C22" i="5"/>
  <c r="X22" i="5"/>
  <c r="H22" i="5"/>
  <c r="K22" i="5" s="1"/>
  <c r="G22" i="5"/>
  <c r="J22" i="5" s="1"/>
  <c r="I22" i="5"/>
  <c r="L22" i="5" s="1"/>
  <c r="B20" i="6"/>
  <c r="D20" i="6" s="1"/>
  <c r="F20" i="6" s="1"/>
  <c r="G20" i="6" s="1"/>
  <c r="C20" i="6"/>
  <c r="E20" i="6" s="1"/>
  <c r="A21" i="6"/>
  <c r="Q20" i="5"/>
  <c r="M20" i="5"/>
  <c r="P20" i="5"/>
  <c r="N20" i="5"/>
  <c r="R20" i="5"/>
  <c r="E21" i="5"/>
  <c r="O20" i="5"/>
  <c r="G23" i="5" l="1"/>
  <c r="J23" i="5" s="1"/>
  <c r="I23" i="5"/>
  <c r="L23" i="5" s="1"/>
  <c r="H23" i="5"/>
  <c r="K23" i="5" s="1"/>
  <c r="X23" i="5"/>
  <c r="C23" i="5"/>
  <c r="B24" i="5"/>
  <c r="A25" i="5"/>
  <c r="F24" i="5"/>
  <c r="C21" i="6"/>
  <c r="E21" i="6" s="1"/>
  <c r="B21" i="6"/>
  <c r="D21" i="6" s="1"/>
  <c r="F21" i="6" s="1"/>
  <c r="G21" i="6" s="1"/>
  <c r="A22" i="6"/>
  <c r="E22" i="5"/>
  <c r="O21" i="5"/>
  <c r="R21" i="5"/>
  <c r="N21" i="5"/>
  <c r="Q21" i="5"/>
  <c r="P21" i="5"/>
  <c r="M21" i="5"/>
  <c r="I24" i="5" l="1"/>
  <c r="L24" i="5" s="1"/>
  <c r="G24" i="5"/>
  <c r="J24" i="5" s="1"/>
  <c r="H24" i="5"/>
  <c r="K24" i="5" s="1"/>
  <c r="B25" i="5"/>
  <c r="A26" i="5"/>
  <c r="F25" i="5"/>
  <c r="X24" i="5"/>
  <c r="C24" i="5"/>
  <c r="C22" i="6"/>
  <c r="E22" i="6" s="1"/>
  <c r="B22" i="6"/>
  <c r="D22" i="6" s="1"/>
  <c r="F22" i="6" s="1"/>
  <c r="G22" i="6" s="1"/>
  <c r="A23" i="6"/>
  <c r="Q22" i="5"/>
  <c r="M22" i="5"/>
  <c r="P22" i="5"/>
  <c r="E23" i="5"/>
  <c r="O22" i="5"/>
  <c r="N22" i="5"/>
  <c r="R22" i="5"/>
  <c r="G25" i="5" l="1"/>
  <c r="J25" i="5" s="1"/>
  <c r="I25" i="5"/>
  <c r="L25" i="5" s="1"/>
  <c r="H25" i="5"/>
  <c r="K25" i="5" s="1"/>
  <c r="B26" i="5"/>
  <c r="A27" i="5"/>
  <c r="F26" i="5"/>
  <c r="C25" i="5"/>
  <c r="X25" i="5"/>
  <c r="B23" i="6"/>
  <c r="D23" i="6" s="1"/>
  <c r="F23" i="6" s="1"/>
  <c r="G23" i="6" s="1"/>
  <c r="C23" i="6"/>
  <c r="E23" i="6" s="1"/>
  <c r="A24" i="6"/>
  <c r="E24" i="5"/>
  <c r="O23" i="5"/>
  <c r="R23" i="5"/>
  <c r="N23" i="5"/>
  <c r="M23" i="5"/>
  <c r="Q23" i="5"/>
  <c r="P23" i="5"/>
  <c r="G26" i="5" l="1"/>
  <c r="J26" i="5" s="1"/>
  <c r="H26" i="5"/>
  <c r="K26" i="5" s="1"/>
  <c r="I26" i="5"/>
  <c r="L26" i="5" s="1"/>
  <c r="B27" i="5"/>
  <c r="F27" i="5"/>
  <c r="A28" i="5"/>
  <c r="C26" i="5"/>
  <c r="X26" i="5"/>
  <c r="B24" i="6"/>
  <c r="D24" i="6" s="1"/>
  <c r="F24" i="6" s="1"/>
  <c r="G24" i="6" s="1"/>
  <c r="C24" i="6"/>
  <c r="E24" i="6" s="1"/>
  <c r="A25" i="6"/>
  <c r="Q24" i="5"/>
  <c r="M24" i="5"/>
  <c r="P24" i="5"/>
  <c r="R24" i="5"/>
  <c r="E25" i="5"/>
  <c r="O24" i="5"/>
  <c r="N24" i="5"/>
  <c r="B28" i="5" l="1"/>
  <c r="A29" i="5"/>
  <c r="F28" i="5"/>
  <c r="G27" i="5"/>
  <c r="J27" i="5" s="1"/>
  <c r="I27" i="5"/>
  <c r="L27" i="5" s="1"/>
  <c r="H27" i="5"/>
  <c r="K27" i="5" s="1"/>
  <c r="C27" i="5"/>
  <c r="X27" i="5"/>
  <c r="B25" i="6"/>
  <c r="D25" i="6" s="1"/>
  <c r="F25" i="6" s="1"/>
  <c r="G25" i="6" s="1"/>
  <c r="C25" i="6"/>
  <c r="E25" i="6" s="1"/>
  <c r="A26" i="6"/>
  <c r="E26" i="5"/>
  <c r="O25" i="5"/>
  <c r="R25" i="5"/>
  <c r="N25" i="5"/>
  <c r="Q25" i="5"/>
  <c r="P25" i="5"/>
  <c r="M25" i="5"/>
  <c r="I28" i="5" l="1"/>
  <c r="L28" i="5" s="1"/>
  <c r="H28" i="5"/>
  <c r="K28" i="5" s="1"/>
  <c r="G28" i="5"/>
  <c r="J28" i="5" s="1"/>
  <c r="B29" i="5"/>
  <c r="A30" i="5"/>
  <c r="F29" i="5"/>
  <c r="C28" i="5"/>
  <c r="X28" i="5"/>
  <c r="C26" i="6"/>
  <c r="E26" i="6" s="1"/>
  <c r="B26" i="6"/>
  <c r="D26" i="6" s="1"/>
  <c r="F26" i="6" s="1"/>
  <c r="G26" i="6" s="1"/>
  <c r="A27" i="6"/>
  <c r="M26" i="5"/>
  <c r="P26" i="5" s="1"/>
  <c r="E27" i="5"/>
  <c r="O26" i="5"/>
  <c r="R26" i="5" s="1"/>
  <c r="N26" i="5"/>
  <c r="Q26" i="5" s="1"/>
  <c r="C29" i="5" l="1"/>
  <c r="X29" i="5"/>
  <c r="I29" i="5"/>
  <c r="L29" i="5" s="1"/>
  <c r="H29" i="5"/>
  <c r="K29" i="5" s="1"/>
  <c r="G29" i="5"/>
  <c r="J29" i="5" s="1"/>
  <c r="B30" i="5"/>
  <c r="A31" i="5"/>
  <c r="F30" i="5"/>
  <c r="C27" i="6"/>
  <c r="E27" i="6" s="1"/>
  <c r="B27" i="6"/>
  <c r="D27" i="6" s="1"/>
  <c r="F27" i="6" s="1"/>
  <c r="G27" i="6" s="1"/>
  <c r="A28" i="6"/>
  <c r="E28" i="5"/>
  <c r="O27" i="5"/>
  <c r="R27" i="5" s="1"/>
  <c r="N27" i="5"/>
  <c r="Q27" i="5" s="1"/>
  <c r="M27" i="5"/>
  <c r="P27" i="5" s="1"/>
  <c r="X30" i="5" l="1"/>
  <c r="C30" i="5"/>
  <c r="B31" i="5"/>
  <c r="F31" i="5"/>
  <c r="A32" i="5"/>
  <c r="I30" i="5"/>
  <c r="L30" i="5" s="1"/>
  <c r="G30" i="5"/>
  <c r="J30" i="5" s="1"/>
  <c r="H30" i="5"/>
  <c r="K30" i="5" s="1"/>
  <c r="B28" i="6"/>
  <c r="D28" i="6" s="1"/>
  <c r="F28" i="6" s="1"/>
  <c r="G28" i="6" s="1"/>
  <c r="C28" i="6"/>
  <c r="E28" i="6" s="1"/>
  <c r="A29" i="6"/>
  <c r="M28" i="5"/>
  <c r="P28" i="5" s="1"/>
  <c r="E29" i="5"/>
  <c r="O28" i="5"/>
  <c r="R28" i="5" s="1"/>
  <c r="N28" i="5"/>
  <c r="Q28" i="5" s="1"/>
  <c r="C31" i="5" l="1"/>
  <c r="X31" i="5"/>
  <c r="G31" i="5"/>
  <c r="J31" i="5" s="1"/>
  <c r="I31" i="5"/>
  <c r="L31" i="5" s="1"/>
  <c r="H31" i="5"/>
  <c r="K31" i="5" s="1"/>
  <c r="B32" i="5"/>
  <c r="A33" i="5"/>
  <c r="F32" i="5"/>
  <c r="C29" i="6"/>
  <c r="E29" i="6" s="1"/>
  <c r="B29" i="6"/>
  <c r="D29" i="6" s="1"/>
  <c r="F29" i="6" s="1"/>
  <c r="G29" i="6" s="1"/>
  <c r="A30" i="6"/>
  <c r="E30" i="5"/>
  <c r="O29" i="5"/>
  <c r="R29" i="5" s="1"/>
  <c r="N29" i="5"/>
  <c r="Q29" i="5" s="1"/>
  <c r="M29" i="5"/>
  <c r="P29" i="5" s="1"/>
  <c r="B33" i="5" l="1"/>
  <c r="A34" i="5"/>
  <c r="F33" i="5"/>
  <c r="X32" i="5"/>
  <c r="C32" i="5"/>
  <c r="I32" i="5"/>
  <c r="L32" i="5" s="1"/>
  <c r="H32" i="5"/>
  <c r="K32" i="5" s="1"/>
  <c r="G32" i="5"/>
  <c r="J32" i="5" s="1"/>
  <c r="C30" i="6"/>
  <c r="E30" i="6" s="1"/>
  <c r="B30" i="6"/>
  <c r="D30" i="6" s="1"/>
  <c r="F30" i="6" s="1"/>
  <c r="G30" i="6" s="1"/>
  <c r="A31" i="6"/>
  <c r="M30" i="5"/>
  <c r="P30" i="5" s="1"/>
  <c r="N30" i="5"/>
  <c r="Q30" i="5" s="1"/>
  <c r="E31" i="5"/>
  <c r="O30" i="5"/>
  <c r="R30" i="5" s="1"/>
  <c r="I33" i="5" l="1"/>
  <c r="L33" i="5" s="1"/>
  <c r="G33" i="5"/>
  <c r="J33" i="5" s="1"/>
  <c r="H33" i="5"/>
  <c r="K33" i="5" s="1"/>
  <c r="B34" i="5"/>
  <c r="F34" i="5"/>
  <c r="A35" i="5"/>
  <c r="X33" i="5"/>
  <c r="C33" i="5"/>
  <c r="B31" i="6"/>
  <c r="D31" i="6" s="1"/>
  <c r="F31" i="6" s="1"/>
  <c r="G31" i="6" s="1"/>
  <c r="C31" i="6"/>
  <c r="E31" i="6" s="1"/>
  <c r="A32" i="6"/>
  <c r="E32" i="5"/>
  <c r="O31" i="5"/>
  <c r="R31" i="5" s="1"/>
  <c r="N31" i="5"/>
  <c r="Q31" i="5" s="1"/>
  <c r="M31" i="5"/>
  <c r="P31" i="5" s="1"/>
  <c r="X34" i="5" l="1"/>
  <c r="C34" i="5"/>
  <c r="B35" i="5"/>
  <c r="A36" i="5"/>
  <c r="F35" i="5"/>
  <c r="G34" i="5"/>
  <c r="J34" i="5" s="1"/>
  <c r="H34" i="5"/>
  <c r="K34" i="5" s="1"/>
  <c r="I34" i="5"/>
  <c r="L34" i="5" s="1"/>
  <c r="B32" i="6"/>
  <c r="D32" i="6" s="1"/>
  <c r="F32" i="6" s="1"/>
  <c r="G32" i="6" s="1"/>
  <c r="C32" i="6"/>
  <c r="E32" i="6" s="1"/>
  <c r="A33" i="6"/>
  <c r="M32" i="5"/>
  <c r="P32" i="5" s="1"/>
  <c r="O32" i="5"/>
  <c r="R32" i="5" s="1"/>
  <c r="N32" i="5"/>
  <c r="Q32" i="5" s="1"/>
  <c r="E33" i="5"/>
  <c r="B36" i="5" l="1"/>
  <c r="F36" i="5"/>
  <c r="A37" i="5"/>
  <c r="H35" i="5"/>
  <c r="K35" i="5" s="1"/>
  <c r="G35" i="5"/>
  <c r="J35" i="5" s="1"/>
  <c r="I35" i="5"/>
  <c r="L35" i="5" s="1"/>
  <c r="X35" i="5"/>
  <c r="C35" i="5"/>
  <c r="B33" i="6"/>
  <c r="D33" i="6" s="1"/>
  <c r="F33" i="6" s="1"/>
  <c r="G33" i="6" s="1"/>
  <c r="C33" i="6"/>
  <c r="E33" i="6" s="1"/>
  <c r="A34" i="6"/>
  <c r="E34" i="5"/>
  <c r="O33" i="5"/>
  <c r="R33" i="5" s="1"/>
  <c r="M33" i="5"/>
  <c r="P33" i="5" s="1"/>
  <c r="N33" i="5"/>
  <c r="Q33" i="5" s="1"/>
  <c r="B37" i="5" l="1"/>
  <c r="F37" i="5"/>
  <c r="A38" i="5"/>
  <c r="H36" i="5"/>
  <c r="K36" i="5" s="1"/>
  <c r="G36" i="5"/>
  <c r="J36" i="5" s="1"/>
  <c r="I36" i="5"/>
  <c r="L36" i="5" s="1"/>
  <c r="C36" i="5"/>
  <c r="X36" i="5"/>
  <c r="C34" i="6"/>
  <c r="E34" i="6" s="1"/>
  <c r="B34" i="6"/>
  <c r="D34" i="6" s="1"/>
  <c r="F34" i="6" s="1"/>
  <c r="G34" i="6" s="1"/>
  <c r="A35" i="6"/>
  <c r="M34" i="5"/>
  <c r="P34" i="5" s="1"/>
  <c r="O34" i="5"/>
  <c r="R34" i="5" s="1"/>
  <c r="N34" i="5"/>
  <c r="Q34" i="5" s="1"/>
  <c r="E35" i="5"/>
  <c r="B38" i="5" l="1"/>
  <c r="A39" i="5"/>
  <c r="F38" i="5"/>
  <c r="X37" i="5"/>
  <c r="C37" i="5"/>
  <c r="I37" i="5"/>
  <c r="L37" i="5" s="1"/>
  <c r="G37" i="5"/>
  <c r="J37" i="5" s="1"/>
  <c r="H37" i="5"/>
  <c r="K37" i="5" s="1"/>
  <c r="C35" i="6"/>
  <c r="E35" i="6" s="1"/>
  <c r="B35" i="6"/>
  <c r="D35" i="6" s="1"/>
  <c r="F35" i="6" s="1"/>
  <c r="G35" i="6" s="1"/>
  <c r="A36" i="6"/>
  <c r="E36" i="5"/>
  <c r="O35" i="5"/>
  <c r="R35" i="5" s="1"/>
  <c r="N35" i="5"/>
  <c r="Q35" i="5" s="1"/>
  <c r="M35" i="5"/>
  <c r="P35" i="5" s="1"/>
  <c r="C38" i="5" l="1"/>
  <c r="X38" i="5"/>
  <c r="I38" i="5"/>
  <c r="L38" i="5" s="1"/>
  <c r="H38" i="5"/>
  <c r="K38" i="5" s="1"/>
  <c r="G38" i="5"/>
  <c r="J38" i="5" s="1"/>
  <c r="B39" i="5"/>
  <c r="F39" i="5"/>
  <c r="A40" i="5"/>
  <c r="B36" i="6"/>
  <c r="D36" i="6" s="1"/>
  <c r="F36" i="6" s="1"/>
  <c r="G36" i="6" s="1"/>
  <c r="C36" i="6"/>
  <c r="E36" i="6" s="1"/>
  <c r="A37" i="6"/>
  <c r="E37" i="5"/>
  <c r="M36" i="5"/>
  <c r="P36" i="5" s="1"/>
  <c r="O36" i="5"/>
  <c r="R36" i="5" s="1"/>
  <c r="N36" i="5"/>
  <c r="Q36" i="5" s="1"/>
  <c r="B40" i="5" l="1"/>
  <c r="F40" i="5"/>
  <c r="A41" i="5"/>
  <c r="C39" i="5"/>
  <c r="X39" i="5"/>
  <c r="I39" i="5"/>
  <c r="L39" i="5" s="1"/>
  <c r="G39" i="5"/>
  <c r="J39" i="5" s="1"/>
  <c r="H39" i="5"/>
  <c r="K39" i="5" s="1"/>
  <c r="C37" i="6"/>
  <c r="E37" i="6" s="1"/>
  <c r="B37" i="6"/>
  <c r="D37" i="6" s="1"/>
  <c r="F37" i="6" s="1"/>
  <c r="G37" i="6" s="1"/>
  <c r="A38" i="6"/>
  <c r="N37" i="5"/>
  <c r="Q37" i="5" s="1"/>
  <c r="M37" i="5"/>
  <c r="P37" i="5" s="1"/>
  <c r="O37" i="5"/>
  <c r="R37" i="5" s="1"/>
  <c r="E38" i="5"/>
  <c r="B41" i="5" l="1"/>
  <c r="A42" i="5"/>
  <c r="F41" i="5"/>
  <c r="C40" i="5"/>
  <c r="X40" i="5"/>
  <c r="H40" i="5"/>
  <c r="K40" i="5" s="1"/>
  <c r="G40" i="5"/>
  <c r="J40" i="5" s="1"/>
  <c r="I40" i="5"/>
  <c r="L40" i="5" s="1"/>
  <c r="C38" i="6"/>
  <c r="E38" i="6" s="1"/>
  <c r="B38" i="6"/>
  <c r="D38" i="6" s="1"/>
  <c r="F38" i="6" s="1"/>
  <c r="G38" i="6" s="1"/>
  <c r="A39" i="6"/>
  <c r="E39" i="5"/>
  <c r="O38" i="5"/>
  <c r="R38" i="5" s="1"/>
  <c r="N38" i="5"/>
  <c r="Q38" i="5" s="1"/>
  <c r="M38" i="5"/>
  <c r="P38" i="5" s="1"/>
  <c r="X41" i="5" l="1"/>
  <c r="C41" i="5"/>
  <c r="I41" i="5"/>
  <c r="L41" i="5" s="1"/>
  <c r="G41" i="5"/>
  <c r="J41" i="5" s="1"/>
  <c r="H41" i="5"/>
  <c r="K41" i="5" s="1"/>
  <c r="B42" i="5"/>
  <c r="A43" i="5"/>
  <c r="F42" i="5"/>
  <c r="B39" i="6"/>
  <c r="D39" i="6" s="1"/>
  <c r="F39" i="6" s="1"/>
  <c r="G39" i="6" s="1"/>
  <c r="C39" i="6"/>
  <c r="E39" i="6" s="1"/>
  <c r="A40" i="6"/>
  <c r="N39" i="5"/>
  <c r="Q39" i="5" s="1"/>
  <c r="M39" i="5"/>
  <c r="P39" i="5" s="1"/>
  <c r="E40" i="5"/>
  <c r="O39" i="5"/>
  <c r="R39" i="5" s="1"/>
  <c r="H42" i="5" l="1"/>
  <c r="K42" i="5" s="1"/>
  <c r="G42" i="5"/>
  <c r="J42" i="5" s="1"/>
  <c r="I42" i="5"/>
  <c r="L42" i="5" s="1"/>
  <c r="B43" i="5"/>
  <c r="A44" i="5"/>
  <c r="F43" i="5"/>
  <c r="C42" i="5"/>
  <c r="X42" i="5"/>
  <c r="B40" i="6"/>
  <c r="D40" i="6" s="1"/>
  <c r="F40" i="6" s="1"/>
  <c r="G40" i="6" s="1"/>
  <c r="C40" i="6"/>
  <c r="E40" i="6" s="1"/>
  <c r="A41" i="6"/>
  <c r="E41" i="5"/>
  <c r="O40" i="5"/>
  <c r="R40" i="5" s="1"/>
  <c r="M40" i="5"/>
  <c r="P40" i="5" s="1"/>
  <c r="N40" i="5"/>
  <c r="Q40" i="5" s="1"/>
  <c r="G43" i="5" l="1"/>
  <c r="J43" i="5" s="1"/>
  <c r="I43" i="5"/>
  <c r="L43" i="5" s="1"/>
  <c r="H43" i="5"/>
  <c r="K43" i="5" s="1"/>
  <c r="C43" i="5"/>
  <c r="X43" i="5"/>
  <c r="B44" i="5"/>
  <c r="A45" i="5"/>
  <c r="F44" i="5"/>
  <c r="B41" i="6"/>
  <c r="D41" i="6" s="1"/>
  <c r="F41" i="6" s="1"/>
  <c r="G41" i="6" s="1"/>
  <c r="C41" i="6"/>
  <c r="E41" i="6" s="1"/>
  <c r="A42" i="6"/>
  <c r="N41" i="5"/>
  <c r="Q41" i="5" s="1"/>
  <c r="M41" i="5"/>
  <c r="P41" i="5" s="1"/>
  <c r="O41" i="5"/>
  <c r="R41" i="5" s="1"/>
  <c r="E42" i="5"/>
  <c r="C44" i="5" l="1"/>
  <c r="X44" i="5"/>
  <c r="B45" i="5"/>
  <c r="F45" i="5"/>
  <c r="A46" i="5"/>
  <c r="I44" i="5"/>
  <c r="L44" i="5" s="1"/>
  <c r="H44" i="5"/>
  <c r="K44" i="5" s="1"/>
  <c r="G44" i="5"/>
  <c r="J44" i="5" s="1"/>
  <c r="C42" i="6"/>
  <c r="E42" i="6" s="1"/>
  <c r="B42" i="6"/>
  <c r="D42" i="6" s="1"/>
  <c r="F42" i="6" s="1"/>
  <c r="G42" i="6" s="1"/>
  <c r="A43" i="6"/>
  <c r="E43" i="5"/>
  <c r="O42" i="5"/>
  <c r="R42" i="5" s="1"/>
  <c r="M42" i="5"/>
  <c r="P42" i="5" s="1"/>
  <c r="N42" i="5"/>
  <c r="Q42" i="5" s="1"/>
  <c r="B46" i="5" l="1"/>
  <c r="A47" i="5"/>
  <c r="F46" i="5"/>
  <c r="I45" i="5"/>
  <c r="L45" i="5" s="1"/>
  <c r="G45" i="5"/>
  <c r="J45" i="5" s="1"/>
  <c r="H45" i="5"/>
  <c r="K45" i="5" s="1"/>
  <c r="X45" i="5"/>
  <c r="C45" i="5"/>
  <c r="C43" i="6"/>
  <c r="E43" i="6" s="1"/>
  <c r="B43" i="6"/>
  <c r="D43" i="6" s="1"/>
  <c r="F43" i="6" s="1"/>
  <c r="G43" i="6" s="1"/>
  <c r="A44" i="6"/>
  <c r="N43" i="5"/>
  <c r="Q43" i="5" s="1"/>
  <c r="M43" i="5"/>
  <c r="P43" i="5" s="1"/>
  <c r="E44" i="5"/>
  <c r="O43" i="5"/>
  <c r="R43" i="5" s="1"/>
  <c r="I46" i="5" l="1"/>
  <c r="L46" i="5" s="1"/>
  <c r="H46" i="5"/>
  <c r="K46" i="5" s="1"/>
  <c r="G46" i="5"/>
  <c r="J46" i="5" s="1"/>
  <c r="B47" i="5"/>
  <c r="F47" i="5"/>
  <c r="A48" i="5"/>
  <c r="C46" i="5"/>
  <c r="X46" i="5"/>
  <c r="B44" i="6"/>
  <c r="D44" i="6" s="1"/>
  <c r="F44" i="6" s="1"/>
  <c r="G44" i="6" s="1"/>
  <c r="C44" i="6"/>
  <c r="E44" i="6" s="1"/>
  <c r="A45" i="6"/>
  <c r="E45" i="5"/>
  <c r="O44" i="5"/>
  <c r="R44" i="5" s="1"/>
  <c r="M44" i="5"/>
  <c r="P44" i="5" s="1"/>
  <c r="N44" i="5"/>
  <c r="Q44" i="5" s="1"/>
  <c r="I47" i="5" l="1"/>
  <c r="L47" i="5" s="1"/>
  <c r="G47" i="5"/>
  <c r="J47" i="5" s="1"/>
  <c r="H47" i="5"/>
  <c r="K47" i="5" s="1"/>
  <c r="C47" i="5"/>
  <c r="X47" i="5"/>
  <c r="B48" i="5"/>
  <c r="A49" i="5"/>
  <c r="F48" i="5"/>
  <c r="C45" i="6"/>
  <c r="E45" i="6" s="1"/>
  <c r="B45" i="6"/>
  <c r="D45" i="6" s="1"/>
  <c r="F45" i="6" s="1"/>
  <c r="G45" i="6" s="1"/>
  <c r="A46" i="6"/>
  <c r="R45" i="5"/>
  <c r="N45" i="5"/>
  <c r="Q45" i="5"/>
  <c r="M45" i="5"/>
  <c r="E46" i="5"/>
  <c r="P45" i="5"/>
  <c r="O45" i="5"/>
  <c r="C48" i="5" l="1"/>
  <c r="X48" i="5"/>
  <c r="I48" i="5"/>
  <c r="L48" i="5" s="1"/>
  <c r="H48" i="5"/>
  <c r="K48" i="5" s="1"/>
  <c r="G48" i="5"/>
  <c r="J48" i="5" s="1"/>
  <c r="B49" i="5"/>
  <c r="F49" i="5"/>
  <c r="A50" i="5"/>
  <c r="C46" i="6"/>
  <c r="E46" i="6" s="1"/>
  <c r="B46" i="6"/>
  <c r="D46" i="6" s="1"/>
  <c r="F46" i="6" s="1"/>
  <c r="G46" i="6" s="1"/>
  <c r="A47" i="6"/>
  <c r="P46" i="5"/>
  <c r="E47" i="5"/>
  <c r="O46" i="5"/>
  <c r="Q46" i="5"/>
  <c r="N46" i="5"/>
  <c r="M46" i="5"/>
  <c r="R46" i="5"/>
  <c r="H49" i="5" l="1"/>
  <c r="K49" i="5" s="1"/>
  <c r="G49" i="5"/>
  <c r="J49" i="5" s="1"/>
  <c r="I49" i="5"/>
  <c r="L49" i="5" s="1"/>
  <c r="X49" i="5"/>
  <c r="C49" i="5"/>
  <c r="B50" i="5"/>
  <c r="A51" i="5"/>
  <c r="F50" i="5"/>
  <c r="B47" i="6"/>
  <c r="D47" i="6" s="1"/>
  <c r="F47" i="6" s="1"/>
  <c r="G47" i="6" s="1"/>
  <c r="C47" i="6"/>
  <c r="E47" i="6" s="1"/>
  <c r="A48" i="6"/>
  <c r="R47" i="5"/>
  <c r="N47" i="5"/>
  <c r="Q47" i="5"/>
  <c r="M47" i="5"/>
  <c r="E48" i="5"/>
  <c r="O47" i="5"/>
  <c r="P47" i="5"/>
  <c r="I50" i="5" l="1"/>
  <c r="L50" i="5" s="1"/>
  <c r="G50" i="5"/>
  <c r="J50" i="5" s="1"/>
  <c r="H50" i="5"/>
  <c r="K50" i="5" s="1"/>
  <c r="B51" i="5"/>
  <c r="F51" i="5"/>
  <c r="A52" i="5"/>
  <c r="C50" i="5"/>
  <c r="X50" i="5"/>
  <c r="B48" i="6"/>
  <c r="D48" i="6" s="1"/>
  <c r="F48" i="6" s="1"/>
  <c r="G48" i="6" s="1"/>
  <c r="C48" i="6"/>
  <c r="E48" i="6" s="1"/>
  <c r="A49" i="6"/>
  <c r="P48" i="5"/>
  <c r="E49" i="5"/>
  <c r="O48" i="5"/>
  <c r="M48" i="5"/>
  <c r="R48" i="5"/>
  <c r="Q48" i="5"/>
  <c r="N48" i="5"/>
  <c r="B52" i="5" l="1"/>
  <c r="F52" i="5"/>
  <c r="A53" i="5"/>
  <c r="I51" i="5"/>
  <c r="L51" i="5" s="1"/>
  <c r="G51" i="5"/>
  <c r="J51" i="5" s="1"/>
  <c r="H51" i="5"/>
  <c r="K51" i="5" s="1"/>
  <c r="X51" i="5"/>
  <c r="C51" i="5"/>
  <c r="B49" i="6"/>
  <c r="D49" i="6" s="1"/>
  <c r="F49" i="6" s="1"/>
  <c r="G49" i="6" s="1"/>
  <c r="C49" i="6"/>
  <c r="E49" i="6" s="1"/>
  <c r="A50" i="6"/>
  <c r="R49" i="5"/>
  <c r="N49" i="5"/>
  <c r="Q49" i="5"/>
  <c r="M49" i="5"/>
  <c r="O49" i="5"/>
  <c r="E50" i="5"/>
  <c r="P49" i="5"/>
  <c r="B53" i="5" l="1"/>
  <c r="F53" i="5"/>
  <c r="A54" i="5"/>
  <c r="G52" i="5"/>
  <c r="J52" i="5" s="1"/>
  <c r="I52" i="5"/>
  <c r="L52" i="5" s="1"/>
  <c r="H52" i="5"/>
  <c r="K52" i="5" s="1"/>
  <c r="C52" i="5"/>
  <c r="X52" i="5"/>
  <c r="C50" i="6"/>
  <c r="E50" i="6" s="1"/>
  <c r="B50" i="6"/>
  <c r="D50" i="6" s="1"/>
  <c r="F50" i="6" s="1"/>
  <c r="G50" i="6" s="1"/>
  <c r="A51" i="6"/>
  <c r="P50" i="5"/>
  <c r="E51" i="5"/>
  <c r="O50" i="5"/>
  <c r="Q50" i="5"/>
  <c r="R50" i="5"/>
  <c r="N50" i="5"/>
  <c r="M50" i="5"/>
  <c r="H53" i="5" l="1"/>
  <c r="K53" i="5" s="1"/>
  <c r="I53" i="5"/>
  <c r="L53" i="5" s="1"/>
  <c r="G53" i="5"/>
  <c r="J53" i="5" s="1"/>
  <c r="X53" i="5"/>
  <c r="C53" i="5"/>
  <c r="B54" i="5"/>
  <c r="F54" i="5"/>
  <c r="C51" i="6"/>
  <c r="E51" i="6" s="1"/>
  <c r="B51" i="6"/>
  <c r="D51" i="6" s="1"/>
  <c r="F51" i="6" s="1"/>
  <c r="G51" i="6" s="1"/>
  <c r="A52" i="6"/>
  <c r="R51" i="5"/>
  <c r="N51" i="5"/>
  <c r="Q51" i="5"/>
  <c r="M51" i="5"/>
  <c r="E52" i="5"/>
  <c r="O51" i="5"/>
  <c r="P51" i="5"/>
  <c r="G54" i="5" l="1"/>
  <c r="H54" i="5"/>
  <c r="I54" i="5"/>
  <c r="X54" i="5"/>
  <c r="C55" i="5"/>
  <c r="C56" i="5" s="1"/>
  <c r="C54" i="5"/>
  <c r="B52" i="6"/>
  <c r="D52" i="6" s="1"/>
  <c r="F52" i="6" s="1"/>
  <c r="G52" i="6" s="1"/>
  <c r="C52" i="6"/>
  <c r="E52" i="6" s="1"/>
  <c r="A53" i="6"/>
  <c r="P52" i="5"/>
  <c r="E53" i="5"/>
  <c r="O52" i="5"/>
  <c r="M52" i="5"/>
  <c r="N52" i="5"/>
  <c r="R52" i="5"/>
  <c r="Q52" i="5"/>
  <c r="K54" i="5" l="1"/>
  <c r="K55" i="5"/>
  <c r="L55" i="5"/>
  <c r="L54" i="5"/>
  <c r="J54" i="5"/>
  <c r="J55" i="5"/>
  <c r="C53" i="6"/>
  <c r="E53" i="6" s="1"/>
  <c r="B53" i="6"/>
  <c r="D53" i="6" s="1"/>
  <c r="F53" i="6" s="1"/>
  <c r="G53" i="6" s="1"/>
  <c r="A54" i="6"/>
  <c r="R53" i="5"/>
  <c r="N53" i="5"/>
  <c r="Q53" i="5"/>
  <c r="M53" i="5"/>
  <c r="P53" i="5"/>
  <c r="O53" i="5"/>
  <c r="E54" i="5"/>
  <c r="C54" i="6" l="1"/>
  <c r="E54" i="6" s="1"/>
  <c r="B54" i="6"/>
  <c r="D54" i="6" s="1"/>
  <c r="F54" i="6" s="1"/>
  <c r="G54" i="6" s="1"/>
  <c r="A55" i="6"/>
  <c r="P54" i="5"/>
  <c r="O54" i="5"/>
  <c r="E55" i="5"/>
  <c r="Q54" i="5"/>
  <c r="R54" i="5"/>
  <c r="N54" i="5"/>
  <c r="M54" i="5"/>
  <c r="B55" i="6" l="1"/>
  <c r="D55" i="6" s="1"/>
  <c r="C55" i="6"/>
  <c r="E55" i="6" s="1"/>
  <c r="E56" i="6" s="1"/>
  <c r="O55" i="5"/>
  <c r="R55" i="5"/>
  <c r="R56" i="5" s="1"/>
  <c r="N55" i="5"/>
  <c r="Q55" i="5"/>
  <c r="Q56" i="5" s="1"/>
  <c r="P55" i="5"/>
  <c r="P56" i="5" s="1"/>
  <c r="M55" i="5"/>
  <c r="F55" i="6" l="1"/>
  <c r="G55" i="6" s="1"/>
  <c r="D56" i="6"/>
  <c r="F56" i="6" s="1"/>
</calcChain>
</file>

<file path=xl/sharedStrings.xml><?xml version="1.0" encoding="utf-8"?>
<sst xmlns="http://schemas.openxmlformats.org/spreadsheetml/2006/main" count="14835" uniqueCount="11107">
  <si>
    <t>058036</t>
  </si>
  <si>
    <t>110226</t>
  </si>
  <si>
    <t>068046</t>
  </si>
  <si>
    <t>百元现值</t>
    <phoneticPr fontId="4" type="noConversion"/>
  </si>
  <si>
    <t>参考日</t>
    <phoneticPr fontId="4" type="noConversion"/>
  </si>
  <si>
    <t>年度/综合溢价水平</t>
  </si>
  <si>
    <t>无溢价 - 适用资产端</t>
  </si>
  <si>
    <t>利率上升</t>
    <phoneticPr fontId="2" type="noConversion"/>
  </si>
  <si>
    <t>现实情景</t>
    <phoneticPr fontId="2" type="noConversion"/>
  </si>
  <si>
    <t>债券代码</t>
    <phoneticPr fontId="4" type="noConversion"/>
  </si>
  <si>
    <t>名称</t>
    <phoneticPr fontId="4" type="noConversion"/>
  </si>
  <si>
    <t>利率类型</t>
    <phoneticPr fontId="4" type="noConversion"/>
  </si>
  <si>
    <t>票面利率</t>
    <phoneticPr fontId="4" type="noConversion"/>
  </si>
  <si>
    <t>付息频率</t>
    <phoneticPr fontId="4" type="noConversion"/>
  </si>
  <si>
    <t>起息日</t>
    <phoneticPr fontId="4" type="noConversion"/>
  </si>
  <si>
    <t>到期日</t>
    <phoneticPr fontId="4" type="noConversion"/>
  </si>
  <si>
    <r>
      <t>2.</t>
    </r>
    <r>
      <rPr>
        <b/>
        <sz val="12"/>
        <color theme="9" tint="-0.249977111117893"/>
        <rFont val="宋体"/>
        <family val="3"/>
        <charset val="134"/>
        <scheme val="minor"/>
      </rPr>
      <t>橙色</t>
    </r>
    <r>
      <rPr>
        <sz val="11"/>
        <color theme="1"/>
        <rFont val="宋体"/>
        <family val="2"/>
        <charset val="134"/>
        <scheme val="minor"/>
      </rPr>
      <t>单元格可用财汇、同花顺等行情软件提取</t>
    </r>
    <phoneticPr fontId="4" type="noConversion"/>
  </si>
  <si>
    <t>参考日百元现值</t>
    <phoneticPr fontId="4" type="noConversion"/>
  </si>
  <si>
    <r>
      <t>1.</t>
    </r>
    <r>
      <rPr>
        <b/>
        <sz val="12"/>
        <color theme="3" tint="0.39997558519241921"/>
        <rFont val="宋体"/>
        <family val="3"/>
        <charset val="134"/>
        <scheme val="minor"/>
      </rPr>
      <t>蓝色</t>
    </r>
    <r>
      <rPr>
        <sz val="11"/>
        <color theme="1"/>
        <rFont val="宋体"/>
        <family val="2"/>
        <charset val="134"/>
        <scheme val="minor"/>
      </rPr>
      <t>单元格为手动输入项（包括债券代码、参考日百元现值、假定利率）</t>
    </r>
    <phoneticPr fontId="4" type="noConversion"/>
  </si>
  <si>
    <t>3.数据完备后点击“运行”按钮</t>
    <phoneticPr fontId="4" type="noConversion"/>
  </si>
  <si>
    <t>1.无法计算现金流超过30期的债券，如半年付息债期限不能超过15年</t>
    <phoneticPr fontId="4" type="noConversion"/>
  </si>
  <si>
    <t>2.无法计算付息频率2次以上的债券（不包括2次）</t>
    <phoneticPr fontId="4" type="noConversion"/>
  </si>
  <si>
    <t>3.对浮息债、累进利率债的计算有问题</t>
    <phoneticPr fontId="4" type="noConversion"/>
  </si>
  <si>
    <t>固定利率</t>
  </si>
  <si>
    <t>05武城投债</t>
  </si>
  <si>
    <t>2005-12-26</t>
  </si>
  <si>
    <t>2020-12-26</t>
  </si>
  <si>
    <t>06铁道05</t>
  </si>
  <si>
    <t>2006-11-15</t>
  </si>
  <si>
    <t>2026-11-15</t>
  </si>
  <si>
    <t>11国开26</t>
  </si>
  <si>
    <t>2011-04-19</t>
  </si>
  <si>
    <t>2021-04-19</t>
  </si>
  <si>
    <t>11工行02</t>
  </si>
  <si>
    <t>2011-12-30</t>
  </si>
  <si>
    <t>2026-12-30</t>
  </si>
  <si>
    <t>03中铁债</t>
  </si>
  <si>
    <t>2003-08-25</t>
  </si>
  <si>
    <t>2021-08-25</t>
  </si>
  <si>
    <t>11上行次级债01</t>
  </si>
  <si>
    <t>2011-05-24</t>
  </si>
  <si>
    <t>2021-05-24</t>
  </si>
  <si>
    <t>02三峡债</t>
  </si>
  <si>
    <t>2004-09-17</t>
  </si>
  <si>
    <t>2019-09-17</t>
  </si>
  <si>
    <t>12浦发次级债</t>
  </si>
  <si>
    <t>2012-12-28</t>
  </si>
  <si>
    <t>2027-12-28</t>
  </si>
  <si>
    <t>12广发次级债</t>
  </si>
  <si>
    <t>12上行次级债</t>
  </si>
  <si>
    <t>16洪轨可续期债01</t>
  </si>
  <si>
    <t>2016-06-29</t>
  </si>
  <si>
    <t>2019-06-29</t>
  </si>
  <si>
    <t>下载数据</t>
  </si>
  <si>
    <t>转换为数值型</t>
  </si>
  <si>
    <t>序号</t>
  </si>
  <si>
    <t>曲线名称(即期)</t>
  </si>
  <si>
    <t>标准期限(年)</t>
  </si>
  <si>
    <t>平均值(%)</t>
  </si>
  <si>
    <t>1</t>
  </si>
  <si>
    <t>0.0</t>
  </si>
  <si>
    <t>2</t>
  </si>
  <si>
    <t>0.01369863</t>
  </si>
  <si>
    <t>3</t>
  </si>
  <si>
    <t>0.02739726</t>
  </si>
  <si>
    <t>4</t>
  </si>
  <si>
    <t>0.04109589</t>
  </si>
  <si>
    <t>5</t>
  </si>
  <si>
    <t>0.05479452</t>
  </si>
  <si>
    <t>6</t>
  </si>
  <si>
    <t>0.06849315</t>
  </si>
  <si>
    <t>7</t>
  </si>
  <si>
    <t>0.08219178</t>
  </si>
  <si>
    <t>8</t>
  </si>
  <si>
    <t>0.09589041</t>
  </si>
  <si>
    <t>9</t>
  </si>
  <si>
    <t>0.10958904</t>
  </si>
  <si>
    <t>10</t>
  </si>
  <si>
    <t>0.12328767</t>
  </si>
  <si>
    <t>11</t>
  </si>
  <si>
    <t>0.1369863</t>
  </si>
  <si>
    <t>12</t>
  </si>
  <si>
    <t>0.15068493</t>
  </si>
  <si>
    <t>13</t>
  </si>
  <si>
    <t>0.166667</t>
  </si>
  <si>
    <t>14</t>
  </si>
  <si>
    <t>0.17808219</t>
  </si>
  <si>
    <t>15</t>
  </si>
  <si>
    <t>0.19178082</t>
  </si>
  <si>
    <t>16</t>
  </si>
  <si>
    <t>0.20547945</t>
  </si>
  <si>
    <t>17</t>
  </si>
  <si>
    <t>0.21917808</t>
  </si>
  <si>
    <t>18</t>
  </si>
  <si>
    <t>0.23287671</t>
  </si>
  <si>
    <t>19</t>
  </si>
  <si>
    <t>0.25</t>
  </si>
  <si>
    <t>20</t>
  </si>
  <si>
    <t>0.26027397</t>
  </si>
  <si>
    <t>21</t>
  </si>
  <si>
    <t>0.2739726</t>
  </si>
  <si>
    <t>22</t>
  </si>
  <si>
    <t>0.28767123</t>
  </si>
  <si>
    <t>23</t>
  </si>
  <si>
    <t>0.30136986</t>
  </si>
  <si>
    <t>24</t>
  </si>
  <si>
    <t>0.31506849</t>
  </si>
  <si>
    <t>25</t>
  </si>
  <si>
    <t>0.32876712</t>
  </si>
  <si>
    <t>26</t>
  </si>
  <si>
    <t>0.34246575</t>
  </si>
  <si>
    <t>27</t>
  </si>
  <si>
    <t>0.35616438</t>
  </si>
  <si>
    <t>28</t>
  </si>
  <si>
    <t>0.36986301</t>
  </si>
  <si>
    <t>29</t>
  </si>
  <si>
    <t>0.38356164</t>
  </si>
  <si>
    <t>30</t>
  </si>
  <si>
    <t>0.39726027</t>
  </si>
  <si>
    <t>31</t>
  </si>
  <si>
    <t>0.4109589</t>
  </si>
  <si>
    <t>32</t>
  </si>
  <si>
    <t>0.42465753</t>
  </si>
  <si>
    <t>33</t>
  </si>
  <si>
    <t>0.43835616</t>
  </si>
  <si>
    <t>34</t>
  </si>
  <si>
    <t>0.45205479</t>
  </si>
  <si>
    <t>35</t>
  </si>
  <si>
    <t>0.46575342</t>
  </si>
  <si>
    <t>36</t>
  </si>
  <si>
    <t>0.47945205</t>
  </si>
  <si>
    <t>37</t>
  </si>
  <si>
    <t>0.5</t>
  </si>
  <si>
    <t>38</t>
  </si>
  <si>
    <t>0.50684932</t>
  </si>
  <si>
    <t>39</t>
  </si>
  <si>
    <t>0.52054795</t>
  </si>
  <si>
    <t>40</t>
  </si>
  <si>
    <t>0.53424658</t>
  </si>
  <si>
    <t>41</t>
  </si>
  <si>
    <t>0.54794521</t>
  </si>
  <si>
    <t>42</t>
  </si>
  <si>
    <t>0.56164384</t>
  </si>
  <si>
    <t>43</t>
  </si>
  <si>
    <t>0.57534247</t>
  </si>
  <si>
    <t>44</t>
  </si>
  <si>
    <t>0.5890411</t>
  </si>
  <si>
    <t>45</t>
  </si>
  <si>
    <t>0.60273973</t>
  </si>
  <si>
    <t>46</t>
  </si>
  <si>
    <t>0.61643836</t>
  </si>
  <si>
    <t>47</t>
  </si>
  <si>
    <t>0.63013699</t>
  </si>
  <si>
    <t>48</t>
  </si>
  <si>
    <t>0.64383562</t>
  </si>
  <si>
    <t>49</t>
  </si>
  <si>
    <t>0.65753425</t>
  </si>
  <si>
    <t>50</t>
  </si>
  <si>
    <t>0.67123288</t>
  </si>
  <si>
    <t>51</t>
  </si>
  <si>
    <t>0.68493151</t>
  </si>
  <si>
    <t>52</t>
  </si>
  <si>
    <t>0.69863014</t>
  </si>
  <si>
    <t>53</t>
  </si>
  <si>
    <t>0.71232877</t>
  </si>
  <si>
    <t>54</t>
  </si>
  <si>
    <t>0.7260274</t>
  </si>
  <si>
    <t>55</t>
  </si>
  <si>
    <t>0.75</t>
  </si>
  <si>
    <t>56</t>
  </si>
  <si>
    <t>0.75342466</t>
  </si>
  <si>
    <t>57</t>
  </si>
  <si>
    <t>0.76712329</t>
  </si>
  <si>
    <t>58</t>
  </si>
  <si>
    <t>0.78082192</t>
  </si>
  <si>
    <t>59</t>
  </si>
  <si>
    <t>0.79452055</t>
  </si>
  <si>
    <t>60</t>
  </si>
  <si>
    <t>0.80821918</t>
  </si>
  <si>
    <t>61</t>
  </si>
  <si>
    <t>0.82191781</t>
  </si>
  <si>
    <t>62</t>
  </si>
  <si>
    <t>0.83561644</t>
  </si>
  <si>
    <t>63</t>
  </si>
  <si>
    <t>0.84931507</t>
  </si>
  <si>
    <t>64</t>
  </si>
  <si>
    <t>0.8630137</t>
  </si>
  <si>
    <t>65</t>
  </si>
  <si>
    <t>0.87671233</t>
  </si>
  <si>
    <t>66</t>
  </si>
  <si>
    <t>0.89041096</t>
  </si>
  <si>
    <t>67</t>
  </si>
  <si>
    <t>0.90410959</t>
  </si>
  <si>
    <t>68</t>
  </si>
  <si>
    <t>0.91780822</t>
  </si>
  <si>
    <t>69</t>
  </si>
  <si>
    <t>0.93150685</t>
  </si>
  <si>
    <t>70</t>
  </si>
  <si>
    <t>0.94520548</t>
  </si>
  <si>
    <t>71</t>
  </si>
  <si>
    <t>0.95890411</t>
  </si>
  <si>
    <t>72</t>
  </si>
  <si>
    <t>0.97260274</t>
  </si>
  <si>
    <t>73</t>
  </si>
  <si>
    <t>0.98630137</t>
  </si>
  <si>
    <t>74</t>
  </si>
  <si>
    <t>1.0</t>
  </si>
  <si>
    <t>75</t>
  </si>
  <si>
    <t>1.01369863</t>
  </si>
  <si>
    <t>76</t>
  </si>
  <si>
    <t>1.02739726</t>
  </si>
  <si>
    <t>77</t>
  </si>
  <si>
    <t>1.04109589</t>
  </si>
  <si>
    <t>78</t>
  </si>
  <si>
    <t>1.05479452</t>
  </si>
  <si>
    <t>79</t>
  </si>
  <si>
    <t>1.06849315</t>
  </si>
  <si>
    <t>80</t>
  </si>
  <si>
    <t>1.08219178</t>
  </si>
  <si>
    <t>81</t>
  </si>
  <si>
    <t>1.09589041</t>
  </si>
  <si>
    <t>82</t>
  </si>
  <si>
    <t>1.10958904</t>
  </si>
  <si>
    <t>83</t>
  </si>
  <si>
    <t>1.12328767</t>
  </si>
  <si>
    <t>84</t>
  </si>
  <si>
    <t>1.1369863</t>
  </si>
  <si>
    <t>85</t>
  </si>
  <si>
    <t>1.15068493</t>
  </si>
  <si>
    <t>86</t>
  </si>
  <si>
    <t>1.16438356</t>
  </si>
  <si>
    <t>87</t>
  </si>
  <si>
    <t>1.17808219</t>
  </si>
  <si>
    <t>88</t>
  </si>
  <si>
    <t>1.19178082</t>
  </si>
  <si>
    <t>89</t>
  </si>
  <si>
    <t>1.20547945</t>
  </si>
  <si>
    <t>90</t>
  </si>
  <si>
    <t>1.21917808</t>
  </si>
  <si>
    <t>91</t>
  </si>
  <si>
    <t>1.23287671</t>
  </si>
  <si>
    <t>92</t>
  </si>
  <si>
    <t>1.24657534</t>
  </si>
  <si>
    <t>93</t>
  </si>
  <si>
    <t>1.26027397</t>
  </si>
  <si>
    <t>94</t>
  </si>
  <si>
    <t>1.2739726</t>
  </si>
  <si>
    <t>95</t>
  </si>
  <si>
    <t>1.28767123</t>
  </si>
  <si>
    <t>96</t>
  </si>
  <si>
    <t>1.30136986</t>
  </si>
  <si>
    <t>97</t>
  </si>
  <si>
    <t>1.31506849</t>
  </si>
  <si>
    <t>98</t>
  </si>
  <si>
    <t>1.32876712</t>
  </si>
  <si>
    <t>99</t>
  </si>
  <si>
    <t>1.34246575</t>
  </si>
  <si>
    <t>100</t>
  </si>
  <si>
    <t>1.35616438</t>
  </si>
  <si>
    <t>101</t>
  </si>
  <si>
    <t>1.36986301</t>
  </si>
  <si>
    <t>102</t>
  </si>
  <si>
    <t>1.38356164</t>
  </si>
  <si>
    <t>103</t>
  </si>
  <si>
    <t>1.39726027</t>
  </si>
  <si>
    <t>104</t>
  </si>
  <si>
    <t>1.4109589</t>
  </si>
  <si>
    <t>105</t>
  </si>
  <si>
    <t>1.42465753</t>
  </si>
  <si>
    <t>106</t>
  </si>
  <si>
    <t>1.43835616</t>
  </si>
  <si>
    <t>107</t>
  </si>
  <si>
    <t>1.45205479</t>
  </si>
  <si>
    <t>108</t>
  </si>
  <si>
    <t>1.46575342</t>
  </si>
  <si>
    <t>109</t>
  </si>
  <si>
    <t>1.47945205</t>
  </si>
  <si>
    <t>110</t>
  </si>
  <si>
    <t>1.49315068</t>
  </si>
  <si>
    <t>111</t>
  </si>
  <si>
    <t>1.50684932</t>
  </si>
  <si>
    <t>112</t>
  </si>
  <si>
    <t>1.52054795</t>
  </si>
  <si>
    <t>113</t>
  </si>
  <si>
    <t>1.53424658</t>
  </si>
  <si>
    <t>114</t>
  </si>
  <si>
    <t>1.54794521</t>
  </si>
  <si>
    <t>115</t>
  </si>
  <si>
    <t>1.56164384</t>
  </si>
  <si>
    <t>116</t>
  </si>
  <si>
    <t>1.57534247</t>
  </si>
  <si>
    <t>117</t>
  </si>
  <si>
    <t>1.5890411</t>
  </si>
  <si>
    <t>118</t>
  </si>
  <si>
    <t>1.60273973</t>
  </si>
  <si>
    <t>119</t>
  </si>
  <si>
    <t>1.61643836</t>
  </si>
  <si>
    <t>120</t>
  </si>
  <si>
    <t>1.63013699</t>
  </si>
  <si>
    <t>121</t>
  </si>
  <si>
    <t>1.64383562</t>
  </si>
  <si>
    <t>122</t>
  </si>
  <si>
    <t>1.65753425</t>
  </si>
  <si>
    <t>123</t>
  </si>
  <si>
    <t>1.67123288</t>
  </si>
  <si>
    <t>124</t>
  </si>
  <si>
    <t>1.68493151</t>
  </si>
  <si>
    <t>125</t>
  </si>
  <si>
    <t>1.69863014</t>
  </si>
  <si>
    <t>126</t>
  </si>
  <si>
    <t>1.71232877</t>
  </si>
  <si>
    <t>127</t>
  </si>
  <si>
    <t>1.7260274</t>
  </si>
  <si>
    <t>128</t>
  </si>
  <si>
    <t>1.73972603</t>
  </si>
  <si>
    <t>129</t>
  </si>
  <si>
    <t>1.75342466</t>
  </si>
  <si>
    <t>130</t>
  </si>
  <si>
    <t>1.76712329</t>
  </si>
  <si>
    <t>131</t>
  </si>
  <si>
    <t>1.78082192</t>
  </si>
  <si>
    <t>132</t>
  </si>
  <si>
    <t>1.79452055</t>
  </si>
  <si>
    <t>133</t>
  </si>
  <si>
    <t>1.80821918</t>
  </si>
  <si>
    <t>134</t>
  </si>
  <si>
    <t>1.82191781</t>
  </si>
  <si>
    <t>135</t>
  </si>
  <si>
    <t>1.83561644</t>
  </si>
  <si>
    <t>136</t>
  </si>
  <si>
    <t>1.84931507</t>
  </si>
  <si>
    <t>137</t>
  </si>
  <si>
    <t>1.8630137</t>
  </si>
  <si>
    <t>138</t>
  </si>
  <si>
    <t>1.87671233</t>
  </si>
  <si>
    <t>139</t>
  </si>
  <si>
    <t>1.89041096</t>
  </si>
  <si>
    <t>140</t>
  </si>
  <si>
    <t>1.90410959</t>
  </si>
  <si>
    <t>141</t>
  </si>
  <si>
    <t>1.91780822</t>
  </si>
  <si>
    <t>142</t>
  </si>
  <si>
    <t>1.93150685</t>
  </si>
  <si>
    <t>143</t>
  </si>
  <si>
    <t>1.94520548</t>
  </si>
  <si>
    <t>144</t>
  </si>
  <si>
    <t>1.95890411</t>
  </si>
  <si>
    <t>145</t>
  </si>
  <si>
    <t>1.97260274</t>
  </si>
  <si>
    <t>146</t>
  </si>
  <si>
    <t>1.98630137</t>
  </si>
  <si>
    <t>147</t>
  </si>
  <si>
    <t>2.0</t>
  </si>
  <si>
    <t>148</t>
  </si>
  <si>
    <t>2.01369863</t>
  </si>
  <si>
    <t>149</t>
  </si>
  <si>
    <t>2.02739726</t>
  </si>
  <si>
    <t>150</t>
  </si>
  <si>
    <t>2.04109589</t>
  </si>
  <si>
    <t>151</t>
  </si>
  <si>
    <t>2.05479452</t>
  </si>
  <si>
    <t>152</t>
  </si>
  <si>
    <t>2.06849315</t>
  </si>
  <si>
    <t>153</t>
  </si>
  <si>
    <t>2.08219178</t>
  </si>
  <si>
    <t>154</t>
  </si>
  <si>
    <t>2.09589041</t>
  </si>
  <si>
    <t>155</t>
  </si>
  <si>
    <t>2.10958904</t>
  </si>
  <si>
    <t>156</t>
  </si>
  <si>
    <t>2.12328767</t>
  </si>
  <si>
    <t>157</t>
  </si>
  <si>
    <t>2.1369863</t>
  </si>
  <si>
    <t>158</t>
  </si>
  <si>
    <t>2.15068493</t>
  </si>
  <si>
    <t>159</t>
  </si>
  <si>
    <t>2.16438356</t>
  </si>
  <si>
    <t>160</t>
  </si>
  <si>
    <t>2.17808219</t>
  </si>
  <si>
    <t>161</t>
  </si>
  <si>
    <t>2.19178082</t>
  </si>
  <si>
    <t>162</t>
  </si>
  <si>
    <t>2.20547945</t>
  </si>
  <si>
    <t>163</t>
  </si>
  <si>
    <t>2.21917808</t>
  </si>
  <si>
    <t>164</t>
  </si>
  <si>
    <t>2.23287671</t>
  </si>
  <si>
    <t>165</t>
  </si>
  <si>
    <t>2.24657534</t>
  </si>
  <si>
    <t>166</t>
  </si>
  <si>
    <t>2.26027397</t>
  </si>
  <si>
    <t>167</t>
  </si>
  <si>
    <t>2.2739726</t>
  </si>
  <si>
    <t>168</t>
  </si>
  <si>
    <t>2.28767123</t>
  </si>
  <si>
    <t>169</t>
  </si>
  <si>
    <t>2.30136986</t>
  </si>
  <si>
    <t>170</t>
  </si>
  <si>
    <t>2.31506849</t>
  </si>
  <si>
    <t>171</t>
  </si>
  <si>
    <t>2.32876712</t>
  </si>
  <si>
    <t>172</t>
  </si>
  <si>
    <t>2.34246575</t>
  </si>
  <si>
    <t>173</t>
  </si>
  <si>
    <t>2.35616438</t>
  </si>
  <si>
    <t>174</t>
  </si>
  <si>
    <t>2.36986301</t>
  </si>
  <si>
    <t>175</t>
  </si>
  <si>
    <t>2.38356164</t>
  </si>
  <si>
    <t>176</t>
  </si>
  <si>
    <t>2.39726027</t>
  </si>
  <si>
    <t>177</t>
  </si>
  <si>
    <t>2.4109589</t>
  </si>
  <si>
    <t>178</t>
  </si>
  <si>
    <t>2.42465753</t>
  </si>
  <si>
    <t>179</t>
  </si>
  <si>
    <t>2.43835616</t>
  </si>
  <si>
    <t>180</t>
  </si>
  <si>
    <t>2.45205479</t>
  </si>
  <si>
    <t>181</t>
  </si>
  <si>
    <t>2.46575342</t>
  </si>
  <si>
    <t>182</t>
  </si>
  <si>
    <t>2.47945205</t>
  </si>
  <si>
    <t>183</t>
  </si>
  <si>
    <t>2.49315068</t>
  </si>
  <si>
    <t>184</t>
  </si>
  <si>
    <t>2.50684932</t>
  </si>
  <si>
    <t>185</t>
  </si>
  <si>
    <t>2.52054795</t>
  </si>
  <si>
    <t>186</t>
  </si>
  <si>
    <t>2.53424658</t>
  </si>
  <si>
    <t>187</t>
  </si>
  <si>
    <t>2.54794521</t>
  </si>
  <si>
    <t>188</t>
  </si>
  <si>
    <t>2.56164384</t>
  </si>
  <si>
    <t>189</t>
  </si>
  <si>
    <t>2.57534247</t>
  </si>
  <si>
    <t>190</t>
  </si>
  <si>
    <t>2.5890411</t>
  </si>
  <si>
    <t>191</t>
  </si>
  <si>
    <t>2.60273973</t>
  </si>
  <si>
    <t>192</t>
  </si>
  <si>
    <t>2.61643836</t>
  </si>
  <si>
    <t>193</t>
  </si>
  <si>
    <t>2.63013699</t>
  </si>
  <si>
    <t>194</t>
  </si>
  <si>
    <t>2.64383562</t>
  </si>
  <si>
    <t>195</t>
  </si>
  <si>
    <t>2.65753425</t>
  </si>
  <si>
    <t>196</t>
  </si>
  <si>
    <t>2.67123288</t>
  </si>
  <si>
    <t>197</t>
  </si>
  <si>
    <t>2.68493151</t>
  </si>
  <si>
    <t>198</t>
  </si>
  <si>
    <t>2.69863014</t>
  </si>
  <si>
    <t>199</t>
  </si>
  <si>
    <t>2.71232877</t>
  </si>
  <si>
    <t>200</t>
  </si>
  <si>
    <t>2.7260274</t>
  </si>
  <si>
    <t>201</t>
  </si>
  <si>
    <t>2.73972603</t>
  </si>
  <si>
    <t>202</t>
  </si>
  <si>
    <t>2.75342466</t>
  </si>
  <si>
    <t>203</t>
  </si>
  <si>
    <t>2.76712329</t>
  </si>
  <si>
    <t>204</t>
  </si>
  <si>
    <t>2.78082192</t>
  </si>
  <si>
    <t>205</t>
  </si>
  <si>
    <t>2.79452055</t>
  </si>
  <si>
    <t>206</t>
  </si>
  <si>
    <t>2.80821918</t>
  </si>
  <si>
    <t>207</t>
  </si>
  <si>
    <t>2.82191781</t>
  </si>
  <si>
    <t>208</t>
  </si>
  <si>
    <t>2.83561644</t>
  </si>
  <si>
    <t>209</t>
  </si>
  <si>
    <t>2.84931507</t>
  </si>
  <si>
    <t>210</t>
  </si>
  <si>
    <t>2.8630137</t>
  </si>
  <si>
    <t>211</t>
  </si>
  <si>
    <t>2.87671233</t>
  </si>
  <si>
    <t>212</t>
  </si>
  <si>
    <t>2.89041096</t>
  </si>
  <si>
    <t>213</t>
  </si>
  <si>
    <t>2.90410959</t>
  </si>
  <si>
    <t>214</t>
  </si>
  <si>
    <t>2.91780822</t>
  </si>
  <si>
    <t>215</t>
  </si>
  <si>
    <t>2.93150685</t>
  </si>
  <si>
    <t>216</t>
  </si>
  <si>
    <t>2.94520548</t>
  </si>
  <si>
    <t>217</t>
  </si>
  <si>
    <t>2.95890411</t>
  </si>
  <si>
    <t>218</t>
  </si>
  <si>
    <t>2.97260274</t>
  </si>
  <si>
    <t>219</t>
  </si>
  <si>
    <t>2.98630137</t>
  </si>
  <si>
    <t>220</t>
  </si>
  <si>
    <t>3.0</t>
  </si>
  <si>
    <t>221</t>
  </si>
  <si>
    <t>3.01369863</t>
  </si>
  <si>
    <t>222</t>
  </si>
  <si>
    <t>3.02739726</t>
  </si>
  <si>
    <t>223</t>
  </si>
  <si>
    <t>3.04109589</t>
  </si>
  <si>
    <t>224</t>
  </si>
  <si>
    <t>3.05479452</t>
  </si>
  <si>
    <t>225</t>
  </si>
  <si>
    <t>3.06849315</t>
  </si>
  <si>
    <t>226</t>
  </si>
  <si>
    <t>3.08219178</t>
  </si>
  <si>
    <t>227</t>
  </si>
  <si>
    <t>3.09589041</t>
  </si>
  <si>
    <t>228</t>
  </si>
  <si>
    <t>3.10958904</t>
  </si>
  <si>
    <t>229</t>
  </si>
  <si>
    <t>3.12328767</t>
  </si>
  <si>
    <t>230</t>
  </si>
  <si>
    <t>3.1369863</t>
  </si>
  <si>
    <t>231</t>
  </si>
  <si>
    <t>3.15068493</t>
  </si>
  <si>
    <t>232</t>
  </si>
  <si>
    <t>3.16438356</t>
  </si>
  <si>
    <t>233</t>
  </si>
  <si>
    <t>3.17808219</t>
  </si>
  <si>
    <t>234</t>
  </si>
  <si>
    <t>3.19178082</t>
  </si>
  <si>
    <t>235</t>
  </si>
  <si>
    <t>3.20547945</t>
  </si>
  <si>
    <t>236</t>
  </si>
  <si>
    <t>3.21917808</t>
  </si>
  <si>
    <t>237</t>
  </si>
  <si>
    <t>3.23287671</t>
  </si>
  <si>
    <t>238</t>
  </si>
  <si>
    <t>3.24657534</t>
  </si>
  <si>
    <t>239</t>
  </si>
  <si>
    <t>3.26027397</t>
  </si>
  <si>
    <t>240</t>
  </si>
  <si>
    <t>3.2739726</t>
  </si>
  <si>
    <t>241</t>
  </si>
  <si>
    <t>3.28767123</t>
  </si>
  <si>
    <t>242</t>
  </si>
  <si>
    <t>3.30136986</t>
  </si>
  <si>
    <t>243</t>
  </si>
  <si>
    <t>3.31506849</t>
  </si>
  <si>
    <t>244</t>
  </si>
  <si>
    <t>3.32876712</t>
  </si>
  <si>
    <t>245</t>
  </si>
  <si>
    <t>3.34246575</t>
  </si>
  <si>
    <t>246</t>
  </si>
  <si>
    <t>3.35616438</t>
  </si>
  <si>
    <t>247</t>
  </si>
  <si>
    <t>3.36986301</t>
  </si>
  <si>
    <t>248</t>
  </si>
  <si>
    <t>3.38356164</t>
  </si>
  <si>
    <t>249</t>
  </si>
  <si>
    <t>3.39726027</t>
  </si>
  <si>
    <t>250</t>
  </si>
  <si>
    <t>3.4109589</t>
  </si>
  <si>
    <t>251</t>
  </si>
  <si>
    <t>3.42465753</t>
  </si>
  <si>
    <t>252</t>
  </si>
  <si>
    <t>3.43835616</t>
  </si>
  <si>
    <t>253</t>
  </si>
  <si>
    <t>3.45205479</t>
  </si>
  <si>
    <t>254</t>
  </si>
  <si>
    <t>3.46575342</t>
  </si>
  <si>
    <t>255</t>
  </si>
  <si>
    <t>3.47945205</t>
  </si>
  <si>
    <t>256</t>
  </si>
  <si>
    <t>3.49315068</t>
  </si>
  <si>
    <t>257</t>
  </si>
  <si>
    <t>3.50684932</t>
  </si>
  <si>
    <t>258</t>
  </si>
  <si>
    <t>3.52054795</t>
  </si>
  <si>
    <t>259</t>
  </si>
  <si>
    <t>3.53424658</t>
  </si>
  <si>
    <t>260</t>
  </si>
  <si>
    <t>3.54794521</t>
  </si>
  <si>
    <t>261</t>
  </si>
  <si>
    <t>3.56164384</t>
  </si>
  <si>
    <t>262</t>
  </si>
  <si>
    <t>3.57534247</t>
  </si>
  <si>
    <t>263</t>
  </si>
  <si>
    <t>3.5890411</t>
  </si>
  <si>
    <t>264</t>
  </si>
  <si>
    <t>3.60273973</t>
  </si>
  <si>
    <t>265</t>
  </si>
  <si>
    <t>3.61643836</t>
  </si>
  <si>
    <t>266</t>
  </si>
  <si>
    <t>3.63013699</t>
  </si>
  <si>
    <t>267</t>
  </si>
  <si>
    <t>3.64383562</t>
  </si>
  <si>
    <t>268</t>
  </si>
  <si>
    <t>3.65753425</t>
  </si>
  <si>
    <t>269</t>
  </si>
  <si>
    <t>3.67123288</t>
  </si>
  <si>
    <t>270</t>
  </si>
  <si>
    <t>3.68493151</t>
  </si>
  <si>
    <t>271</t>
  </si>
  <si>
    <t>3.69863014</t>
  </si>
  <si>
    <t>272</t>
  </si>
  <si>
    <t>3.71232877</t>
  </si>
  <si>
    <t>273</t>
  </si>
  <si>
    <t>3.7260274</t>
  </si>
  <si>
    <t>274</t>
  </si>
  <si>
    <t>3.73972603</t>
  </si>
  <si>
    <t>275</t>
  </si>
  <si>
    <t>3.75342466</t>
  </si>
  <si>
    <t>276</t>
  </si>
  <si>
    <t>3.76712329</t>
  </si>
  <si>
    <t>277</t>
  </si>
  <si>
    <t>3.78082192</t>
  </si>
  <si>
    <t>278</t>
  </si>
  <si>
    <t>3.79452055</t>
  </si>
  <si>
    <t>279</t>
  </si>
  <si>
    <t>3.80821918</t>
  </si>
  <si>
    <t>280</t>
  </si>
  <si>
    <t>3.82191781</t>
  </si>
  <si>
    <t>281</t>
  </si>
  <si>
    <t>3.83561644</t>
  </si>
  <si>
    <t>282</t>
  </si>
  <si>
    <t>3.84931507</t>
  </si>
  <si>
    <t>283</t>
  </si>
  <si>
    <t>3.8630137</t>
  </si>
  <si>
    <t>284</t>
  </si>
  <si>
    <t>3.87671233</t>
  </si>
  <si>
    <t>285</t>
  </si>
  <si>
    <t>3.89041096</t>
  </si>
  <si>
    <t>286</t>
  </si>
  <si>
    <t>3.90410959</t>
  </si>
  <si>
    <t>287</t>
  </si>
  <si>
    <t>3.91780822</t>
  </si>
  <si>
    <t>288</t>
  </si>
  <si>
    <t>3.93150685</t>
  </si>
  <si>
    <t>289</t>
  </si>
  <si>
    <t>3.94520548</t>
  </si>
  <si>
    <t>290</t>
  </si>
  <si>
    <t>3.95890411</t>
  </si>
  <si>
    <t>291</t>
  </si>
  <si>
    <t>3.97260274</t>
  </si>
  <si>
    <t>292</t>
  </si>
  <si>
    <t>3.98630137</t>
  </si>
  <si>
    <t>293</t>
  </si>
  <si>
    <t>4.0</t>
  </si>
  <si>
    <t>294</t>
  </si>
  <si>
    <t>4.01369863</t>
  </si>
  <si>
    <t>295</t>
  </si>
  <si>
    <t>4.02739726</t>
  </si>
  <si>
    <t>296</t>
  </si>
  <si>
    <t>4.04109589</t>
  </si>
  <si>
    <t>297</t>
  </si>
  <si>
    <t>4.05479452</t>
  </si>
  <si>
    <t>298</t>
  </si>
  <si>
    <t>4.06849315</t>
  </si>
  <si>
    <t>299</t>
  </si>
  <si>
    <t>4.08219178</t>
  </si>
  <si>
    <t>300</t>
  </si>
  <si>
    <t>4.09589041</t>
  </si>
  <si>
    <t>301</t>
  </si>
  <si>
    <t>4.10958904</t>
  </si>
  <si>
    <t>302</t>
  </si>
  <si>
    <t>4.12328767</t>
  </si>
  <si>
    <t>303</t>
  </si>
  <si>
    <t>4.1369863</t>
  </si>
  <si>
    <t>304</t>
  </si>
  <si>
    <t>4.15068493</t>
  </si>
  <si>
    <t>305</t>
  </si>
  <si>
    <t>4.16438356</t>
  </si>
  <si>
    <t>306</t>
  </si>
  <si>
    <t>4.17808219</t>
  </si>
  <si>
    <t>307</t>
  </si>
  <si>
    <t>4.19178082</t>
  </si>
  <si>
    <t>308</t>
  </si>
  <si>
    <t>4.20547945</t>
  </si>
  <si>
    <t>309</t>
  </si>
  <si>
    <t>4.21917808</t>
  </si>
  <si>
    <t>310</t>
  </si>
  <si>
    <t>4.23287671</t>
  </si>
  <si>
    <t>311</t>
  </si>
  <si>
    <t>4.24657534</t>
  </si>
  <si>
    <t>312</t>
  </si>
  <si>
    <t>4.26027397</t>
  </si>
  <si>
    <t>313</t>
  </si>
  <si>
    <t>4.2739726</t>
  </si>
  <si>
    <t>314</t>
  </si>
  <si>
    <t>4.28767123</t>
  </si>
  <si>
    <t>315</t>
  </si>
  <si>
    <t>4.30136986</t>
  </si>
  <si>
    <t>316</t>
  </si>
  <si>
    <t>4.31506849</t>
  </si>
  <si>
    <t>317</t>
  </si>
  <si>
    <t>4.32876712</t>
  </si>
  <si>
    <t>318</t>
  </si>
  <si>
    <t>4.34246575</t>
  </si>
  <si>
    <t>319</t>
  </si>
  <si>
    <t>4.35616438</t>
  </si>
  <si>
    <t>320</t>
  </si>
  <si>
    <t>4.36986301</t>
  </si>
  <si>
    <t>321</t>
  </si>
  <si>
    <t>4.38356164</t>
  </si>
  <si>
    <t>322</t>
  </si>
  <si>
    <t>4.39726027</t>
  </si>
  <si>
    <t>323</t>
  </si>
  <si>
    <t>4.4109589</t>
  </si>
  <si>
    <t>324</t>
  </si>
  <si>
    <t>4.42465753</t>
  </si>
  <si>
    <t>325</t>
  </si>
  <si>
    <t>4.43835616</t>
  </si>
  <si>
    <t>326</t>
  </si>
  <si>
    <t>4.45205479</t>
  </si>
  <si>
    <t>327</t>
  </si>
  <si>
    <t>4.46575342</t>
  </si>
  <si>
    <t>328</t>
  </si>
  <si>
    <t>4.47945205</t>
  </si>
  <si>
    <t>329</t>
  </si>
  <si>
    <t>4.49315068</t>
  </si>
  <si>
    <t>330</t>
  </si>
  <si>
    <t>4.50684932</t>
  </si>
  <si>
    <t>331</t>
  </si>
  <si>
    <t>4.52054795</t>
  </si>
  <si>
    <t>332</t>
  </si>
  <si>
    <t>4.53424658</t>
  </si>
  <si>
    <t>333</t>
  </si>
  <si>
    <t>4.54794521</t>
  </si>
  <si>
    <t>334</t>
  </si>
  <si>
    <t>4.56164384</t>
  </si>
  <si>
    <t>335</t>
  </si>
  <si>
    <t>4.57534247</t>
  </si>
  <si>
    <t>336</t>
  </si>
  <si>
    <t>4.5890411</t>
  </si>
  <si>
    <t>337</t>
  </si>
  <si>
    <t>4.60273973</t>
  </si>
  <si>
    <t>338</t>
  </si>
  <si>
    <t>4.61643836</t>
  </si>
  <si>
    <t>339</t>
  </si>
  <si>
    <t>4.63013699</t>
  </si>
  <si>
    <t>340</t>
  </si>
  <si>
    <t>4.64383562</t>
  </si>
  <si>
    <t>341</t>
  </si>
  <si>
    <t>4.65753425</t>
  </si>
  <si>
    <t>342</t>
  </si>
  <si>
    <t>4.67123288</t>
  </si>
  <si>
    <t>343</t>
  </si>
  <si>
    <t>4.68493151</t>
  </si>
  <si>
    <t>344</t>
  </si>
  <si>
    <t>4.69863014</t>
  </si>
  <si>
    <t>345</t>
  </si>
  <si>
    <t>4.71232877</t>
  </si>
  <si>
    <t>346</t>
  </si>
  <si>
    <t>4.7260274</t>
  </si>
  <si>
    <t>347</t>
  </si>
  <si>
    <t>4.73972603</t>
  </si>
  <si>
    <t>348</t>
  </si>
  <si>
    <t>4.75342466</t>
  </si>
  <si>
    <t>349</t>
  </si>
  <si>
    <t>4.76712329</t>
  </si>
  <si>
    <t>350</t>
  </si>
  <si>
    <t>4.78082192</t>
  </si>
  <si>
    <t>351</t>
  </si>
  <si>
    <t>4.79452055</t>
  </si>
  <si>
    <t>352</t>
  </si>
  <si>
    <t>4.80821918</t>
  </si>
  <si>
    <t>353</t>
  </si>
  <si>
    <t>4.82191781</t>
  </si>
  <si>
    <t>354</t>
  </si>
  <si>
    <t>4.83561644</t>
  </si>
  <si>
    <t>355</t>
  </si>
  <si>
    <t>4.84931507</t>
  </si>
  <si>
    <t>356</t>
  </si>
  <si>
    <t>4.8630137</t>
  </si>
  <si>
    <t>357</t>
  </si>
  <si>
    <t>4.87671233</t>
  </si>
  <si>
    <t>358</t>
  </si>
  <si>
    <t>4.89041096</t>
  </si>
  <si>
    <t>359</t>
  </si>
  <si>
    <t>4.90410959</t>
  </si>
  <si>
    <t>360</t>
  </si>
  <si>
    <t>4.91780822</t>
  </si>
  <si>
    <t>361</t>
  </si>
  <si>
    <t>4.93150685</t>
  </si>
  <si>
    <t>362</t>
  </si>
  <si>
    <t>4.94520548</t>
  </si>
  <si>
    <t>363</t>
  </si>
  <si>
    <t>4.95890411</t>
  </si>
  <si>
    <t>364</t>
  </si>
  <si>
    <t>4.97260274</t>
  </si>
  <si>
    <t>365</t>
  </si>
  <si>
    <t>4.98630137</t>
  </si>
  <si>
    <t>366</t>
  </si>
  <si>
    <t>5.0</t>
  </si>
  <si>
    <t>367</t>
  </si>
  <si>
    <t>5.01369863</t>
  </si>
  <si>
    <t>368</t>
  </si>
  <si>
    <t>5.02739726</t>
  </si>
  <si>
    <t>369</t>
  </si>
  <si>
    <t>5.04109589</t>
  </si>
  <si>
    <t>370</t>
  </si>
  <si>
    <t>5.05479452</t>
  </si>
  <si>
    <t>371</t>
  </si>
  <si>
    <t>5.06849315</t>
  </si>
  <si>
    <t>372</t>
  </si>
  <si>
    <t>5.08219178</t>
  </si>
  <si>
    <t>373</t>
  </si>
  <si>
    <t>5.09589041</t>
  </si>
  <si>
    <t>374</t>
  </si>
  <si>
    <t>5.10958904</t>
  </si>
  <si>
    <t>375</t>
  </si>
  <si>
    <t>5.12328767</t>
  </si>
  <si>
    <t>376</t>
  </si>
  <si>
    <t>5.1369863</t>
  </si>
  <si>
    <t>377</t>
  </si>
  <si>
    <t>5.15068493</t>
  </si>
  <si>
    <t>378</t>
  </si>
  <si>
    <t>5.16438356</t>
  </si>
  <si>
    <t>379</t>
  </si>
  <si>
    <t>5.17808219</t>
  </si>
  <si>
    <t>380</t>
  </si>
  <si>
    <t>5.19178082</t>
  </si>
  <si>
    <t>381</t>
  </si>
  <si>
    <t>5.20547945</t>
  </si>
  <si>
    <t>382</t>
  </si>
  <si>
    <t>5.21917808</t>
  </si>
  <si>
    <t>383</t>
  </si>
  <si>
    <t>5.23287671</t>
  </si>
  <si>
    <t>384</t>
  </si>
  <si>
    <t>5.24657534</t>
  </si>
  <si>
    <t>385</t>
  </si>
  <si>
    <t>5.26027397</t>
  </si>
  <si>
    <t>386</t>
  </si>
  <si>
    <t>5.2739726</t>
  </si>
  <si>
    <t>387</t>
  </si>
  <si>
    <t>5.28767123</t>
  </si>
  <si>
    <t>388</t>
  </si>
  <si>
    <t>5.30136986</t>
  </si>
  <si>
    <t>389</t>
  </si>
  <si>
    <t>5.31506849</t>
  </si>
  <si>
    <t>390</t>
  </si>
  <si>
    <t>5.32876712</t>
  </si>
  <si>
    <t>391</t>
  </si>
  <si>
    <t>5.34246575</t>
  </si>
  <si>
    <t>392</t>
  </si>
  <si>
    <t>5.35616438</t>
  </si>
  <si>
    <t>393</t>
  </si>
  <si>
    <t>5.36986301</t>
  </si>
  <si>
    <t>394</t>
  </si>
  <si>
    <t>5.38356164</t>
  </si>
  <si>
    <t>395</t>
  </si>
  <si>
    <t>5.39726027</t>
  </si>
  <si>
    <t>396</t>
  </si>
  <si>
    <t>5.4109589</t>
  </si>
  <si>
    <t>397</t>
  </si>
  <si>
    <t>5.42465753</t>
  </si>
  <si>
    <t>398</t>
  </si>
  <si>
    <t>5.43835616</t>
  </si>
  <si>
    <t>399</t>
  </si>
  <si>
    <t>5.45205479</t>
  </si>
  <si>
    <t>400</t>
  </si>
  <si>
    <t>5.46575342</t>
  </si>
  <si>
    <t>401</t>
  </si>
  <si>
    <t>5.47945205</t>
  </si>
  <si>
    <t>402</t>
  </si>
  <si>
    <t>5.49315068</t>
  </si>
  <si>
    <t>403</t>
  </si>
  <si>
    <t>5.50684932</t>
  </si>
  <si>
    <t>404</t>
  </si>
  <si>
    <t>5.52054795</t>
  </si>
  <si>
    <t>405</t>
  </si>
  <si>
    <t>5.53424658</t>
  </si>
  <si>
    <t>406</t>
  </si>
  <si>
    <t>5.54794521</t>
  </si>
  <si>
    <t>407</t>
  </si>
  <si>
    <t>5.56164384</t>
  </si>
  <si>
    <t>408</t>
  </si>
  <si>
    <t>5.57534247</t>
  </si>
  <si>
    <t>409</t>
  </si>
  <si>
    <t>5.5890411</t>
  </si>
  <si>
    <t>410</t>
  </si>
  <si>
    <t>5.60273973</t>
  </si>
  <si>
    <t>411</t>
  </si>
  <si>
    <t>5.61643836</t>
  </si>
  <si>
    <t>412</t>
  </si>
  <si>
    <t>5.63013699</t>
  </si>
  <si>
    <t>413</t>
  </si>
  <si>
    <t>5.64383562</t>
  </si>
  <si>
    <t>414</t>
  </si>
  <si>
    <t>5.65753425</t>
  </si>
  <si>
    <t>415</t>
  </si>
  <si>
    <t>5.67123288</t>
  </si>
  <si>
    <t>416</t>
  </si>
  <si>
    <t>5.68493151</t>
  </si>
  <si>
    <t>417</t>
  </si>
  <si>
    <t>5.69863014</t>
  </si>
  <si>
    <t>418</t>
  </si>
  <si>
    <t>5.71232877</t>
  </si>
  <si>
    <t>419</t>
  </si>
  <si>
    <t>5.7260274</t>
  </si>
  <si>
    <t>420</t>
  </si>
  <si>
    <t>5.73972603</t>
  </si>
  <si>
    <t>421</t>
  </si>
  <si>
    <t>5.75342466</t>
  </si>
  <si>
    <t>422</t>
  </si>
  <si>
    <t>5.76712329</t>
  </si>
  <si>
    <t>423</t>
  </si>
  <si>
    <t>5.78082192</t>
  </si>
  <si>
    <t>424</t>
  </si>
  <si>
    <t>5.79452055</t>
  </si>
  <si>
    <t>425</t>
  </si>
  <si>
    <t>5.80821918</t>
  </si>
  <si>
    <t>426</t>
  </si>
  <si>
    <t>5.82191781</t>
  </si>
  <si>
    <t>427</t>
  </si>
  <si>
    <t>5.83561644</t>
  </si>
  <si>
    <t>428</t>
  </si>
  <si>
    <t>5.84931507</t>
  </si>
  <si>
    <t>429</t>
  </si>
  <si>
    <t>5.8630137</t>
  </si>
  <si>
    <t>430</t>
  </si>
  <si>
    <t>5.87671233</t>
  </si>
  <si>
    <t>431</t>
  </si>
  <si>
    <t>5.89041096</t>
  </si>
  <si>
    <t>432</t>
  </si>
  <si>
    <t>5.90410959</t>
  </si>
  <si>
    <t>433</t>
  </si>
  <si>
    <t>5.91780822</t>
  </si>
  <si>
    <t>434</t>
  </si>
  <si>
    <t>5.93150685</t>
  </si>
  <si>
    <t>435</t>
  </si>
  <si>
    <t>5.94520548</t>
  </si>
  <si>
    <t>436</t>
  </si>
  <si>
    <t>5.95890411</t>
  </si>
  <si>
    <t>437</t>
  </si>
  <si>
    <t>5.97260274</t>
  </si>
  <si>
    <t>438</t>
  </si>
  <si>
    <t>5.98630137</t>
  </si>
  <si>
    <t>439</t>
  </si>
  <si>
    <t>6.0</t>
  </si>
  <si>
    <t>440</t>
  </si>
  <si>
    <t>6.01369863</t>
  </si>
  <si>
    <t>441</t>
  </si>
  <si>
    <t>6.02739726</t>
  </si>
  <si>
    <t>442</t>
  </si>
  <si>
    <t>6.04109589</t>
  </si>
  <si>
    <t>443</t>
  </si>
  <si>
    <t>6.05479452</t>
  </si>
  <si>
    <t>444</t>
  </si>
  <si>
    <t>6.06849315</t>
  </si>
  <si>
    <t>445</t>
  </si>
  <si>
    <t>6.08219178</t>
  </si>
  <si>
    <t>446</t>
  </si>
  <si>
    <t>6.09589041</t>
  </si>
  <si>
    <t>447</t>
  </si>
  <si>
    <t>6.10958904</t>
  </si>
  <si>
    <t>448</t>
  </si>
  <si>
    <t>6.12328767</t>
  </si>
  <si>
    <t>449</t>
  </si>
  <si>
    <t>6.1369863</t>
  </si>
  <si>
    <t>450</t>
  </si>
  <si>
    <t>6.15068493</t>
  </si>
  <si>
    <t>451</t>
  </si>
  <si>
    <t>6.16438356</t>
  </si>
  <si>
    <t>452</t>
  </si>
  <si>
    <t>6.17808219</t>
  </si>
  <si>
    <t>453</t>
  </si>
  <si>
    <t>6.19178082</t>
  </si>
  <si>
    <t>454</t>
  </si>
  <si>
    <t>6.20547945</t>
  </si>
  <si>
    <t>455</t>
  </si>
  <si>
    <t>6.21917808</t>
  </si>
  <si>
    <t>456</t>
  </si>
  <si>
    <t>6.23287671</t>
  </si>
  <si>
    <t>457</t>
  </si>
  <si>
    <t>6.24657534</t>
  </si>
  <si>
    <t>458</t>
  </si>
  <si>
    <t>6.26027397</t>
  </si>
  <si>
    <t>459</t>
  </si>
  <si>
    <t>6.2739726</t>
  </si>
  <si>
    <t>460</t>
  </si>
  <si>
    <t>6.28767123</t>
  </si>
  <si>
    <t>461</t>
  </si>
  <si>
    <t>6.30136986</t>
  </si>
  <si>
    <t>462</t>
  </si>
  <si>
    <t>6.31506849</t>
  </si>
  <si>
    <t>463</t>
  </si>
  <si>
    <t>6.32876712</t>
  </si>
  <si>
    <t>464</t>
  </si>
  <si>
    <t>6.34246575</t>
  </si>
  <si>
    <t>465</t>
  </si>
  <si>
    <t>6.35616438</t>
  </si>
  <si>
    <t>466</t>
  </si>
  <si>
    <t>6.36986301</t>
  </si>
  <si>
    <t>467</t>
  </si>
  <si>
    <t>6.38356164</t>
  </si>
  <si>
    <t>468</t>
  </si>
  <si>
    <t>6.39726027</t>
  </si>
  <si>
    <t>469</t>
  </si>
  <si>
    <t>6.4109589</t>
  </si>
  <si>
    <t>470</t>
  </si>
  <si>
    <t>6.42465753</t>
  </si>
  <si>
    <t>471</t>
  </si>
  <si>
    <t>6.43835616</t>
  </si>
  <si>
    <t>472</t>
  </si>
  <si>
    <t>6.45205479</t>
  </si>
  <si>
    <t>473</t>
  </si>
  <si>
    <t>6.46575342</t>
  </si>
  <si>
    <t>474</t>
  </si>
  <si>
    <t>6.47945205</t>
  </si>
  <si>
    <t>475</t>
  </si>
  <si>
    <t>6.49315068</t>
  </si>
  <si>
    <t>476</t>
  </si>
  <si>
    <t>6.50684932</t>
  </si>
  <si>
    <t>477</t>
  </si>
  <si>
    <t>6.52054795</t>
  </si>
  <si>
    <t>478</t>
  </si>
  <si>
    <t>6.53424658</t>
  </si>
  <si>
    <t>479</t>
  </si>
  <si>
    <t>6.54794521</t>
  </si>
  <si>
    <t>480</t>
  </si>
  <si>
    <t>6.56164384</t>
  </si>
  <si>
    <t>481</t>
  </si>
  <si>
    <t>6.57534247</t>
  </si>
  <si>
    <t>482</t>
  </si>
  <si>
    <t>6.5890411</t>
  </si>
  <si>
    <t>483</t>
  </si>
  <si>
    <t>6.60273973</t>
  </si>
  <si>
    <t>484</t>
  </si>
  <si>
    <t>6.61643836</t>
  </si>
  <si>
    <t>485</t>
  </si>
  <si>
    <t>6.63013699</t>
  </si>
  <si>
    <t>486</t>
  </si>
  <si>
    <t>6.64383562</t>
  </si>
  <si>
    <t>487</t>
  </si>
  <si>
    <t>6.65753425</t>
  </si>
  <si>
    <t>488</t>
  </si>
  <si>
    <t>6.67123288</t>
  </si>
  <si>
    <t>489</t>
  </si>
  <si>
    <t>6.68493151</t>
  </si>
  <si>
    <t>490</t>
  </si>
  <si>
    <t>6.69863014</t>
  </si>
  <si>
    <t>491</t>
  </si>
  <si>
    <t>6.71232877</t>
  </si>
  <si>
    <t>492</t>
  </si>
  <si>
    <t>6.7260274</t>
  </si>
  <si>
    <t>493</t>
  </si>
  <si>
    <t>6.73972603</t>
  </si>
  <si>
    <t>494</t>
  </si>
  <si>
    <t>6.75342466</t>
  </si>
  <si>
    <t>495</t>
  </si>
  <si>
    <t>6.76712329</t>
  </si>
  <si>
    <t>496</t>
  </si>
  <si>
    <t>6.78082192</t>
  </si>
  <si>
    <t>497</t>
  </si>
  <si>
    <t>6.79452055</t>
  </si>
  <si>
    <t>498</t>
  </si>
  <si>
    <t>6.80821918</t>
  </si>
  <si>
    <t>499</t>
  </si>
  <si>
    <t>6.82191781</t>
  </si>
  <si>
    <t>500</t>
  </si>
  <si>
    <t>6.83561644</t>
  </si>
  <si>
    <t>501</t>
  </si>
  <si>
    <t>6.84931507</t>
  </si>
  <si>
    <t>502</t>
  </si>
  <si>
    <t>6.8630137</t>
  </si>
  <si>
    <t>503</t>
  </si>
  <si>
    <t>6.87671233</t>
  </si>
  <si>
    <t>504</t>
  </si>
  <si>
    <t>6.89041096</t>
  </si>
  <si>
    <t>505</t>
  </si>
  <si>
    <t>6.90410959</t>
  </si>
  <si>
    <t>506</t>
  </si>
  <si>
    <t>6.91780822</t>
  </si>
  <si>
    <t>507</t>
  </si>
  <si>
    <t>6.93150685</t>
  </si>
  <si>
    <t>508</t>
  </si>
  <si>
    <t>6.94520548</t>
  </si>
  <si>
    <t>509</t>
  </si>
  <si>
    <t>6.95890411</t>
  </si>
  <si>
    <t>510</t>
  </si>
  <si>
    <t>6.97260274</t>
  </si>
  <si>
    <t>511</t>
  </si>
  <si>
    <t>6.98630137</t>
  </si>
  <si>
    <t>512</t>
  </si>
  <si>
    <t>7.0</t>
  </si>
  <si>
    <t>513</t>
  </si>
  <si>
    <t>7.01369863</t>
  </si>
  <si>
    <t>514</t>
  </si>
  <si>
    <t>7.02739726</t>
  </si>
  <si>
    <t>515</t>
  </si>
  <si>
    <t>7.04109589</t>
  </si>
  <si>
    <t>516</t>
  </si>
  <si>
    <t>7.05479452</t>
  </si>
  <si>
    <t>517</t>
  </si>
  <si>
    <t>7.06849315</t>
  </si>
  <si>
    <t>518</t>
  </si>
  <si>
    <t>7.08219178</t>
  </si>
  <si>
    <t>519</t>
  </si>
  <si>
    <t>7.09589041</t>
  </si>
  <si>
    <t>520</t>
  </si>
  <si>
    <t>7.10958904</t>
  </si>
  <si>
    <t>521</t>
  </si>
  <si>
    <t>7.12328767</t>
  </si>
  <si>
    <t>522</t>
  </si>
  <si>
    <t>7.1369863</t>
  </si>
  <si>
    <t>523</t>
  </si>
  <si>
    <t>7.15068493</t>
  </si>
  <si>
    <t>524</t>
  </si>
  <si>
    <t>7.16438356</t>
  </si>
  <si>
    <t>525</t>
  </si>
  <si>
    <t>7.17808219</t>
  </si>
  <si>
    <t>526</t>
  </si>
  <si>
    <t>7.19178082</t>
  </si>
  <si>
    <t>527</t>
  </si>
  <si>
    <t>7.20547945</t>
  </si>
  <si>
    <t>528</t>
  </si>
  <si>
    <t>7.21917808</t>
  </si>
  <si>
    <t>529</t>
  </si>
  <si>
    <t>7.23287671</t>
  </si>
  <si>
    <t>530</t>
  </si>
  <si>
    <t>7.24657534</t>
  </si>
  <si>
    <t>531</t>
  </si>
  <si>
    <t>7.26027397</t>
  </si>
  <si>
    <t>532</t>
  </si>
  <si>
    <t>7.2739726</t>
  </si>
  <si>
    <t>533</t>
  </si>
  <si>
    <t>7.28767123</t>
  </si>
  <si>
    <t>534</t>
  </si>
  <si>
    <t>7.30136986</t>
  </si>
  <si>
    <t>535</t>
  </si>
  <si>
    <t>7.31506849</t>
  </si>
  <si>
    <t>536</t>
  </si>
  <si>
    <t>7.32876712</t>
  </si>
  <si>
    <t>537</t>
  </si>
  <si>
    <t>7.34246575</t>
  </si>
  <si>
    <t>538</t>
  </si>
  <si>
    <t>7.35616438</t>
  </si>
  <si>
    <t>539</t>
  </si>
  <si>
    <t>7.36986301</t>
  </si>
  <si>
    <t>540</t>
  </si>
  <si>
    <t>7.38356164</t>
  </si>
  <si>
    <t>541</t>
  </si>
  <si>
    <t>7.39726027</t>
  </si>
  <si>
    <t>542</t>
  </si>
  <si>
    <t>7.4109589</t>
  </si>
  <si>
    <t>543</t>
  </si>
  <si>
    <t>7.42465753</t>
  </si>
  <si>
    <t>544</t>
  </si>
  <si>
    <t>7.43835616</t>
  </si>
  <si>
    <t>545</t>
  </si>
  <si>
    <t>7.45205479</t>
  </si>
  <si>
    <t>546</t>
  </si>
  <si>
    <t>7.46575342</t>
  </si>
  <si>
    <t>547</t>
  </si>
  <si>
    <t>7.47945205</t>
  </si>
  <si>
    <t>548</t>
  </si>
  <si>
    <t>7.49315068</t>
  </si>
  <si>
    <t>549</t>
  </si>
  <si>
    <t>7.50684932</t>
  </si>
  <si>
    <t>550</t>
  </si>
  <si>
    <t>7.52054795</t>
  </si>
  <si>
    <t>551</t>
  </si>
  <si>
    <t>7.53424658</t>
  </si>
  <si>
    <t>552</t>
  </si>
  <si>
    <t>7.54794521</t>
  </si>
  <si>
    <t>553</t>
  </si>
  <si>
    <t>7.56164384</t>
  </si>
  <si>
    <t>554</t>
  </si>
  <si>
    <t>7.57534247</t>
  </si>
  <si>
    <t>555</t>
  </si>
  <si>
    <t>7.5890411</t>
  </si>
  <si>
    <t>556</t>
  </si>
  <si>
    <t>7.60273973</t>
  </si>
  <si>
    <t>557</t>
  </si>
  <si>
    <t>7.61643836</t>
  </si>
  <si>
    <t>558</t>
  </si>
  <si>
    <t>7.63013699</t>
  </si>
  <si>
    <t>559</t>
  </si>
  <si>
    <t>7.64383562</t>
  </si>
  <si>
    <t>560</t>
  </si>
  <si>
    <t>7.65753425</t>
  </si>
  <si>
    <t>561</t>
  </si>
  <si>
    <t>7.67123288</t>
  </si>
  <si>
    <t>562</t>
  </si>
  <si>
    <t>7.68493151</t>
  </si>
  <si>
    <t>563</t>
  </si>
  <si>
    <t>7.69863014</t>
  </si>
  <si>
    <t>564</t>
  </si>
  <si>
    <t>7.71232877</t>
  </si>
  <si>
    <t>565</t>
  </si>
  <si>
    <t>7.7260274</t>
  </si>
  <si>
    <t>566</t>
  </si>
  <si>
    <t>7.73972603</t>
  </si>
  <si>
    <t>567</t>
  </si>
  <si>
    <t>7.75342466</t>
  </si>
  <si>
    <t>568</t>
  </si>
  <si>
    <t>7.76712329</t>
  </si>
  <si>
    <t>569</t>
  </si>
  <si>
    <t>7.78082192</t>
  </si>
  <si>
    <t>570</t>
  </si>
  <si>
    <t>7.79452055</t>
  </si>
  <si>
    <t>571</t>
  </si>
  <si>
    <t>7.80821918</t>
  </si>
  <si>
    <t>572</t>
  </si>
  <si>
    <t>7.82191781</t>
  </si>
  <si>
    <t>573</t>
  </si>
  <si>
    <t>7.83561644</t>
  </si>
  <si>
    <t>574</t>
  </si>
  <si>
    <t>7.84931507</t>
  </si>
  <si>
    <t>575</t>
  </si>
  <si>
    <t>7.8630137</t>
  </si>
  <si>
    <t>576</t>
  </si>
  <si>
    <t>7.87671233</t>
  </si>
  <si>
    <t>577</t>
  </si>
  <si>
    <t>7.89041096</t>
  </si>
  <si>
    <t>578</t>
  </si>
  <si>
    <t>7.90410959</t>
  </si>
  <si>
    <t>579</t>
  </si>
  <si>
    <t>7.91780822</t>
  </si>
  <si>
    <t>580</t>
  </si>
  <si>
    <t>7.93150685</t>
  </si>
  <si>
    <t>581</t>
  </si>
  <si>
    <t>7.94520548</t>
  </si>
  <si>
    <t>582</t>
  </si>
  <si>
    <t>7.95890411</t>
  </si>
  <si>
    <t>583</t>
  </si>
  <si>
    <t>7.97260274</t>
  </si>
  <si>
    <t>584</t>
  </si>
  <si>
    <t>7.98630137</t>
  </si>
  <si>
    <t>585</t>
  </si>
  <si>
    <t>8.0</t>
  </si>
  <si>
    <t>586</t>
  </si>
  <si>
    <t>8.01369863</t>
  </si>
  <si>
    <t>587</t>
  </si>
  <si>
    <t>8.02739726</t>
  </si>
  <si>
    <t>588</t>
  </si>
  <si>
    <t>8.04109589</t>
  </si>
  <si>
    <t>589</t>
  </si>
  <si>
    <t>8.05479452</t>
  </si>
  <si>
    <t>590</t>
  </si>
  <si>
    <t>8.06849315</t>
  </si>
  <si>
    <t>591</t>
  </si>
  <si>
    <t>8.08219178</t>
  </si>
  <si>
    <t>592</t>
  </si>
  <si>
    <t>8.09589041</t>
  </si>
  <si>
    <t>593</t>
  </si>
  <si>
    <t>8.10958904</t>
  </si>
  <si>
    <t>594</t>
  </si>
  <si>
    <t>8.12328767</t>
  </si>
  <si>
    <t>595</t>
  </si>
  <si>
    <t>8.1369863</t>
  </si>
  <si>
    <t>596</t>
  </si>
  <si>
    <t>8.15068493</t>
  </si>
  <si>
    <t>597</t>
  </si>
  <si>
    <t>8.16438356</t>
  </si>
  <si>
    <t>598</t>
  </si>
  <si>
    <t>8.17808219</t>
  </si>
  <si>
    <t>599</t>
  </si>
  <si>
    <t>8.19178082</t>
  </si>
  <si>
    <t>600</t>
  </si>
  <si>
    <t>8.20547945</t>
  </si>
  <si>
    <t>601</t>
  </si>
  <si>
    <t>8.21917808</t>
  </si>
  <si>
    <t>602</t>
  </si>
  <si>
    <t>8.23287671</t>
  </si>
  <si>
    <t>603</t>
  </si>
  <si>
    <t>8.24657534</t>
  </si>
  <si>
    <t>604</t>
  </si>
  <si>
    <t>8.26027397</t>
  </si>
  <si>
    <t>605</t>
  </si>
  <si>
    <t>8.2739726</t>
  </si>
  <si>
    <t>606</t>
  </si>
  <si>
    <t>8.28767123</t>
  </si>
  <si>
    <t>607</t>
  </si>
  <si>
    <t>8.30136986</t>
  </si>
  <si>
    <t>608</t>
  </si>
  <si>
    <t>8.31506849</t>
  </si>
  <si>
    <t>609</t>
  </si>
  <si>
    <t>8.32876712</t>
  </si>
  <si>
    <t>610</t>
  </si>
  <si>
    <t>8.34246575</t>
  </si>
  <si>
    <t>611</t>
  </si>
  <si>
    <t>8.35616438</t>
  </si>
  <si>
    <t>612</t>
  </si>
  <si>
    <t>8.36986301</t>
  </si>
  <si>
    <t>613</t>
  </si>
  <si>
    <t>8.38356164</t>
  </si>
  <si>
    <t>614</t>
  </si>
  <si>
    <t>8.39726027</t>
  </si>
  <si>
    <t>615</t>
  </si>
  <si>
    <t>8.4109589</t>
  </si>
  <si>
    <t>616</t>
  </si>
  <si>
    <t>8.42465753</t>
  </si>
  <si>
    <t>617</t>
  </si>
  <si>
    <t>8.43835616</t>
  </si>
  <si>
    <t>618</t>
  </si>
  <si>
    <t>8.45205479</t>
  </si>
  <si>
    <t>619</t>
  </si>
  <si>
    <t>8.46575342</t>
  </si>
  <si>
    <t>620</t>
  </si>
  <si>
    <t>8.47945205</t>
  </si>
  <si>
    <t>621</t>
  </si>
  <si>
    <t>8.49315068</t>
  </si>
  <si>
    <t>622</t>
  </si>
  <si>
    <t>8.50684932</t>
  </si>
  <si>
    <t>623</t>
  </si>
  <si>
    <t>8.52054795</t>
  </si>
  <si>
    <t>624</t>
  </si>
  <si>
    <t>8.53424658</t>
  </si>
  <si>
    <t>625</t>
  </si>
  <si>
    <t>8.54794521</t>
  </si>
  <si>
    <t>626</t>
  </si>
  <si>
    <t>8.56164384</t>
  </si>
  <si>
    <t>627</t>
  </si>
  <si>
    <t>8.57534247</t>
  </si>
  <si>
    <t>628</t>
  </si>
  <si>
    <t>8.5890411</t>
  </si>
  <si>
    <t>629</t>
  </si>
  <si>
    <t>8.60273973</t>
  </si>
  <si>
    <t>630</t>
  </si>
  <si>
    <t>8.61643836</t>
  </si>
  <si>
    <t>631</t>
  </si>
  <si>
    <t>8.63013699</t>
  </si>
  <si>
    <t>632</t>
  </si>
  <si>
    <t>8.64383562</t>
  </si>
  <si>
    <t>633</t>
  </si>
  <si>
    <t>8.65753425</t>
  </si>
  <si>
    <t>634</t>
  </si>
  <si>
    <t>8.67123288</t>
  </si>
  <si>
    <t>635</t>
  </si>
  <si>
    <t>8.68493151</t>
  </si>
  <si>
    <t>636</t>
  </si>
  <si>
    <t>8.69863014</t>
  </si>
  <si>
    <t>637</t>
  </si>
  <si>
    <t>8.71232877</t>
  </si>
  <si>
    <t>638</t>
  </si>
  <si>
    <t>8.7260274</t>
  </si>
  <si>
    <t>639</t>
  </si>
  <si>
    <t>8.73972603</t>
  </si>
  <si>
    <t>640</t>
  </si>
  <si>
    <t>8.75342466</t>
  </si>
  <si>
    <t>641</t>
  </si>
  <si>
    <t>8.76712329</t>
  </si>
  <si>
    <t>642</t>
  </si>
  <si>
    <t>8.78082192</t>
  </si>
  <si>
    <t>643</t>
  </si>
  <si>
    <t>8.79452055</t>
  </si>
  <si>
    <t>644</t>
  </si>
  <si>
    <t>8.80821918</t>
  </si>
  <si>
    <t>645</t>
  </si>
  <si>
    <t>8.82191781</t>
  </si>
  <si>
    <t>646</t>
  </si>
  <si>
    <t>8.83561644</t>
  </si>
  <si>
    <t>647</t>
  </si>
  <si>
    <t>8.84931507</t>
  </si>
  <si>
    <t>648</t>
  </si>
  <si>
    <t>8.8630137</t>
  </si>
  <si>
    <t>649</t>
  </si>
  <si>
    <t>8.87671233</t>
  </si>
  <si>
    <t>650</t>
  </si>
  <si>
    <t>8.89041096</t>
  </si>
  <si>
    <t>651</t>
  </si>
  <si>
    <t>8.90410959</t>
  </si>
  <si>
    <t>652</t>
  </si>
  <si>
    <t>8.91780822</t>
  </si>
  <si>
    <t>653</t>
  </si>
  <si>
    <t>8.93150685</t>
  </si>
  <si>
    <t>654</t>
  </si>
  <si>
    <t>8.94520548</t>
  </si>
  <si>
    <t>655</t>
  </si>
  <si>
    <t>8.95890411</t>
  </si>
  <si>
    <t>656</t>
  </si>
  <si>
    <t>8.97260274</t>
  </si>
  <si>
    <t>657</t>
  </si>
  <si>
    <t>8.98630137</t>
  </si>
  <si>
    <t>658</t>
  </si>
  <si>
    <t>9.0</t>
  </si>
  <si>
    <t>659</t>
  </si>
  <si>
    <t>9.01369863</t>
  </si>
  <si>
    <t>660</t>
  </si>
  <si>
    <t>9.02739726</t>
  </si>
  <si>
    <t>661</t>
  </si>
  <si>
    <t>9.04109589</t>
  </si>
  <si>
    <t>662</t>
  </si>
  <si>
    <t>9.05479452</t>
  </si>
  <si>
    <t>663</t>
  </si>
  <si>
    <t>9.06849315</t>
  </si>
  <si>
    <t>664</t>
  </si>
  <si>
    <t>9.08219178</t>
  </si>
  <si>
    <t>665</t>
  </si>
  <si>
    <t>9.09589041</t>
  </si>
  <si>
    <t>666</t>
  </si>
  <si>
    <t>9.10958904</t>
  </si>
  <si>
    <t>667</t>
  </si>
  <si>
    <t>9.12328767</t>
  </si>
  <si>
    <t>668</t>
  </si>
  <si>
    <t>9.1369863</t>
  </si>
  <si>
    <t>669</t>
  </si>
  <si>
    <t>9.15068493</t>
  </si>
  <si>
    <t>670</t>
  </si>
  <si>
    <t>9.16438356</t>
  </si>
  <si>
    <t>671</t>
  </si>
  <si>
    <t>9.17808219</t>
  </si>
  <si>
    <t>672</t>
  </si>
  <si>
    <t>9.19178082</t>
  </si>
  <si>
    <t>673</t>
  </si>
  <si>
    <t>9.20547945</t>
  </si>
  <si>
    <t>674</t>
  </si>
  <si>
    <t>9.21917808</t>
  </si>
  <si>
    <t>675</t>
  </si>
  <si>
    <t>9.23287671</t>
  </si>
  <si>
    <t>676</t>
  </si>
  <si>
    <t>9.24657534</t>
  </si>
  <si>
    <t>677</t>
  </si>
  <si>
    <t>9.26027397</t>
  </si>
  <si>
    <t>678</t>
  </si>
  <si>
    <t>9.2739726</t>
  </si>
  <si>
    <t>679</t>
  </si>
  <si>
    <t>9.28767123</t>
  </si>
  <si>
    <t>680</t>
  </si>
  <si>
    <t>9.30136986</t>
  </si>
  <si>
    <t>681</t>
  </si>
  <si>
    <t>9.31506849</t>
  </si>
  <si>
    <t>682</t>
  </si>
  <si>
    <t>9.32876712</t>
  </si>
  <si>
    <t>683</t>
  </si>
  <si>
    <t>9.34246575</t>
  </si>
  <si>
    <t>684</t>
  </si>
  <si>
    <t>9.35616438</t>
  </si>
  <si>
    <t>685</t>
  </si>
  <si>
    <t>9.36986301</t>
  </si>
  <si>
    <t>686</t>
  </si>
  <si>
    <t>9.38356164</t>
  </si>
  <si>
    <t>687</t>
  </si>
  <si>
    <t>9.39726027</t>
  </si>
  <si>
    <t>688</t>
  </si>
  <si>
    <t>9.4109589</t>
  </si>
  <si>
    <t>689</t>
  </si>
  <si>
    <t>9.42465753</t>
  </si>
  <si>
    <t>690</t>
  </si>
  <si>
    <t>9.43835616</t>
  </si>
  <si>
    <t>691</t>
  </si>
  <si>
    <t>9.45205479</t>
  </si>
  <si>
    <t>692</t>
  </si>
  <si>
    <t>9.46575342</t>
  </si>
  <si>
    <t>693</t>
  </si>
  <si>
    <t>9.47945205</t>
  </si>
  <si>
    <t>694</t>
  </si>
  <si>
    <t>9.49315068</t>
  </si>
  <si>
    <t>695</t>
  </si>
  <si>
    <t>9.50684932</t>
  </si>
  <si>
    <t>696</t>
  </si>
  <si>
    <t>9.52054795</t>
  </si>
  <si>
    <t>697</t>
  </si>
  <si>
    <t>9.53424658</t>
  </si>
  <si>
    <t>698</t>
  </si>
  <si>
    <t>9.54794521</t>
  </si>
  <si>
    <t>699</t>
  </si>
  <si>
    <t>9.56164384</t>
  </si>
  <si>
    <t>700</t>
  </si>
  <si>
    <t>9.57534247</t>
  </si>
  <si>
    <t>701</t>
  </si>
  <si>
    <t>9.5890411</t>
  </si>
  <si>
    <t>702</t>
  </si>
  <si>
    <t>9.60273973</t>
  </si>
  <si>
    <t>703</t>
  </si>
  <si>
    <t>9.61643836</t>
  </si>
  <si>
    <t>704</t>
  </si>
  <si>
    <t>9.63013699</t>
  </si>
  <si>
    <t>705</t>
  </si>
  <si>
    <t>9.64383562</t>
  </si>
  <si>
    <t>706</t>
  </si>
  <si>
    <t>9.65753425</t>
  </si>
  <si>
    <t>707</t>
  </si>
  <si>
    <t>9.67123288</t>
  </si>
  <si>
    <t>708</t>
  </si>
  <si>
    <t>9.68493151</t>
  </si>
  <si>
    <t>709</t>
  </si>
  <si>
    <t>9.69863014</t>
  </si>
  <si>
    <t>710</t>
  </si>
  <si>
    <t>9.71232877</t>
  </si>
  <si>
    <t>711</t>
  </si>
  <si>
    <t>9.7260274</t>
  </si>
  <si>
    <t>712</t>
  </si>
  <si>
    <t>9.73972603</t>
  </si>
  <si>
    <t>713</t>
  </si>
  <si>
    <t>9.75342466</t>
  </si>
  <si>
    <t>714</t>
  </si>
  <si>
    <t>9.76712329</t>
  </si>
  <si>
    <t>715</t>
  </si>
  <si>
    <t>9.78082192</t>
  </si>
  <si>
    <t>716</t>
  </si>
  <si>
    <t>9.79452055</t>
  </si>
  <si>
    <t>717</t>
  </si>
  <si>
    <t>9.80821918</t>
  </si>
  <si>
    <t>718</t>
  </si>
  <si>
    <t>9.82191781</t>
  </si>
  <si>
    <t>719</t>
  </si>
  <si>
    <t>9.83561644</t>
  </si>
  <si>
    <t>720</t>
  </si>
  <si>
    <t>9.84931507</t>
  </si>
  <si>
    <t>721</t>
  </si>
  <si>
    <t>9.8630137</t>
  </si>
  <si>
    <t>722</t>
  </si>
  <si>
    <t>9.87671233</t>
  </si>
  <si>
    <t>723</t>
  </si>
  <si>
    <t>9.89041096</t>
  </si>
  <si>
    <t>724</t>
  </si>
  <si>
    <t>9.90410959</t>
  </si>
  <si>
    <t>725</t>
  </si>
  <si>
    <t>9.91780822</t>
  </si>
  <si>
    <t>726</t>
  </si>
  <si>
    <t>9.93150685</t>
  </si>
  <si>
    <t>727</t>
  </si>
  <si>
    <t>9.94520548</t>
  </si>
  <si>
    <t>728</t>
  </si>
  <si>
    <t>9.95890411</t>
  </si>
  <si>
    <t>729</t>
  </si>
  <si>
    <t>9.97260274</t>
  </si>
  <si>
    <t>730</t>
  </si>
  <si>
    <t>9.98630137</t>
  </si>
  <si>
    <t>731</t>
  </si>
  <si>
    <t>10.0</t>
  </si>
  <si>
    <t>732</t>
  </si>
  <si>
    <t>10.01369863</t>
  </si>
  <si>
    <t>733</t>
  </si>
  <si>
    <t>10.02739726</t>
  </si>
  <si>
    <t>734</t>
  </si>
  <si>
    <t>10.04109589</t>
  </si>
  <si>
    <t>735</t>
  </si>
  <si>
    <t>10.05479452</t>
  </si>
  <si>
    <t>736</t>
  </si>
  <si>
    <t>10.06849315</t>
  </si>
  <si>
    <t>737</t>
  </si>
  <si>
    <t>10.08219178</t>
  </si>
  <si>
    <t>738</t>
  </si>
  <si>
    <t>10.09589041</t>
  </si>
  <si>
    <t>739</t>
  </si>
  <si>
    <t>10.10958904</t>
  </si>
  <si>
    <t>740</t>
  </si>
  <si>
    <t>10.12328767</t>
  </si>
  <si>
    <t>741</t>
  </si>
  <si>
    <t>10.1369863</t>
  </si>
  <si>
    <t>742</t>
  </si>
  <si>
    <t>10.15068493</t>
  </si>
  <si>
    <t>743</t>
  </si>
  <si>
    <t>10.16438356</t>
  </si>
  <si>
    <t>744</t>
  </si>
  <si>
    <t>10.17808219</t>
  </si>
  <si>
    <t>745</t>
  </si>
  <si>
    <t>10.19178082</t>
  </si>
  <si>
    <t>746</t>
  </si>
  <si>
    <t>10.20547945</t>
  </si>
  <si>
    <t>747</t>
  </si>
  <si>
    <t>10.21917808</t>
  </si>
  <si>
    <t>748</t>
  </si>
  <si>
    <t>10.23287671</t>
  </si>
  <si>
    <t>749</t>
  </si>
  <si>
    <t>10.24657534</t>
  </si>
  <si>
    <t>750</t>
  </si>
  <si>
    <t>10.26027397</t>
  </si>
  <si>
    <t>751</t>
  </si>
  <si>
    <t>10.2739726</t>
  </si>
  <si>
    <t>752</t>
  </si>
  <si>
    <t>10.28767123</t>
  </si>
  <si>
    <t>753</t>
  </si>
  <si>
    <t>10.30136986</t>
  </si>
  <si>
    <t>754</t>
  </si>
  <si>
    <t>10.31506849</t>
  </si>
  <si>
    <t>755</t>
  </si>
  <si>
    <t>10.32876712</t>
  </si>
  <si>
    <t>756</t>
  </si>
  <si>
    <t>10.34246575</t>
  </si>
  <si>
    <t>757</t>
  </si>
  <si>
    <t>10.35616438</t>
  </si>
  <si>
    <t>758</t>
  </si>
  <si>
    <t>10.36986301</t>
  </si>
  <si>
    <t>759</t>
  </si>
  <si>
    <t>10.38356164</t>
  </si>
  <si>
    <t>760</t>
  </si>
  <si>
    <t>10.39726027</t>
  </si>
  <si>
    <t>761</t>
  </si>
  <si>
    <t>10.4109589</t>
  </si>
  <si>
    <t>762</t>
  </si>
  <si>
    <t>10.42465753</t>
  </si>
  <si>
    <t>763</t>
  </si>
  <si>
    <t>10.43835616</t>
  </si>
  <si>
    <t>764</t>
  </si>
  <si>
    <t>10.45205479</t>
  </si>
  <si>
    <t>765</t>
  </si>
  <si>
    <t>10.46575342</t>
  </si>
  <si>
    <t>766</t>
  </si>
  <si>
    <t>10.47945205</t>
  </si>
  <si>
    <t>767</t>
  </si>
  <si>
    <t>10.49315068</t>
  </si>
  <si>
    <t>768</t>
  </si>
  <si>
    <t>10.50684932</t>
  </si>
  <si>
    <t>769</t>
  </si>
  <si>
    <t>10.52054795</t>
  </si>
  <si>
    <t>770</t>
  </si>
  <si>
    <t>10.53424658</t>
  </si>
  <si>
    <t>771</t>
  </si>
  <si>
    <t>10.54794521</t>
  </si>
  <si>
    <t>772</t>
  </si>
  <si>
    <t>10.56164384</t>
  </si>
  <si>
    <t>773</t>
  </si>
  <si>
    <t>10.57534247</t>
  </si>
  <si>
    <t>774</t>
  </si>
  <si>
    <t>10.5890411</t>
  </si>
  <si>
    <t>775</t>
  </si>
  <si>
    <t>10.60273973</t>
  </si>
  <si>
    <t>776</t>
  </si>
  <si>
    <t>10.61643836</t>
  </si>
  <si>
    <t>777</t>
  </si>
  <si>
    <t>10.63013699</t>
  </si>
  <si>
    <t>778</t>
  </si>
  <si>
    <t>10.64383562</t>
  </si>
  <si>
    <t>779</t>
  </si>
  <si>
    <t>10.65753425</t>
  </si>
  <si>
    <t>780</t>
  </si>
  <si>
    <t>10.67123288</t>
  </si>
  <si>
    <t>781</t>
  </si>
  <si>
    <t>10.68493151</t>
  </si>
  <si>
    <t>782</t>
  </si>
  <si>
    <t>10.69863014</t>
  </si>
  <si>
    <t>783</t>
  </si>
  <si>
    <t>10.71232877</t>
  </si>
  <si>
    <t>784</t>
  </si>
  <si>
    <t>10.7260274</t>
  </si>
  <si>
    <t>785</t>
  </si>
  <si>
    <t>10.73972603</t>
  </si>
  <si>
    <t>786</t>
  </si>
  <si>
    <t>10.75342466</t>
  </si>
  <si>
    <t>787</t>
  </si>
  <si>
    <t>10.76712329</t>
  </si>
  <si>
    <t>788</t>
  </si>
  <si>
    <t>10.78082192</t>
  </si>
  <si>
    <t>789</t>
  </si>
  <si>
    <t>10.79452055</t>
  </si>
  <si>
    <t>790</t>
  </si>
  <si>
    <t>10.80821918</t>
  </si>
  <si>
    <t>791</t>
  </si>
  <si>
    <t>10.82191781</t>
  </si>
  <si>
    <t>792</t>
  </si>
  <si>
    <t>10.83561644</t>
  </si>
  <si>
    <t>793</t>
  </si>
  <si>
    <t>10.84931507</t>
  </si>
  <si>
    <t>794</t>
  </si>
  <si>
    <t>10.8630137</t>
  </si>
  <si>
    <t>795</t>
  </si>
  <si>
    <t>10.87671233</t>
  </si>
  <si>
    <t>796</t>
  </si>
  <si>
    <t>10.89041096</t>
  </si>
  <si>
    <t>797</t>
  </si>
  <si>
    <t>10.90410959</t>
  </si>
  <si>
    <t>798</t>
  </si>
  <si>
    <t>10.91780822</t>
  </si>
  <si>
    <t>799</t>
  </si>
  <si>
    <t>10.93150685</t>
  </si>
  <si>
    <t>800</t>
  </si>
  <si>
    <t>10.94520548</t>
  </si>
  <si>
    <t>801</t>
  </si>
  <si>
    <t>10.95890411</t>
  </si>
  <si>
    <t>802</t>
  </si>
  <si>
    <t>10.97260274</t>
  </si>
  <si>
    <t>803</t>
  </si>
  <si>
    <t>10.98630137</t>
  </si>
  <si>
    <t>804</t>
  </si>
  <si>
    <t>11.0</t>
  </si>
  <si>
    <t>805</t>
  </si>
  <si>
    <t>11.01369863</t>
  </si>
  <si>
    <t>806</t>
  </si>
  <si>
    <t>11.02739726</t>
  </si>
  <si>
    <t>807</t>
  </si>
  <si>
    <t>11.04109589</t>
  </si>
  <si>
    <t>808</t>
  </si>
  <si>
    <t>11.05479452</t>
  </si>
  <si>
    <t>809</t>
  </si>
  <si>
    <t>11.06849315</t>
  </si>
  <si>
    <t>810</t>
  </si>
  <si>
    <t>11.08219178</t>
  </si>
  <si>
    <t>811</t>
  </si>
  <si>
    <t>11.09589041</t>
  </si>
  <si>
    <t>812</t>
  </si>
  <si>
    <t>11.10958904</t>
  </si>
  <si>
    <t>813</t>
  </si>
  <si>
    <t>11.12328767</t>
  </si>
  <si>
    <t>814</t>
  </si>
  <si>
    <t>11.1369863</t>
  </si>
  <si>
    <t>815</t>
  </si>
  <si>
    <t>11.15068493</t>
  </si>
  <si>
    <t>816</t>
  </si>
  <si>
    <t>11.16438356</t>
  </si>
  <si>
    <t>817</t>
  </si>
  <si>
    <t>11.17808219</t>
  </si>
  <si>
    <t>818</t>
  </si>
  <si>
    <t>11.19178082</t>
  </si>
  <si>
    <t>819</t>
  </si>
  <si>
    <t>11.20547945</t>
  </si>
  <si>
    <t>820</t>
  </si>
  <si>
    <t>11.21917808</t>
  </si>
  <si>
    <t>821</t>
  </si>
  <si>
    <t>11.23287671</t>
  </si>
  <si>
    <t>822</t>
  </si>
  <si>
    <t>11.24657534</t>
  </si>
  <si>
    <t>823</t>
  </si>
  <si>
    <t>11.26027397</t>
  </si>
  <si>
    <t>824</t>
  </si>
  <si>
    <t>11.2739726</t>
  </si>
  <si>
    <t>825</t>
  </si>
  <si>
    <t>11.28767123</t>
  </si>
  <si>
    <t>826</t>
  </si>
  <si>
    <t>11.30136986</t>
  </si>
  <si>
    <t>827</t>
  </si>
  <si>
    <t>11.31506849</t>
  </si>
  <si>
    <t>828</t>
  </si>
  <si>
    <t>11.32876712</t>
  </si>
  <si>
    <t>829</t>
  </si>
  <si>
    <t>11.34246575</t>
  </si>
  <si>
    <t>830</t>
  </si>
  <si>
    <t>11.35616438</t>
  </si>
  <si>
    <t>831</t>
  </si>
  <si>
    <t>11.36986301</t>
  </si>
  <si>
    <t>832</t>
  </si>
  <si>
    <t>11.38356164</t>
  </si>
  <si>
    <t>833</t>
  </si>
  <si>
    <t>11.39726027</t>
  </si>
  <si>
    <t>834</t>
  </si>
  <si>
    <t>11.4109589</t>
  </si>
  <si>
    <t>835</t>
  </si>
  <si>
    <t>11.42465753</t>
  </si>
  <si>
    <t>836</t>
  </si>
  <si>
    <t>11.43835616</t>
  </si>
  <si>
    <t>837</t>
  </si>
  <si>
    <t>11.45205479</t>
  </si>
  <si>
    <t>838</t>
  </si>
  <si>
    <t>11.46575342</t>
  </si>
  <si>
    <t>839</t>
  </si>
  <si>
    <t>11.47945205</t>
  </si>
  <si>
    <t>840</t>
  </si>
  <si>
    <t>11.49315068</t>
  </si>
  <si>
    <t>841</t>
  </si>
  <si>
    <t>11.50684932</t>
  </si>
  <si>
    <t>842</t>
  </si>
  <si>
    <t>11.52054795</t>
  </si>
  <si>
    <t>843</t>
  </si>
  <si>
    <t>11.53424658</t>
  </si>
  <si>
    <t>844</t>
  </si>
  <si>
    <t>11.54794521</t>
  </si>
  <si>
    <t>845</t>
  </si>
  <si>
    <t>11.56164384</t>
  </si>
  <si>
    <t>846</t>
  </si>
  <si>
    <t>11.57534247</t>
  </si>
  <si>
    <t>847</t>
  </si>
  <si>
    <t>11.5890411</t>
  </si>
  <si>
    <t>848</t>
  </si>
  <si>
    <t>11.60273973</t>
  </si>
  <si>
    <t>849</t>
  </si>
  <si>
    <t>11.61643836</t>
  </si>
  <si>
    <t>850</t>
  </si>
  <si>
    <t>11.63013699</t>
  </si>
  <si>
    <t>851</t>
  </si>
  <si>
    <t>11.64383562</t>
  </si>
  <si>
    <t>852</t>
  </si>
  <si>
    <t>11.65753425</t>
  </si>
  <si>
    <t>853</t>
  </si>
  <si>
    <t>11.67123288</t>
  </si>
  <si>
    <t>854</t>
  </si>
  <si>
    <t>11.68493151</t>
  </si>
  <si>
    <t>855</t>
  </si>
  <si>
    <t>11.69863014</t>
  </si>
  <si>
    <t>856</t>
  </si>
  <si>
    <t>11.71232877</t>
  </si>
  <si>
    <t>857</t>
  </si>
  <si>
    <t>11.7260274</t>
  </si>
  <si>
    <t>858</t>
  </si>
  <si>
    <t>11.73972603</t>
  </si>
  <si>
    <t>859</t>
  </si>
  <si>
    <t>11.75342466</t>
  </si>
  <si>
    <t>860</t>
  </si>
  <si>
    <t>11.76712329</t>
  </si>
  <si>
    <t>861</t>
  </si>
  <si>
    <t>11.78082192</t>
  </si>
  <si>
    <t>862</t>
  </si>
  <si>
    <t>11.79452055</t>
  </si>
  <si>
    <t>863</t>
  </si>
  <si>
    <t>11.80821918</t>
  </si>
  <si>
    <t>864</t>
  </si>
  <si>
    <t>11.82191781</t>
  </si>
  <si>
    <t>865</t>
  </si>
  <si>
    <t>11.83561644</t>
  </si>
  <si>
    <t>866</t>
  </si>
  <si>
    <t>11.84931507</t>
  </si>
  <si>
    <t>867</t>
  </si>
  <si>
    <t>11.8630137</t>
  </si>
  <si>
    <t>868</t>
  </si>
  <si>
    <t>11.87671233</t>
  </si>
  <si>
    <t>869</t>
  </si>
  <si>
    <t>11.89041096</t>
  </si>
  <si>
    <t>870</t>
  </si>
  <si>
    <t>11.90410959</t>
  </si>
  <si>
    <t>871</t>
  </si>
  <si>
    <t>11.91780822</t>
  </si>
  <si>
    <t>872</t>
  </si>
  <si>
    <t>11.93150685</t>
  </si>
  <si>
    <t>873</t>
  </si>
  <si>
    <t>11.94520548</t>
  </si>
  <si>
    <t>874</t>
  </si>
  <si>
    <t>11.95890411</t>
  </si>
  <si>
    <t>875</t>
  </si>
  <si>
    <t>11.97260274</t>
  </si>
  <si>
    <t>876</t>
  </si>
  <si>
    <t>11.98630137</t>
  </si>
  <si>
    <t>877</t>
  </si>
  <si>
    <t>12.0</t>
  </si>
  <si>
    <t>878</t>
  </si>
  <si>
    <t>12.01369863</t>
  </si>
  <si>
    <t>879</t>
  </si>
  <si>
    <t>12.02739726</t>
  </si>
  <si>
    <t>880</t>
  </si>
  <si>
    <t>12.04109589</t>
  </si>
  <si>
    <t>881</t>
  </si>
  <si>
    <t>12.05479452</t>
  </si>
  <si>
    <t>882</t>
  </si>
  <si>
    <t>12.06849315</t>
  </si>
  <si>
    <t>883</t>
  </si>
  <si>
    <t>12.08219178</t>
  </si>
  <si>
    <t>884</t>
  </si>
  <si>
    <t>12.09589041</t>
  </si>
  <si>
    <t>885</t>
  </si>
  <si>
    <t>12.10958904</t>
  </si>
  <si>
    <t>886</t>
  </si>
  <si>
    <t>12.12328767</t>
  </si>
  <si>
    <t>887</t>
  </si>
  <si>
    <t>12.1369863</t>
  </si>
  <si>
    <t>888</t>
  </si>
  <si>
    <t>12.15068493</t>
  </si>
  <si>
    <t>889</t>
  </si>
  <si>
    <t>12.16438356</t>
  </si>
  <si>
    <t>890</t>
  </si>
  <si>
    <t>12.17808219</t>
  </si>
  <si>
    <t>891</t>
  </si>
  <si>
    <t>12.19178082</t>
  </si>
  <si>
    <t>892</t>
  </si>
  <si>
    <t>12.20547945</t>
  </si>
  <si>
    <t>893</t>
  </si>
  <si>
    <t>12.21917808</t>
  </si>
  <si>
    <t>894</t>
  </si>
  <si>
    <t>12.23287671</t>
  </si>
  <si>
    <t>895</t>
  </si>
  <si>
    <t>12.24657534</t>
  </si>
  <si>
    <t>896</t>
  </si>
  <si>
    <t>12.26027397</t>
  </si>
  <si>
    <t>897</t>
  </si>
  <si>
    <t>12.2739726</t>
  </si>
  <si>
    <t>898</t>
  </si>
  <si>
    <t>12.28767123</t>
  </si>
  <si>
    <t>899</t>
  </si>
  <si>
    <t>12.30136986</t>
  </si>
  <si>
    <t>900</t>
  </si>
  <si>
    <t>12.31506849</t>
  </si>
  <si>
    <t>901</t>
  </si>
  <si>
    <t>12.32876712</t>
  </si>
  <si>
    <t>902</t>
  </si>
  <si>
    <t>12.34246575</t>
  </si>
  <si>
    <t>903</t>
  </si>
  <si>
    <t>12.35616438</t>
  </si>
  <si>
    <t>904</t>
  </si>
  <si>
    <t>12.36986301</t>
  </si>
  <si>
    <t>905</t>
  </si>
  <si>
    <t>12.38356164</t>
  </si>
  <si>
    <t>906</t>
  </si>
  <si>
    <t>12.39726027</t>
  </si>
  <si>
    <t>907</t>
  </si>
  <si>
    <t>12.4109589</t>
  </si>
  <si>
    <t>908</t>
  </si>
  <si>
    <t>12.42465753</t>
  </si>
  <si>
    <t>909</t>
  </si>
  <si>
    <t>12.43835616</t>
  </si>
  <si>
    <t>910</t>
  </si>
  <si>
    <t>12.45205479</t>
  </si>
  <si>
    <t>911</t>
  </si>
  <si>
    <t>12.46575342</t>
  </si>
  <si>
    <t>912</t>
  </si>
  <si>
    <t>12.47945205</t>
  </si>
  <si>
    <t>913</t>
  </si>
  <si>
    <t>12.49315068</t>
  </si>
  <si>
    <t>914</t>
  </si>
  <si>
    <t>12.50684932</t>
  </si>
  <si>
    <t>915</t>
  </si>
  <si>
    <t>12.52054795</t>
  </si>
  <si>
    <t>916</t>
  </si>
  <si>
    <t>12.53424658</t>
  </si>
  <si>
    <t>917</t>
  </si>
  <si>
    <t>12.54794521</t>
  </si>
  <si>
    <t>918</t>
  </si>
  <si>
    <t>12.56164384</t>
  </si>
  <si>
    <t>919</t>
  </si>
  <si>
    <t>12.57534247</t>
  </si>
  <si>
    <t>920</t>
  </si>
  <si>
    <t>12.5890411</t>
  </si>
  <si>
    <t>921</t>
  </si>
  <si>
    <t>12.60273973</t>
  </si>
  <si>
    <t>922</t>
  </si>
  <si>
    <t>12.61643836</t>
  </si>
  <si>
    <t>923</t>
  </si>
  <si>
    <t>12.63013699</t>
  </si>
  <si>
    <t>924</t>
  </si>
  <si>
    <t>12.64383562</t>
  </si>
  <si>
    <t>925</t>
  </si>
  <si>
    <t>12.65753425</t>
  </si>
  <si>
    <t>926</t>
  </si>
  <si>
    <t>12.67123288</t>
  </si>
  <si>
    <t>927</t>
  </si>
  <si>
    <t>12.68493151</t>
  </si>
  <si>
    <t>928</t>
  </si>
  <si>
    <t>12.69863014</t>
  </si>
  <si>
    <t>929</t>
  </si>
  <si>
    <t>12.71232877</t>
  </si>
  <si>
    <t>930</t>
  </si>
  <si>
    <t>12.7260274</t>
  </si>
  <si>
    <t>931</t>
  </si>
  <si>
    <t>12.73972603</t>
  </si>
  <si>
    <t>932</t>
  </si>
  <si>
    <t>12.75342466</t>
  </si>
  <si>
    <t>933</t>
  </si>
  <si>
    <t>12.76712329</t>
  </si>
  <si>
    <t>934</t>
  </si>
  <si>
    <t>12.78082192</t>
  </si>
  <si>
    <t>935</t>
  </si>
  <si>
    <t>12.79452055</t>
  </si>
  <si>
    <t>936</t>
  </si>
  <si>
    <t>12.80821918</t>
  </si>
  <si>
    <t>937</t>
  </si>
  <si>
    <t>12.82191781</t>
  </si>
  <si>
    <t>938</t>
  </si>
  <si>
    <t>12.83561644</t>
  </si>
  <si>
    <t>939</t>
  </si>
  <si>
    <t>12.84931507</t>
  </si>
  <si>
    <t>940</t>
  </si>
  <si>
    <t>12.8630137</t>
  </si>
  <si>
    <t>941</t>
  </si>
  <si>
    <t>12.87671233</t>
  </si>
  <si>
    <t>942</t>
  </si>
  <si>
    <t>12.89041096</t>
  </si>
  <si>
    <t>943</t>
  </si>
  <si>
    <t>12.90410959</t>
  </si>
  <si>
    <t>944</t>
  </si>
  <si>
    <t>12.91780822</t>
  </si>
  <si>
    <t>945</t>
  </si>
  <si>
    <t>12.93150685</t>
  </si>
  <si>
    <t>946</t>
  </si>
  <si>
    <t>12.94520548</t>
  </si>
  <si>
    <t>947</t>
  </si>
  <si>
    <t>12.95890411</t>
  </si>
  <si>
    <t>948</t>
  </si>
  <si>
    <t>12.97260274</t>
  </si>
  <si>
    <t>949</t>
  </si>
  <si>
    <t>12.98630137</t>
  </si>
  <si>
    <t>950</t>
  </si>
  <si>
    <t>13.0</t>
  </si>
  <si>
    <t>951</t>
  </si>
  <si>
    <t>13.01369863</t>
  </si>
  <si>
    <t>952</t>
  </si>
  <si>
    <t>13.02739726</t>
  </si>
  <si>
    <t>953</t>
  </si>
  <si>
    <t>13.04109589</t>
  </si>
  <si>
    <t>954</t>
  </si>
  <si>
    <t>13.05479452</t>
  </si>
  <si>
    <t>955</t>
  </si>
  <si>
    <t>13.06849315</t>
  </si>
  <si>
    <t>956</t>
  </si>
  <si>
    <t>13.08219178</t>
  </si>
  <si>
    <t>957</t>
  </si>
  <si>
    <t>13.09589041</t>
  </si>
  <si>
    <t>958</t>
  </si>
  <si>
    <t>13.10958904</t>
  </si>
  <si>
    <t>959</t>
  </si>
  <si>
    <t>13.12328767</t>
  </si>
  <si>
    <t>960</t>
  </si>
  <si>
    <t>13.1369863</t>
  </si>
  <si>
    <t>961</t>
  </si>
  <si>
    <t>13.15068493</t>
  </si>
  <si>
    <t>962</t>
  </si>
  <si>
    <t>13.16438356</t>
  </si>
  <si>
    <t>963</t>
  </si>
  <si>
    <t>13.17808219</t>
  </si>
  <si>
    <t>964</t>
  </si>
  <si>
    <t>13.19178082</t>
  </si>
  <si>
    <t>965</t>
  </si>
  <si>
    <t>13.20547945</t>
  </si>
  <si>
    <t>966</t>
  </si>
  <si>
    <t>13.21917808</t>
  </si>
  <si>
    <t>967</t>
  </si>
  <si>
    <t>13.23287671</t>
  </si>
  <si>
    <t>968</t>
  </si>
  <si>
    <t>13.24657534</t>
  </si>
  <si>
    <t>969</t>
  </si>
  <si>
    <t>13.26027397</t>
  </si>
  <si>
    <t>970</t>
  </si>
  <si>
    <t>13.2739726</t>
  </si>
  <si>
    <t>971</t>
  </si>
  <si>
    <t>13.28767123</t>
  </si>
  <si>
    <t>972</t>
  </si>
  <si>
    <t>13.30136986</t>
  </si>
  <si>
    <t>973</t>
  </si>
  <si>
    <t>13.31506849</t>
  </si>
  <si>
    <t>974</t>
  </si>
  <si>
    <t>13.32876712</t>
  </si>
  <si>
    <t>975</t>
  </si>
  <si>
    <t>13.34246575</t>
  </si>
  <si>
    <t>976</t>
  </si>
  <si>
    <t>13.35616438</t>
  </si>
  <si>
    <t>977</t>
  </si>
  <si>
    <t>13.36986301</t>
  </si>
  <si>
    <t>978</t>
  </si>
  <si>
    <t>13.38356164</t>
  </si>
  <si>
    <t>979</t>
  </si>
  <si>
    <t>13.39726027</t>
  </si>
  <si>
    <t>980</t>
  </si>
  <si>
    <t>13.4109589</t>
  </si>
  <si>
    <t>981</t>
  </si>
  <si>
    <t>13.42465753</t>
  </si>
  <si>
    <t>982</t>
  </si>
  <si>
    <t>13.43835616</t>
  </si>
  <si>
    <t>983</t>
  </si>
  <si>
    <t>13.45205479</t>
  </si>
  <si>
    <t>984</t>
  </si>
  <si>
    <t>13.46575342</t>
  </si>
  <si>
    <t>985</t>
  </si>
  <si>
    <t>13.47945205</t>
  </si>
  <si>
    <t>986</t>
  </si>
  <si>
    <t>13.49315068</t>
  </si>
  <si>
    <t>987</t>
  </si>
  <si>
    <t>13.50684932</t>
  </si>
  <si>
    <t>988</t>
  </si>
  <si>
    <t>13.52054795</t>
  </si>
  <si>
    <t>989</t>
  </si>
  <si>
    <t>13.53424658</t>
  </si>
  <si>
    <t>990</t>
  </si>
  <si>
    <t>13.54794521</t>
  </si>
  <si>
    <t>991</t>
  </si>
  <si>
    <t>13.56164384</t>
  </si>
  <si>
    <t>992</t>
  </si>
  <si>
    <t>13.57534247</t>
  </si>
  <si>
    <t>993</t>
  </si>
  <si>
    <t>13.5890411</t>
  </si>
  <si>
    <t>994</t>
  </si>
  <si>
    <t>13.60273973</t>
  </si>
  <si>
    <t>995</t>
  </si>
  <si>
    <t>13.61643836</t>
  </si>
  <si>
    <t>996</t>
  </si>
  <si>
    <t>13.63013699</t>
  </si>
  <si>
    <t>997</t>
  </si>
  <si>
    <t>13.64383562</t>
  </si>
  <si>
    <t>998</t>
  </si>
  <si>
    <t>13.65753425</t>
  </si>
  <si>
    <t>999</t>
  </si>
  <si>
    <t>13.67123288</t>
  </si>
  <si>
    <t>1000</t>
  </si>
  <si>
    <t>13.68493151</t>
  </si>
  <si>
    <t>1001</t>
  </si>
  <si>
    <t>13.69863014</t>
  </si>
  <si>
    <t>1002</t>
  </si>
  <si>
    <t>13.71232877</t>
  </si>
  <si>
    <t>1003</t>
  </si>
  <si>
    <t>13.7260274</t>
  </si>
  <si>
    <t>1004</t>
  </si>
  <si>
    <t>13.73972603</t>
  </si>
  <si>
    <t>1005</t>
  </si>
  <si>
    <t>13.75342466</t>
  </si>
  <si>
    <t>1006</t>
  </si>
  <si>
    <t>13.76712329</t>
  </si>
  <si>
    <t>1007</t>
  </si>
  <si>
    <t>13.78082192</t>
  </si>
  <si>
    <t>1008</t>
  </si>
  <si>
    <t>13.79452055</t>
  </si>
  <si>
    <t>1009</t>
  </si>
  <si>
    <t>13.80821918</t>
  </si>
  <si>
    <t>1010</t>
  </si>
  <si>
    <t>13.82191781</t>
  </si>
  <si>
    <t>1011</t>
  </si>
  <si>
    <t>13.83561644</t>
  </si>
  <si>
    <t>1012</t>
  </si>
  <si>
    <t>13.84931507</t>
  </si>
  <si>
    <t>1013</t>
  </si>
  <si>
    <t>13.8630137</t>
  </si>
  <si>
    <t>1014</t>
  </si>
  <si>
    <t>13.87671233</t>
  </si>
  <si>
    <t>1015</t>
  </si>
  <si>
    <t>13.89041096</t>
  </si>
  <si>
    <t>1016</t>
  </si>
  <si>
    <t>13.90410959</t>
  </si>
  <si>
    <t>1017</t>
  </si>
  <si>
    <t>13.91780822</t>
  </si>
  <si>
    <t>1018</t>
  </si>
  <si>
    <t>13.93150685</t>
  </si>
  <si>
    <t>1019</t>
  </si>
  <si>
    <t>13.94520548</t>
  </si>
  <si>
    <t>1020</t>
  </si>
  <si>
    <t>13.95890411</t>
  </si>
  <si>
    <t>1021</t>
  </si>
  <si>
    <t>13.97260274</t>
  </si>
  <si>
    <t>1022</t>
  </si>
  <si>
    <t>13.98630137</t>
  </si>
  <si>
    <t>1023</t>
  </si>
  <si>
    <t>14.0</t>
  </si>
  <si>
    <t>1024</t>
  </si>
  <si>
    <t>14.01369863</t>
  </si>
  <si>
    <t>1025</t>
  </si>
  <si>
    <t>14.02739726</t>
  </si>
  <si>
    <t>1026</t>
  </si>
  <si>
    <t>14.04109589</t>
  </si>
  <si>
    <t>1027</t>
  </si>
  <si>
    <t>14.05479452</t>
  </si>
  <si>
    <t>1028</t>
  </si>
  <si>
    <t>14.06849315</t>
  </si>
  <si>
    <t>1029</t>
  </si>
  <si>
    <t>14.08219178</t>
  </si>
  <si>
    <t>1030</t>
  </si>
  <si>
    <t>14.09589041</t>
  </si>
  <si>
    <t>1031</t>
  </si>
  <si>
    <t>14.10958904</t>
  </si>
  <si>
    <t>1032</t>
  </si>
  <si>
    <t>14.12328767</t>
  </si>
  <si>
    <t>1033</t>
  </si>
  <si>
    <t>14.1369863</t>
  </si>
  <si>
    <t>1034</t>
  </si>
  <si>
    <t>14.15068493</t>
  </si>
  <si>
    <t>1035</t>
  </si>
  <si>
    <t>14.16438356</t>
  </si>
  <si>
    <t>1036</t>
  </si>
  <si>
    <t>14.17808219</t>
  </si>
  <si>
    <t>1037</t>
  </si>
  <si>
    <t>14.19178082</t>
  </si>
  <si>
    <t>1038</t>
  </si>
  <si>
    <t>14.20547945</t>
  </si>
  <si>
    <t>1039</t>
  </si>
  <si>
    <t>14.21917808</t>
  </si>
  <si>
    <t>1040</t>
  </si>
  <si>
    <t>14.23287671</t>
  </si>
  <si>
    <t>1041</t>
  </si>
  <si>
    <t>14.24657534</t>
  </si>
  <si>
    <t>1042</t>
  </si>
  <si>
    <t>14.26027397</t>
  </si>
  <si>
    <t>1043</t>
  </si>
  <si>
    <t>14.2739726</t>
  </si>
  <si>
    <t>1044</t>
  </si>
  <si>
    <t>14.28767123</t>
  </si>
  <si>
    <t>1045</t>
  </si>
  <si>
    <t>14.30136986</t>
  </si>
  <si>
    <t>1046</t>
  </si>
  <si>
    <t>14.31506849</t>
  </si>
  <si>
    <t>1047</t>
  </si>
  <si>
    <t>14.32876712</t>
  </si>
  <si>
    <t>1048</t>
  </si>
  <si>
    <t>14.34246575</t>
  </si>
  <si>
    <t>1049</t>
  </si>
  <si>
    <t>14.35616438</t>
  </si>
  <si>
    <t>1050</t>
  </si>
  <si>
    <t>14.36986301</t>
  </si>
  <si>
    <t>1051</t>
  </si>
  <si>
    <t>14.38356164</t>
  </si>
  <si>
    <t>1052</t>
  </si>
  <si>
    <t>14.39726027</t>
  </si>
  <si>
    <t>1053</t>
  </si>
  <si>
    <t>14.4109589</t>
  </si>
  <si>
    <t>1054</t>
  </si>
  <si>
    <t>14.42465753</t>
  </si>
  <si>
    <t>1055</t>
  </si>
  <si>
    <t>14.43835616</t>
  </si>
  <si>
    <t>1056</t>
  </si>
  <si>
    <t>14.45205479</t>
  </si>
  <si>
    <t>1057</t>
  </si>
  <si>
    <t>14.46575342</t>
  </si>
  <si>
    <t>1058</t>
  </si>
  <si>
    <t>14.47945205</t>
  </si>
  <si>
    <t>1059</t>
  </si>
  <si>
    <t>14.49315068</t>
  </si>
  <si>
    <t>1060</t>
  </si>
  <si>
    <t>14.50684932</t>
  </si>
  <si>
    <t>1061</t>
  </si>
  <si>
    <t>14.52054795</t>
  </si>
  <si>
    <t>1062</t>
  </si>
  <si>
    <t>14.53424658</t>
  </si>
  <si>
    <t>1063</t>
  </si>
  <si>
    <t>14.54794521</t>
  </si>
  <si>
    <t>1064</t>
  </si>
  <si>
    <t>14.56164384</t>
  </si>
  <si>
    <t>1065</t>
  </si>
  <si>
    <t>14.57534247</t>
  </si>
  <si>
    <t>1066</t>
  </si>
  <si>
    <t>14.5890411</t>
  </si>
  <si>
    <t>1067</t>
  </si>
  <si>
    <t>14.60273973</t>
  </si>
  <si>
    <t>1068</t>
  </si>
  <si>
    <t>14.61643836</t>
  </si>
  <si>
    <t>1069</t>
  </si>
  <si>
    <t>14.63013699</t>
  </si>
  <si>
    <t>1070</t>
  </si>
  <si>
    <t>14.64383562</t>
  </si>
  <si>
    <t>1071</t>
  </si>
  <si>
    <t>14.65753425</t>
  </si>
  <si>
    <t>1072</t>
  </si>
  <si>
    <t>14.67123288</t>
  </si>
  <si>
    <t>1073</t>
  </si>
  <si>
    <t>14.68493151</t>
  </si>
  <si>
    <t>1074</t>
  </si>
  <si>
    <t>14.69863014</t>
  </si>
  <si>
    <t>1075</t>
  </si>
  <si>
    <t>14.71232877</t>
  </si>
  <si>
    <t>1076</t>
  </si>
  <si>
    <t>14.7260274</t>
  </si>
  <si>
    <t>1077</t>
  </si>
  <si>
    <t>14.73972603</t>
  </si>
  <si>
    <t>1078</t>
  </si>
  <si>
    <t>14.75342466</t>
  </si>
  <si>
    <t>1079</t>
  </si>
  <si>
    <t>14.76712329</t>
  </si>
  <si>
    <t>1080</t>
  </si>
  <si>
    <t>14.78082192</t>
  </si>
  <si>
    <t>1081</t>
  </si>
  <si>
    <t>14.79452055</t>
  </si>
  <si>
    <t>1082</t>
  </si>
  <si>
    <t>14.80821918</t>
  </si>
  <si>
    <t>1083</t>
  </si>
  <si>
    <t>14.82191781</t>
  </si>
  <si>
    <t>1084</t>
  </si>
  <si>
    <t>14.83561644</t>
  </si>
  <si>
    <t>1085</t>
  </si>
  <si>
    <t>14.84931507</t>
  </si>
  <si>
    <t>1086</t>
  </si>
  <si>
    <t>14.8630137</t>
  </si>
  <si>
    <t>1087</t>
  </si>
  <si>
    <t>14.87671233</t>
  </si>
  <si>
    <t>1088</t>
  </si>
  <si>
    <t>14.89041096</t>
  </si>
  <si>
    <t>1089</t>
  </si>
  <si>
    <t>14.90410959</t>
  </si>
  <si>
    <t>1090</t>
  </si>
  <si>
    <t>14.91780822</t>
  </si>
  <si>
    <t>1091</t>
  </si>
  <si>
    <t>14.93150685</t>
  </si>
  <si>
    <t>1092</t>
  </si>
  <si>
    <t>14.94520548</t>
  </si>
  <si>
    <t>1093</t>
  </si>
  <si>
    <t>14.95890411</t>
  </si>
  <si>
    <t>1094</t>
  </si>
  <si>
    <t>14.97260274</t>
  </si>
  <si>
    <t>1095</t>
  </si>
  <si>
    <t>14.98630137</t>
  </si>
  <si>
    <t>1096</t>
  </si>
  <si>
    <t>15.0</t>
  </si>
  <si>
    <t>1097</t>
  </si>
  <si>
    <t>15.01369863</t>
  </si>
  <si>
    <t>1098</t>
  </si>
  <si>
    <t>15.02739726</t>
  </si>
  <si>
    <t>1099</t>
  </si>
  <si>
    <t>15.04109589</t>
  </si>
  <si>
    <t>1100</t>
  </si>
  <si>
    <t>15.05479452</t>
  </si>
  <si>
    <t>1101</t>
  </si>
  <si>
    <t>15.06849315</t>
  </si>
  <si>
    <t>1102</t>
  </si>
  <si>
    <t>15.08219178</t>
  </si>
  <si>
    <t>1103</t>
  </si>
  <si>
    <t>15.09589041</t>
  </si>
  <si>
    <t>1104</t>
  </si>
  <si>
    <t>15.10958904</t>
  </si>
  <si>
    <t>1105</t>
  </si>
  <si>
    <t>15.12328767</t>
  </si>
  <si>
    <t>1106</t>
  </si>
  <si>
    <t>15.1369863</t>
  </si>
  <si>
    <t>1107</t>
  </si>
  <si>
    <t>15.15068493</t>
  </si>
  <si>
    <t>1108</t>
  </si>
  <si>
    <t>15.16438356</t>
  </si>
  <si>
    <t>1109</t>
  </si>
  <si>
    <t>15.17808219</t>
  </si>
  <si>
    <t>1110</t>
  </si>
  <si>
    <t>15.19178082</t>
  </si>
  <si>
    <t>1111</t>
  </si>
  <si>
    <t>15.20547945</t>
  </si>
  <si>
    <t>1112</t>
  </si>
  <si>
    <t>15.21917808</t>
  </si>
  <si>
    <t>1113</t>
  </si>
  <si>
    <t>15.23287671</t>
  </si>
  <si>
    <t>1114</t>
  </si>
  <si>
    <t>15.24657534</t>
  </si>
  <si>
    <t>1115</t>
  </si>
  <si>
    <t>15.26027397</t>
  </si>
  <si>
    <t>1116</t>
  </si>
  <si>
    <t>15.2739726</t>
  </si>
  <si>
    <t>1117</t>
  </si>
  <si>
    <t>15.28767123</t>
  </si>
  <si>
    <t>1118</t>
  </si>
  <si>
    <t>15.30136986</t>
  </si>
  <si>
    <t>1119</t>
  </si>
  <si>
    <t>15.31506849</t>
  </si>
  <si>
    <t>1120</t>
  </si>
  <si>
    <t>15.32876712</t>
  </si>
  <si>
    <t>1121</t>
  </si>
  <si>
    <t>15.34246575</t>
  </si>
  <si>
    <t>1122</t>
  </si>
  <si>
    <t>15.35616438</t>
  </si>
  <si>
    <t>1123</t>
  </si>
  <si>
    <t>15.36986301</t>
  </si>
  <si>
    <t>1124</t>
  </si>
  <si>
    <t>15.38356164</t>
  </si>
  <si>
    <t>1125</t>
  </si>
  <si>
    <t>15.39726027</t>
  </si>
  <si>
    <t>1126</t>
  </si>
  <si>
    <t>15.4109589</t>
  </si>
  <si>
    <t>1127</t>
  </si>
  <si>
    <t>15.42465753</t>
  </si>
  <si>
    <t>1128</t>
  </si>
  <si>
    <t>15.43835616</t>
  </si>
  <si>
    <t>1129</t>
  </si>
  <si>
    <t>15.45205479</t>
  </si>
  <si>
    <t>1130</t>
  </si>
  <si>
    <t>15.46575342</t>
  </si>
  <si>
    <t>1131</t>
  </si>
  <si>
    <t>15.47945205</t>
  </si>
  <si>
    <t>1132</t>
  </si>
  <si>
    <t>15.49315068</t>
  </si>
  <si>
    <t>1133</t>
  </si>
  <si>
    <t>15.50684932</t>
  </si>
  <si>
    <t>1134</t>
  </si>
  <si>
    <t>15.52054795</t>
  </si>
  <si>
    <t>1135</t>
  </si>
  <si>
    <t>15.53424658</t>
  </si>
  <si>
    <t>1136</t>
  </si>
  <si>
    <t>15.54794521</t>
  </si>
  <si>
    <t>1137</t>
  </si>
  <si>
    <t>15.56164384</t>
  </si>
  <si>
    <t>1138</t>
  </si>
  <si>
    <t>15.57534247</t>
  </si>
  <si>
    <t>1139</t>
  </si>
  <si>
    <t>15.5890411</t>
  </si>
  <si>
    <t>1140</t>
  </si>
  <si>
    <t>15.60273973</t>
  </si>
  <si>
    <t>1141</t>
  </si>
  <si>
    <t>15.61643836</t>
  </si>
  <si>
    <t>1142</t>
  </si>
  <si>
    <t>15.63013699</t>
  </si>
  <si>
    <t>1143</t>
  </si>
  <si>
    <t>15.64383562</t>
  </si>
  <si>
    <t>1144</t>
  </si>
  <si>
    <t>15.65753425</t>
  </si>
  <si>
    <t>1145</t>
  </si>
  <si>
    <t>15.67123288</t>
  </si>
  <si>
    <t>1146</t>
  </si>
  <si>
    <t>15.68493151</t>
  </si>
  <si>
    <t>1147</t>
  </si>
  <si>
    <t>15.69863014</t>
  </si>
  <si>
    <t>1148</t>
  </si>
  <si>
    <t>15.71232877</t>
  </si>
  <si>
    <t>1149</t>
  </si>
  <si>
    <t>15.7260274</t>
  </si>
  <si>
    <t>1150</t>
  </si>
  <si>
    <t>15.73972603</t>
  </si>
  <si>
    <t>1151</t>
  </si>
  <si>
    <t>15.75342466</t>
  </si>
  <si>
    <t>1152</t>
  </si>
  <si>
    <t>15.76712329</t>
  </si>
  <si>
    <t>1153</t>
  </si>
  <si>
    <t>15.78082192</t>
  </si>
  <si>
    <t>1154</t>
  </si>
  <si>
    <t>15.79452055</t>
  </si>
  <si>
    <t>1155</t>
  </si>
  <si>
    <t>15.80821918</t>
  </si>
  <si>
    <t>1156</t>
  </si>
  <si>
    <t>15.82191781</t>
  </si>
  <si>
    <t>1157</t>
  </si>
  <si>
    <t>15.83561644</t>
  </si>
  <si>
    <t>1158</t>
  </si>
  <si>
    <t>15.84931507</t>
  </si>
  <si>
    <t>1159</t>
  </si>
  <si>
    <t>15.8630137</t>
  </si>
  <si>
    <t>1160</t>
  </si>
  <si>
    <t>15.87671233</t>
  </si>
  <si>
    <t>1161</t>
  </si>
  <si>
    <t>15.89041096</t>
  </si>
  <si>
    <t>1162</t>
  </si>
  <si>
    <t>15.90410959</t>
  </si>
  <si>
    <t>1163</t>
  </si>
  <si>
    <t>15.91780822</t>
  </si>
  <si>
    <t>1164</t>
  </si>
  <si>
    <t>15.93150685</t>
  </si>
  <si>
    <t>1165</t>
  </si>
  <si>
    <t>15.94520548</t>
  </si>
  <si>
    <t>1166</t>
  </si>
  <si>
    <t>15.95890411</t>
  </si>
  <si>
    <t>1167</t>
  </si>
  <si>
    <t>15.97260274</t>
  </si>
  <si>
    <t>1168</t>
  </si>
  <si>
    <t>15.98630137</t>
  </si>
  <si>
    <t>1169</t>
  </si>
  <si>
    <t>16.0</t>
  </si>
  <si>
    <t>1170</t>
  </si>
  <si>
    <t>16.01369863</t>
  </si>
  <si>
    <t>1171</t>
  </si>
  <si>
    <t>16.02739726</t>
  </si>
  <si>
    <t>1172</t>
  </si>
  <si>
    <t>16.04109589</t>
  </si>
  <si>
    <t>1173</t>
  </si>
  <si>
    <t>16.05479452</t>
  </si>
  <si>
    <t>1174</t>
  </si>
  <si>
    <t>16.06849315</t>
  </si>
  <si>
    <t>1175</t>
  </si>
  <si>
    <t>16.08219178</t>
  </si>
  <si>
    <t>1176</t>
  </si>
  <si>
    <t>16.09589041</t>
  </si>
  <si>
    <t>1177</t>
  </si>
  <si>
    <t>16.10958904</t>
  </si>
  <si>
    <t>1178</t>
  </si>
  <si>
    <t>16.12328767</t>
  </si>
  <si>
    <t>1179</t>
  </si>
  <si>
    <t>16.1369863</t>
  </si>
  <si>
    <t>1180</t>
  </si>
  <si>
    <t>16.15068493</t>
  </si>
  <si>
    <t>1181</t>
  </si>
  <si>
    <t>16.16438356</t>
  </si>
  <si>
    <t>1182</t>
  </si>
  <si>
    <t>16.17808219</t>
  </si>
  <si>
    <t>1183</t>
  </si>
  <si>
    <t>16.19178082</t>
  </si>
  <si>
    <t>1184</t>
  </si>
  <si>
    <t>16.20547945</t>
  </si>
  <si>
    <t>1185</t>
  </si>
  <si>
    <t>16.21917808</t>
  </si>
  <si>
    <t>1186</t>
  </si>
  <si>
    <t>16.23287671</t>
  </si>
  <si>
    <t>1187</t>
  </si>
  <si>
    <t>16.24657534</t>
  </si>
  <si>
    <t>1188</t>
  </si>
  <si>
    <t>16.26027397</t>
  </si>
  <si>
    <t>1189</t>
  </si>
  <si>
    <t>16.2739726</t>
  </si>
  <si>
    <t>1190</t>
  </si>
  <si>
    <t>16.28767123</t>
  </si>
  <si>
    <t>1191</t>
  </si>
  <si>
    <t>16.30136986</t>
  </si>
  <si>
    <t>1192</t>
  </si>
  <si>
    <t>16.31506849</t>
  </si>
  <si>
    <t>1193</t>
  </si>
  <si>
    <t>16.32876712</t>
  </si>
  <si>
    <t>1194</t>
  </si>
  <si>
    <t>16.34246575</t>
  </si>
  <si>
    <t>1195</t>
  </si>
  <si>
    <t>16.35616438</t>
  </si>
  <si>
    <t>1196</t>
  </si>
  <si>
    <t>16.36986301</t>
  </si>
  <si>
    <t>1197</t>
  </si>
  <si>
    <t>16.38356164</t>
  </si>
  <si>
    <t>1198</t>
  </si>
  <si>
    <t>16.39726027</t>
  </si>
  <si>
    <t>1199</t>
  </si>
  <si>
    <t>16.4109589</t>
  </si>
  <si>
    <t>1200</t>
  </si>
  <si>
    <t>16.42465753</t>
  </si>
  <si>
    <t>1201</t>
  </si>
  <si>
    <t>16.43835616</t>
  </si>
  <si>
    <t>1202</t>
  </si>
  <si>
    <t>16.45205479</t>
  </si>
  <si>
    <t>1203</t>
  </si>
  <si>
    <t>16.46575342</t>
  </si>
  <si>
    <t>1204</t>
  </si>
  <si>
    <t>16.47945205</t>
  </si>
  <si>
    <t>1205</t>
  </si>
  <si>
    <t>16.49315068</t>
  </si>
  <si>
    <t>1206</t>
  </si>
  <si>
    <t>16.50684932</t>
  </si>
  <si>
    <t>1207</t>
  </si>
  <si>
    <t>16.52054795</t>
  </si>
  <si>
    <t>1208</t>
  </si>
  <si>
    <t>16.53424658</t>
  </si>
  <si>
    <t>1209</t>
  </si>
  <si>
    <t>16.54794521</t>
  </si>
  <si>
    <t>1210</t>
  </si>
  <si>
    <t>16.56164384</t>
  </si>
  <si>
    <t>1211</t>
  </si>
  <si>
    <t>16.57534247</t>
  </si>
  <si>
    <t>1212</t>
  </si>
  <si>
    <t>16.5890411</t>
  </si>
  <si>
    <t>1213</t>
  </si>
  <si>
    <t>16.60273973</t>
  </si>
  <si>
    <t>1214</t>
  </si>
  <si>
    <t>16.61643836</t>
  </si>
  <si>
    <t>1215</t>
  </si>
  <si>
    <t>16.63013699</t>
  </si>
  <si>
    <t>1216</t>
  </si>
  <si>
    <t>16.64383562</t>
  </si>
  <si>
    <t>1217</t>
  </si>
  <si>
    <t>16.65753425</t>
  </si>
  <si>
    <t>1218</t>
  </si>
  <si>
    <t>16.67123288</t>
  </si>
  <si>
    <t>1219</t>
  </si>
  <si>
    <t>16.68493151</t>
  </si>
  <si>
    <t>1220</t>
  </si>
  <si>
    <t>16.69863014</t>
  </si>
  <si>
    <t>1221</t>
  </si>
  <si>
    <t>16.71232877</t>
  </si>
  <si>
    <t>1222</t>
  </si>
  <si>
    <t>16.7260274</t>
  </si>
  <si>
    <t>1223</t>
  </si>
  <si>
    <t>16.73972603</t>
  </si>
  <si>
    <t>1224</t>
  </si>
  <si>
    <t>16.75342466</t>
  </si>
  <si>
    <t>1225</t>
  </si>
  <si>
    <t>16.76712329</t>
  </si>
  <si>
    <t>1226</t>
  </si>
  <si>
    <t>16.78082192</t>
  </si>
  <si>
    <t>1227</t>
  </si>
  <si>
    <t>16.79452055</t>
  </si>
  <si>
    <t>1228</t>
  </si>
  <si>
    <t>16.80821918</t>
  </si>
  <si>
    <t>1229</t>
  </si>
  <si>
    <t>16.82191781</t>
  </si>
  <si>
    <t>1230</t>
  </si>
  <si>
    <t>16.83561644</t>
  </si>
  <si>
    <t>1231</t>
  </si>
  <si>
    <t>16.84931507</t>
  </si>
  <si>
    <t>1232</t>
  </si>
  <si>
    <t>16.8630137</t>
  </si>
  <si>
    <t>1233</t>
  </si>
  <si>
    <t>16.87671233</t>
  </si>
  <si>
    <t>1234</t>
  </si>
  <si>
    <t>16.89041096</t>
  </si>
  <si>
    <t>1235</t>
  </si>
  <si>
    <t>16.90410959</t>
  </si>
  <si>
    <t>1236</t>
  </si>
  <si>
    <t>16.91780822</t>
  </si>
  <si>
    <t>1237</t>
  </si>
  <si>
    <t>16.93150685</t>
  </si>
  <si>
    <t>1238</t>
  </si>
  <si>
    <t>16.94520548</t>
  </si>
  <si>
    <t>1239</t>
  </si>
  <si>
    <t>16.95890411</t>
  </si>
  <si>
    <t>1240</t>
  </si>
  <si>
    <t>16.97260274</t>
  </si>
  <si>
    <t>1241</t>
  </si>
  <si>
    <t>16.98630137</t>
  </si>
  <si>
    <t>1242</t>
  </si>
  <si>
    <t>17.0</t>
  </si>
  <si>
    <t>1243</t>
  </si>
  <si>
    <t>17.01369863</t>
  </si>
  <si>
    <t>1244</t>
  </si>
  <si>
    <t>17.02739726</t>
  </si>
  <si>
    <t>1245</t>
  </si>
  <si>
    <t>17.04109589</t>
  </si>
  <si>
    <t>1246</t>
  </si>
  <si>
    <t>17.05479452</t>
  </si>
  <si>
    <t>1247</t>
  </si>
  <si>
    <t>17.06849315</t>
  </si>
  <si>
    <t>1248</t>
  </si>
  <si>
    <t>17.08219178</t>
  </si>
  <si>
    <t>1249</t>
  </si>
  <si>
    <t>17.09589041</t>
  </si>
  <si>
    <t>1250</t>
  </si>
  <si>
    <t>17.10958904</t>
  </si>
  <si>
    <t>1251</t>
  </si>
  <si>
    <t>17.12328767</t>
  </si>
  <si>
    <t>1252</t>
  </si>
  <si>
    <t>17.1369863</t>
  </si>
  <si>
    <t>1253</t>
  </si>
  <si>
    <t>17.15068493</t>
  </si>
  <si>
    <t>1254</t>
  </si>
  <si>
    <t>17.16438356</t>
  </si>
  <si>
    <t>1255</t>
  </si>
  <si>
    <t>17.17808219</t>
  </si>
  <si>
    <t>1256</t>
  </si>
  <si>
    <t>17.19178082</t>
  </si>
  <si>
    <t>1257</t>
  </si>
  <si>
    <t>17.20547945</t>
  </si>
  <si>
    <t>1258</t>
  </si>
  <si>
    <t>17.21917808</t>
  </si>
  <si>
    <t>1259</t>
  </si>
  <si>
    <t>17.23287671</t>
  </si>
  <si>
    <t>1260</t>
  </si>
  <si>
    <t>17.24657534</t>
  </si>
  <si>
    <t>1261</t>
  </si>
  <si>
    <t>17.26027397</t>
  </si>
  <si>
    <t>1262</t>
  </si>
  <si>
    <t>17.2739726</t>
  </si>
  <si>
    <t>1263</t>
  </si>
  <si>
    <t>17.28767123</t>
  </si>
  <si>
    <t>1264</t>
  </si>
  <si>
    <t>17.30136986</t>
  </si>
  <si>
    <t>1265</t>
  </si>
  <si>
    <t>17.31506849</t>
  </si>
  <si>
    <t>1266</t>
  </si>
  <si>
    <t>17.32876712</t>
  </si>
  <si>
    <t>1267</t>
  </si>
  <si>
    <t>17.34246575</t>
  </si>
  <si>
    <t>1268</t>
  </si>
  <si>
    <t>17.35616438</t>
  </si>
  <si>
    <t>1269</t>
  </si>
  <si>
    <t>17.36986301</t>
  </si>
  <si>
    <t>1270</t>
  </si>
  <si>
    <t>17.38356164</t>
  </si>
  <si>
    <t>1271</t>
  </si>
  <si>
    <t>17.39726027</t>
  </si>
  <si>
    <t>1272</t>
  </si>
  <si>
    <t>17.4109589</t>
  </si>
  <si>
    <t>1273</t>
  </si>
  <si>
    <t>17.42465753</t>
  </si>
  <si>
    <t>1274</t>
  </si>
  <si>
    <t>17.43835616</t>
  </si>
  <si>
    <t>1275</t>
  </si>
  <si>
    <t>17.45205479</t>
  </si>
  <si>
    <t>1276</t>
  </si>
  <si>
    <t>17.46575342</t>
  </si>
  <si>
    <t>1277</t>
  </si>
  <si>
    <t>17.47945205</t>
  </si>
  <si>
    <t>1278</t>
  </si>
  <si>
    <t>17.49315068</t>
  </si>
  <si>
    <t>1279</t>
  </si>
  <si>
    <t>17.50684932</t>
  </si>
  <si>
    <t>1280</t>
  </si>
  <si>
    <t>17.52054795</t>
  </si>
  <si>
    <t>1281</t>
  </si>
  <si>
    <t>17.53424658</t>
  </si>
  <si>
    <t>1282</t>
  </si>
  <si>
    <t>17.54794521</t>
  </si>
  <si>
    <t>1283</t>
  </si>
  <si>
    <t>17.56164384</t>
  </si>
  <si>
    <t>1284</t>
  </si>
  <si>
    <t>17.57534247</t>
  </si>
  <si>
    <t>1285</t>
  </si>
  <si>
    <t>17.5890411</t>
  </si>
  <si>
    <t>1286</t>
  </si>
  <si>
    <t>17.60273973</t>
  </si>
  <si>
    <t>1287</t>
  </si>
  <si>
    <t>17.61643836</t>
  </si>
  <si>
    <t>1288</t>
  </si>
  <si>
    <t>17.63013699</t>
  </si>
  <si>
    <t>1289</t>
  </si>
  <si>
    <t>17.64383562</t>
  </si>
  <si>
    <t>1290</t>
  </si>
  <si>
    <t>17.65753425</t>
  </si>
  <si>
    <t>1291</t>
  </si>
  <si>
    <t>17.67123288</t>
  </si>
  <si>
    <t>1292</t>
  </si>
  <si>
    <t>17.68493151</t>
  </si>
  <si>
    <t>1293</t>
  </si>
  <si>
    <t>17.69863014</t>
  </si>
  <si>
    <t>1294</t>
  </si>
  <si>
    <t>17.71232877</t>
  </si>
  <si>
    <t>1295</t>
  </si>
  <si>
    <t>17.7260274</t>
  </si>
  <si>
    <t>1296</t>
  </si>
  <si>
    <t>17.73972603</t>
  </si>
  <si>
    <t>1297</t>
  </si>
  <si>
    <t>17.75342466</t>
  </si>
  <si>
    <t>1298</t>
  </si>
  <si>
    <t>17.76712329</t>
  </si>
  <si>
    <t>1299</t>
  </si>
  <si>
    <t>17.78082192</t>
  </si>
  <si>
    <t>1300</t>
  </si>
  <si>
    <t>17.79452055</t>
  </si>
  <si>
    <t>1301</t>
  </si>
  <si>
    <t>17.80821918</t>
  </si>
  <si>
    <t>1302</t>
  </si>
  <si>
    <t>17.82191781</t>
  </si>
  <si>
    <t>1303</t>
  </si>
  <si>
    <t>17.83561644</t>
  </si>
  <si>
    <t>1304</t>
  </si>
  <si>
    <t>17.84931507</t>
  </si>
  <si>
    <t>1305</t>
  </si>
  <si>
    <t>17.8630137</t>
  </si>
  <si>
    <t>1306</t>
  </si>
  <si>
    <t>17.87671233</t>
  </si>
  <si>
    <t>1307</t>
  </si>
  <si>
    <t>17.89041096</t>
  </si>
  <si>
    <t>1308</t>
  </si>
  <si>
    <t>17.90410959</t>
  </si>
  <si>
    <t>1309</t>
  </si>
  <si>
    <t>17.91780822</t>
  </si>
  <si>
    <t>1310</t>
  </si>
  <si>
    <t>17.93150685</t>
  </si>
  <si>
    <t>1311</t>
  </si>
  <si>
    <t>17.94520548</t>
  </si>
  <si>
    <t>1312</t>
  </si>
  <si>
    <t>17.95890411</t>
  </si>
  <si>
    <t>1313</t>
  </si>
  <si>
    <t>17.97260274</t>
  </si>
  <si>
    <t>1314</t>
  </si>
  <si>
    <t>17.98630137</t>
  </si>
  <si>
    <t>1315</t>
  </si>
  <si>
    <t>18.0</t>
  </si>
  <si>
    <t>1316</t>
  </si>
  <si>
    <t>18.01369863</t>
  </si>
  <si>
    <t>1317</t>
  </si>
  <si>
    <t>18.02739726</t>
  </si>
  <si>
    <t>1318</t>
  </si>
  <si>
    <t>18.04109589</t>
  </si>
  <si>
    <t>1319</t>
  </si>
  <si>
    <t>18.05479452</t>
  </si>
  <si>
    <t>1320</t>
  </si>
  <si>
    <t>18.06849315</t>
  </si>
  <si>
    <t>1321</t>
  </si>
  <si>
    <t>18.08219178</t>
  </si>
  <si>
    <t>1322</t>
  </si>
  <si>
    <t>18.09589041</t>
  </si>
  <si>
    <t>1323</t>
  </si>
  <si>
    <t>18.10958904</t>
  </si>
  <si>
    <t>1324</t>
  </si>
  <si>
    <t>18.12328767</t>
  </si>
  <si>
    <t>1325</t>
  </si>
  <si>
    <t>18.1369863</t>
  </si>
  <si>
    <t>1326</t>
  </si>
  <si>
    <t>18.15068493</t>
  </si>
  <si>
    <t>1327</t>
  </si>
  <si>
    <t>18.16438356</t>
  </si>
  <si>
    <t>1328</t>
  </si>
  <si>
    <t>18.17808219</t>
  </si>
  <si>
    <t>1329</t>
  </si>
  <si>
    <t>18.19178082</t>
  </si>
  <si>
    <t>1330</t>
  </si>
  <si>
    <t>18.20547945</t>
  </si>
  <si>
    <t>1331</t>
  </si>
  <si>
    <t>18.21917808</t>
  </si>
  <si>
    <t>1332</t>
  </si>
  <si>
    <t>18.23287671</t>
  </si>
  <si>
    <t>1333</t>
  </si>
  <si>
    <t>18.24657534</t>
  </si>
  <si>
    <t>1334</t>
  </si>
  <si>
    <t>18.26027397</t>
  </si>
  <si>
    <t>1335</t>
  </si>
  <si>
    <t>18.2739726</t>
  </si>
  <si>
    <t>1336</t>
  </si>
  <si>
    <t>18.28767123</t>
  </si>
  <si>
    <t>1337</t>
  </si>
  <si>
    <t>18.30136986</t>
  </si>
  <si>
    <t>1338</t>
  </si>
  <si>
    <t>18.31506849</t>
  </si>
  <si>
    <t>1339</t>
  </si>
  <si>
    <t>18.32876712</t>
  </si>
  <si>
    <t>1340</t>
  </si>
  <si>
    <t>18.34246575</t>
  </si>
  <si>
    <t>1341</t>
  </si>
  <si>
    <t>18.35616438</t>
  </si>
  <si>
    <t>1342</t>
  </si>
  <si>
    <t>18.36986301</t>
  </si>
  <si>
    <t>1343</t>
  </si>
  <si>
    <t>18.38356164</t>
  </si>
  <si>
    <t>1344</t>
  </si>
  <si>
    <t>18.39726027</t>
  </si>
  <si>
    <t>1345</t>
  </si>
  <si>
    <t>18.4109589</t>
  </si>
  <si>
    <t>1346</t>
  </si>
  <si>
    <t>18.42465753</t>
  </si>
  <si>
    <t>1347</t>
  </si>
  <si>
    <t>18.43835616</t>
  </si>
  <si>
    <t>1348</t>
  </si>
  <si>
    <t>18.45205479</t>
  </si>
  <si>
    <t>1349</t>
  </si>
  <si>
    <t>18.46575342</t>
  </si>
  <si>
    <t>1350</t>
  </si>
  <si>
    <t>18.47945205</t>
  </si>
  <si>
    <t>1351</t>
  </si>
  <si>
    <t>18.49315068</t>
  </si>
  <si>
    <t>1352</t>
  </si>
  <si>
    <t>18.50684932</t>
  </si>
  <si>
    <t>1353</t>
  </si>
  <si>
    <t>18.52054795</t>
  </si>
  <si>
    <t>1354</t>
  </si>
  <si>
    <t>18.53424658</t>
  </si>
  <si>
    <t>1355</t>
  </si>
  <si>
    <t>18.54794521</t>
  </si>
  <si>
    <t>1356</t>
  </si>
  <si>
    <t>18.56164384</t>
  </si>
  <si>
    <t>1357</t>
  </si>
  <si>
    <t>18.57534247</t>
  </si>
  <si>
    <t>1358</t>
  </si>
  <si>
    <t>18.5890411</t>
  </si>
  <si>
    <t>1359</t>
  </si>
  <si>
    <t>18.60273973</t>
  </si>
  <si>
    <t>1360</t>
  </si>
  <si>
    <t>18.61643836</t>
  </si>
  <si>
    <t>1361</t>
  </si>
  <si>
    <t>18.63013699</t>
  </si>
  <si>
    <t>1362</t>
  </si>
  <si>
    <t>18.64383562</t>
  </si>
  <si>
    <t>1363</t>
  </si>
  <si>
    <t>18.65753425</t>
  </si>
  <si>
    <t>1364</t>
  </si>
  <si>
    <t>18.67123288</t>
  </si>
  <si>
    <t>1365</t>
  </si>
  <si>
    <t>18.68493151</t>
  </si>
  <si>
    <t>1366</t>
  </si>
  <si>
    <t>18.69863014</t>
  </si>
  <si>
    <t>1367</t>
  </si>
  <si>
    <t>18.71232877</t>
  </si>
  <si>
    <t>1368</t>
  </si>
  <si>
    <t>18.7260274</t>
  </si>
  <si>
    <t>1369</t>
  </si>
  <si>
    <t>18.73972603</t>
  </si>
  <si>
    <t>1370</t>
  </si>
  <si>
    <t>18.75342466</t>
  </si>
  <si>
    <t>1371</t>
  </si>
  <si>
    <t>18.76712329</t>
  </si>
  <si>
    <t>1372</t>
  </si>
  <si>
    <t>18.78082192</t>
  </si>
  <si>
    <t>1373</t>
  </si>
  <si>
    <t>18.79452055</t>
  </si>
  <si>
    <t>1374</t>
  </si>
  <si>
    <t>18.80821918</t>
  </si>
  <si>
    <t>1375</t>
  </si>
  <si>
    <t>18.82191781</t>
  </si>
  <si>
    <t>1376</t>
  </si>
  <si>
    <t>18.83561644</t>
  </si>
  <si>
    <t>1377</t>
  </si>
  <si>
    <t>18.84931507</t>
  </si>
  <si>
    <t>1378</t>
  </si>
  <si>
    <t>18.8630137</t>
  </si>
  <si>
    <t>1379</t>
  </si>
  <si>
    <t>18.87671233</t>
  </si>
  <si>
    <t>1380</t>
  </si>
  <si>
    <t>18.89041096</t>
  </si>
  <si>
    <t>1381</t>
  </si>
  <si>
    <t>18.90410959</t>
  </si>
  <si>
    <t>1382</t>
  </si>
  <si>
    <t>18.91780822</t>
  </si>
  <si>
    <t>1383</t>
  </si>
  <si>
    <t>18.93150685</t>
  </si>
  <si>
    <t>1384</t>
  </si>
  <si>
    <t>18.94520548</t>
  </si>
  <si>
    <t>1385</t>
  </si>
  <si>
    <t>18.95890411</t>
  </si>
  <si>
    <t>1386</t>
  </si>
  <si>
    <t>18.97260274</t>
  </si>
  <si>
    <t>1387</t>
  </si>
  <si>
    <t>18.98630137</t>
  </si>
  <si>
    <t>1388</t>
  </si>
  <si>
    <t>19.0</t>
  </si>
  <si>
    <t>1389</t>
  </si>
  <si>
    <t>19.01369863</t>
  </si>
  <si>
    <t>1390</t>
  </si>
  <si>
    <t>19.02739726</t>
  </si>
  <si>
    <t>1391</t>
  </si>
  <si>
    <t>19.04109589</t>
  </si>
  <si>
    <t>1392</t>
  </si>
  <si>
    <t>19.05479452</t>
  </si>
  <si>
    <t>1393</t>
  </si>
  <si>
    <t>19.06849315</t>
  </si>
  <si>
    <t>1394</t>
  </si>
  <si>
    <t>19.08219178</t>
  </si>
  <si>
    <t>1395</t>
  </si>
  <si>
    <t>19.09589041</t>
  </si>
  <si>
    <t>1396</t>
  </si>
  <si>
    <t>19.10958904</t>
  </si>
  <si>
    <t>1397</t>
  </si>
  <si>
    <t>19.12328767</t>
  </si>
  <si>
    <t>1398</t>
  </si>
  <si>
    <t>19.1369863</t>
  </si>
  <si>
    <t>1399</t>
  </si>
  <si>
    <t>19.15068493</t>
  </si>
  <si>
    <t>1400</t>
  </si>
  <si>
    <t>19.16438356</t>
  </si>
  <si>
    <t>1401</t>
  </si>
  <si>
    <t>19.17808219</t>
  </si>
  <si>
    <t>1402</t>
  </si>
  <si>
    <t>19.19178082</t>
  </si>
  <si>
    <t>1403</t>
  </si>
  <si>
    <t>19.20547945</t>
  </si>
  <si>
    <t>1404</t>
  </si>
  <si>
    <t>19.21917808</t>
  </si>
  <si>
    <t>1405</t>
  </si>
  <si>
    <t>19.23287671</t>
  </si>
  <si>
    <t>1406</t>
  </si>
  <si>
    <t>19.24657534</t>
  </si>
  <si>
    <t>1407</t>
  </si>
  <si>
    <t>19.26027397</t>
  </si>
  <si>
    <t>1408</t>
  </si>
  <si>
    <t>19.2739726</t>
  </si>
  <si>
    <t>1409</t>
  </si>
  <si>
    <t>19.28767123</t>
  </si>
  <si>
    <t>1410</t>
  </si>
  <si>
    <t>19.30136986</t>
  </si>
  <si>
    <t>1411</t>
  </si>
  <si>
    <t>19.31506849</t>
  </si>
  <si>
    <t>1412</t>
  </si>
  <si>
    <t>19.32876712</t>
  </si>
  <si>
    <t>1413</t>
  </si>
  <si>
    <t>19.34246575</t>
  </si>
  <si>
    <t>1414</t>
  </si>
  <si>
    <t>19.35616438</t>
  </si>
  <si>
    <t>1415</t>
  </si>
  <si>
    <t>19.36986301</t>
  </si>
  <si>
    <t>1416</t>
  </si>
  <si>
    <t>19.38356164</t>
  </si>
  <si>
    <t>1417</t>
  </si>
  <si>
    <t>19.39726027</t>
  </si>
  <si>
    <t>1418</t>
  </si>
  <si>
    <t>19.4109589</t>
  </si>
  <si>
    <t>1419</t>
  </si>
  <si>
    <t>19.42465753</t>
  </si>
  <si>
    <t>1420</t>
  </si>
  <si>
    <t>19.43835616</t>
  </si>
  <si>
    <t>1421</t>
  </si>
  <si>
    <t>19.45205479</t>
  </si>
  <si>
    <t>1422</t>
  </si>
  <si>
    <t>19.46575342</t>
  </si>
  <si>
    <t>1423</t>
  </si>
  <si>
    <t>19.47945205</t>
  </si>
  <si>
    <t>1424</t>
  </si>
  <si>
    <t>19.49315068</t>
  </si>
  <si>
    <t>1425</t>
  </si>
  <si>
    <t>19.50684932</t>
  </si>
  <si>
    <t>1426</t>
  </si>
  <si>
    <t>19.52054795</t>
  </si>
  <si>
    <t>1427</t>
  </si>
  <si>
    <t>19.53424658</t>
  </si>
  <si>
    <t>1428</t>
  </si>
  <si>
    <t>19.54794521</t>
  </si>
  <si>
    <t>1429</t>
  </si>
  <si>
    <t>19.56164384</t>
  </si>
  <si>
    <t>1430</t>
  </si>
  <si>
    <t>19.57534247</t>
  </si>
  <si>
    <t>1431</t>
  </si>
  <si>
    <t>19.5890411</t>
  </si>
  <si>
    <t>1432</t>
  </si>
  <si>
    <t>19.60273973</t>
  </si>
  <si>
    <t>1433</t>
  </si>
  <si>
    <t>19.61643836</t>
  </si>
  <si>
    <t>1434</t>
  </si>
  <si>
    <t>19.63013699</t>
  </si>
  <si>
    <t>1435</t>
  </si>
  <si>
    <t>19.64383562</t>
  </si>
  <si>
    <t>1436</t>
  </si>
  <si>
    <t>19.65753425</t>
  </si>
  <si>
    <t>1437</t>
  </si>
  <si>
    <t>19.67123288</t>
  </si>
  <si>
    <t>1438</t>
  </si>
  <si>
    <t>19.68493151</t>
  </si>
  <si>
    <t>1439</t>
  </si>
  <si>
    <t>19.69863014</t>
  </si>
  <si>
    <t>1440</t>
  </si>
  <si>
    <t>19.71232877</t>
  </si>
  <si>
    <t>1441</t>
  </si>
  <si>
    <t>19.7260274</t>
  </si>
  <si>
    <t>1442</t>
  </si>
  <si>
    <t>19.73972603</t>
  </si>
  <si>
    <t>1443</t>
  </si>
  <si>
    <t>19.75342466</t>
  </si>
  <si>
    <t>1444</t>
  </si>
  <si>
    <t>19.76712329</t>
  </si>
  <si>
    <t>1445</t>
  </si>
  <si>
    <t>19.78082192</t>
  </si>
  <si>
    <t>1446</t>
  </si>
  <si>
    <t>19.79452055</t>
  </si>
  <si>
    <t>1447</t>
  </si>
  <si>
    <t>19.80821918</t>
  </si>
  <si>
    <t>1448</t>
  </si>
  <si>
    <t>19.82191781</t>
  </si>
  <si>
    <t>1449</t>
  </si>
  <si>
    <t>19.83561644</t>
  </si>
  <si>
    <t>1450</t>
  </si>
  <si>
    <t>19.84931507</t>
  </si>
  <si>
    <t>1451</t>
  </si>
  <si>
    <t>19.8630137</t>
  </si>
  <si>
    <t>1452</t>
  </si>
  <si>
    <t>19.87671233</t>
  </si>
  <si>
    <t>1453</t>
  </si>
  <si>
    <t>19.89041096</t>
  </si>
  <si>
    <t>1454</t>
  </si>
  <si>
    <t>19.90410959</t>
  </si>
  <si>
    <t>1455</t>
  </si>
  <si>
    <t>19.91780822</t>
  </si>
  <si>
    <t>1456</t>
  </si>
  <si>
    <t>19.93150685</t>
  </si>
  <si>
    <t>1457</t>
  </si>
  <si>
    <t>19.94520548</t>
  </si>
  <si>
    <t>1458</t>
  </si>
  <si>
    <t>19.95890411</t>
  </si>
  <si>
    <t>1459</t>
  </si>
  <si>
    <t>19.97260274</t>
  </si>
  <si>
    <t>1460</t>
  </si>
  <si>
    <t>19.98630137</t>
  </si>
  <si>
    <t>1461</t>
  </si>
  <si>
    <t>20.0</t>
  </si>
  <si>
    <t>1462</t>
  </si>
  <si>
    <t>20.01369863</t>
  </si>
  <si>
    <t>1463</t>
  </si>
  <si>
    <t>20.02739726</t>
  </si>
  <si>
    <t>1464</t>
  </si>
  <si>
    <t>20.04109589</t>
  </si>
  <si>
    <t>1465</t>
  </si>
  <si>
    <t>20.05479452</t>
  </si>
  <si>
    <t>1466</t>
  </si>
  <si>
    <t>20.06849315</t>
  </si>
  <si>
    <t>1467</t>
  </si>
  <si>
    <t>20.08219178</t>
  </si>
  <si>
    <t>1468</t>
  </si>
  <si>
    <t>20.09589041</t>
  </si>
  <si>
    <t>1469</t>
  </si>
  <si>
    <t>20.10958904</t>
  </si>
  <si>
    <t>1470</t>
  </si>
  <si>
    <t>20.12328767</t>
  </si>
  <si>
    <t>1471</t>
  </si>
  <si>
    <t>20.1369863</t>
  </si>
  <si>
    <t>1472</t>
  </si>
  <si>
    <t>20.15068493</t>
  </si>
  <si>
    <t>1473</t>
  </si>
  <si>
    <t>20.16438356</t>
  </si>
  <si>
    <t>1474</t>
  </si>
  <si>
    <t>20.17808219</t>
  </si>
  <si>
    <t>1475</t>
  </si>
  <si>
    <t>20.19178082</t>
  </si>
  <si>
    <t>1476</t>
  </si>
  <si>
    <t>20.20547945</t>
  </si>
  <si>
    <t>1477</t>
  </si>
  <si>
    <t>20.21917808</t>
  </si>
  <si>
    <t>1478</t>
  </si>
  <si>
    <t>20.23287671</t>
  </si>
  <si>
    <t>1479</t>
  </si>
  <si>
    <t>20.24657534</t>
  </si>
  <si>
    <t>1480</t>
  </si>
  <si>
    <t>20.26027397</t>
  </si>
  <si>
    <t>1481</t>
  </si>
  <si>
    <t>20.2739726</t>
  </si>
  <si>
    <t>1482</t>
  </si>
  <si>
    <t>20.28767123</t>
  </si>
  <si>
    <t>1483</t>
  </si>
  <si>
    <t>20.30136986</t>
  </si>
  <si>
    <t>1484</t>
  </si>
  <si>
    <t>20.31506849</t>
  </si>
  <si>
    <t>1485</t>
  </si>
  <si>
    <t>20.32876712</t>
  </si>
  <si>
    <t>1486</t>
  </si>
  <si>
    <t>20.34246575</t>
  </si>
  <si>
    <t>1487</t>
  </si>
  <si>
    <t>20.35616438</t>
  </si>
  <si>
    <t>1488</t>
  </si>
  <si>
    <t>20.36986301</t>
  </si>
  <si>
    <t>1489</t>
  </si>
  <si>
    <t>20.38356164</t>
  </si>
  <si>
    <t>1490</t>
  </si>
  <si>
    <t>20.39726027</t>
  </si>
  <si>
    <t>1491</t>
  </si>
  <si>
    <t>20.4109589</t>
  </si>
  <si>
    <t>1492</t>
  </si>
  <si>
    <t>20.42465753</t>
  </si>
  <si>
    <t>1493</t>
  </si>
  <si>
    <t>20.43835616</t>
  </si>
  <si>
    <t>1494</t>
  </si>
  <si>
    <t>20.45205479</t>
  </si>
  <si>
    <t>1495</t>
  </si>
  <si>
    <t>20.46575342</t>
  </si>
  <si>
    <t>1496</t>
  </si>
  <si>
    <t>20.47945205</t>
  </si>
  <si>
    <t>1497</t>
  </si>
  <si>
    <t>20.49315068</t>
  </si>
  <si>
    <t>1498</t>
  </si>
  <si>
    <t>20.50684932</t>
  </si>
  <si>
    <t>1499</t>
  </si>
  <si>
    <t>20.52054795</t>
  </si>
  <si>
    <t>1500</t>
  </si>
  <si>
    <t>20.53424658</t>
  </si>
  <si>
    <t>1501</t>
  </si>
  <si>
    <t>20.54794521</t>
  </si>
  <si>
    <t>1502</t>
  </si>
  <si>
    <t>20.56164384</t>
  </si>
  <si>
    <t>1503</t>
  </si>
  <si>
    <t>20.57534247</t>
  </si>
  <si>
    <t>1504</t>
  </si>
  <si>
    <t>20.5890411</t>
  </si>
  <si>
    <t>1505</t>
  </si>
  <si>
    <t>20.60273973</t>
  </si>
  <si>
    <t>1506</t>
  </si>
  <si>
    <t>20.61643836</t>
  </si>
  <si>
    <t>1507</t>
  </si>
  <si>
    <t>20.63013699</t>
  </si>
  <si>
    <t>1508</t>
  </si>
  <si>
    <t>20.64383562</t>
  </si>
  <si>
    <t>1509</t>
  </si>
  <si>
    <t>20.65753425</t>
  </si>
  <si>
    <t>1510</t>
  </si>
  <si>
    <t>20.67123288</t>
  </si>
  <si>
    <t>1511</t>
  </si>
  <si>
    <t>20.68493151</t>
  </si>
  <si>
    <t>1512</t>
  </si>
  <si>
    <t>20.69863014</t>
  </si>
  <si>
    <t>1513</t>
  </si>
  <si>
    <t>20.71232877</t>
  </si>
  <si>
    <t>1514</t>
  </si>
  <si>
    <t>20.7260274</t>
  </si>
  <si>
    <t>1515</t>
  </si>
  <si>
    <t>20.73972603</t>
  </si>
  <si>
    <t>1516</t>
  </si>
  <si>
    <t>20.75342466</t>
  </si>
  <si>
    <t>1517</t>
  </si>
  <si>
    <t>20.76712329</t>
  </si>
  <si>
    <t>1518</t>
  </si>
  <si>
    <t>20.78082192</t>
  </si>
  <si>
    <t>1519</t>
  </si>
  <si>
    <t>20.79452055</t>
  </si>
  <si>
    <t>1520</t>
  </si>
  <si>
    <t>20.80821918</t>
  </si>
  <si>
    <t>1521</t>
  </si>
  <si>
    <t>20.82191781</t>
  </si>
  <si>
    <t>1522</t>
  </si>
  <si>
    <t>20.83561644</t>
  </si>
  <si>
    <t>1523</t>
  </si>
  <si>
    <t>20.84931507</t>
  </si>
  <si>
    <t>1524</t>
  </si>
  <si>
    <t>20.8630137</t>
  </si>
  <si>
    <t>1525</t>
  </si>
  <si>
    <t>20.87671233</t>
  </si>
  <si>
    <t>1526</t>
  </si>
  <si>
    <t>20.89041096</t>
  </si>
  <si>
    <t>1527</t>
  </si>
  <si>
    <t>20.90410959</t>
  </si>
  <si>
    <t>1528</t>
  </si>
  <si>
    <t>20.91780822</t>
  </si>
  <si>
    <t>1529</t>
  </si>
  <si>
    <t>20.93150685</t>
  </si>
  <si>
    <t>1530</t>
  </si>
  <si>
    <t>20.94520548</t>
  </si>
  <si>
    <t>1531</t>
  </si>
  <si>
    <t>20.95890411</t>
  </si>
  <si>
    <t>1532</t>
  </si>
  <si>
    <t>20.97260274</t>
  </si>
  <si>
    <t>1533</t>
  </si>
  <si>
    <t>20.98630137</t>
  </si>
  <si>
    <t>1534</t>
  </si>
  <si>
    <t>21.0</t>
  </si>
  <si>
    <t>1535</t>
  </si>
  <si>
    <t>21.01369863</t>
  </si>
  <si>
    <t>1536</t>
  </si>
  <si>
    <t>21.02739726</t>
  </si>
  <si>
    <t>1537</t>
  </si>
  <si>
    <t>21.04109589</t>
  </si>
  <si>
    <t>1538</t>
  </si>
  <si>
    <t>21.05479452</t>
  </si>
  <si>
    <t>1539</t>
  </si>
  <si>
    <t>21.06849315</t>
  </si>
  <si>
    <t>1540</t>
  </si>
  <si>
    <t>21.08219178</t>
  </si>
  <si>
    <t>1541</t>
  </si>
  <si>
    <t>21.09589041</t>
  </si>
  <si>
    <t>1542</t>
  </si>
  <si>
    <t>21.10958904</t>
  </si>
  <si>
    <t>1543</t>
  </si>
  <si>
    <t>21.12328767</t>
  </si>
  <si>
    <t>1544</t>
  </si>
  <si>
    <t>21.1369863</t>
  </si>
  <si>
    <t>1545</t>
  </si>
  <si>
    <t>21.15068493</t>
  </si>
  <si>
    <t>1546</t>
  </si>
  <si>
    <t>21.16438356</t>
  </si>
  <si>
    <t>1547</t>
  </si>
  <si>
    <t>21.17808219</t>
  </si>
  <si>
    <t>1548</t>
  </si>
  <si>
    <t>21.19178082</t>
  </si>
  <si>
    <t>1549</t>
  </si>
  <si>
    <t>21.20547945</t>
  </si>
  <si>
    <t>1550</t>
  </si>
  <si>
    <t>21.21917808</t>
  </si>
  <si>
    <t>1551</t>
  </si>
  <si>
    <t>21.23287671</t>
  </si>
  <si>
    <t>1552</t>
  </si>
  <si>
    <t>21.24657534</t>
  </si>
  <si>
    <t>1553</t>
  </si>
  <si>
    <t>21.26027397</t>
  </si>
  <si>
    <t>1554</t>
  </si>
  <si>
    <t>21.2739726</t>
  </si>
  <si>
    <t>1555</t>
  </si>
  <si>
    <t>21.28767123</t>
  </si>
  <si>
    <t>1556</t>
  </si>
  <si>
    <t>21.30136986</t>
  </si>
  <si>
    <t>1557</t>
  </si>
  <si>
    <t>21.31506849</t>
  </si>
  <si>
    <t>1558</t>
  </si>
  <si>
    <t>21.32876712</t>
  </si>
  <si>
    <t>1559</t>
  </si>
  <si>
    <t>21.34246575</t>
  </si>
  <si>
    <t>1560</t>
  </si>
  <si>
    <t>21.35616438</t>
  </si>
  <si>
    <t>1561</t>
  </si>
  <si>
    <t>21.36986301</t>
  </si>
  <si>
    <t>1562</t>
  </si>
  <si>
    <t>21.38356164</t>
  </si>
  <si>
    <t>1563</t>
  </si>
  <si>
    <t>21.39726027</t>
  </si>
  <si>
    <t>1564</t>
  </si>
  <si>
    <t>21.4109589</t>
  </si>
  <si>
    <t>1565</t>
  </si>
  <si>
    <t>21.42465753</t>
  </si>
  <si>
    <t>1566</t>
  </si>
  <si>
    <t>21.43835616</t>
  </si>
  <si>
    <t>1567</t>
  </si>
  <si>
    <t>21.45205479</t>
  </si>
  <si>
    <t>1568</t>
  </si>
  <si>
    <t>21.46575342</t>
  </si>
  <si>
    <t>1569</t>
  </si>
  <si>
    <t>21.47945205</t>
  </si>
  <si>
    <t>1570</t>
  </si>
  <si>
    <t>21.49315068</t>
  </si>
  <si>
    <t>1571</t>
  </si>
  <si>
    <t>21.50684932</t>
  </si>
  <si>
    <t>1572</t>
  </si>
  <si>
    <t>21.52054795</t>
  </si>
  <si>
    <t>1573</t>
  </si>
  <si>
    <t>21.53424658</t>
  </si>
  <si>
    <t>1574</t>
  </si>
  <si>
    <t>21.54794521</t>
  </si>
  <si>
    <t>1575</t>
  </si>
  <si>
    <t>21.56164384</t>
  </si>
  <si>
    <t>1576</t>
  </si>
  <si>
    <t>21.57534247</t>
  </si>
  <si>
    <t>1577</t>
  </si>
  <si>
    <t>21.5890411</t>
  </si>
  <si>
    <t>1578</t>
  </si>
  <si>
    <t>21.60273973</t>
  </si>
  <si>
    <t>1579</t>
  </si>
  <si>
    <t>21.61643836</t>
  </si>
  <si>
    <t>1580</t>
  </si>
  <si>
    <t>21.63013699</t>
  </si>
  <si>
    <t>1581</t>
  </si>
  <si>
    <t>21.64383562</t>
  </si>
  <si>
    <t>1582</t>
  </si>
  <si>
    <t>21.65753425</t>
  </si>
  <si>
    <t>1583</t>
  </si>
  <si>
    <t>21.67123288</t>
  </si>
  <si>
    <t>1584</t>
  </si>
  <si>
    <t>21.68493151</t>
  </si>
  <si>
    <t>1585</t>
  </si>
  <si>
    <t>21.69863014</t>
  </si>
  <si>
    <t>1586</t>
  </si>
  <si>
    <t>21.71232877</t>
  </si>
  <si>
    <t>1587</t>
  </si>
  <si>
    <t>21.7260274</t>
  </si>
  <si>
    <t>1588</t>
  </si>
  <si>
    <t>21.73972603</t>
  </si>
  <si>
    <t>1589</t>
  </si>
  <si>
    <t>21.75342466</t>
  </si>
  <si>
    <t>1590</t>
  </si>
  <si>
    <t>21.76712329</t>
  </si>
  <si>
    <t>1591</t>
  </si>
  <si>
    <t>21.78082192</t>
  </si>
  <si>
    <t>1592</t>
  </si>
  <si>
    <t>21.79452055</t>
  </si>
  <si>
    <t>1593</t>
  </si>
  <si>
    <t>21.80821918</t>
  </si>
  <si>
    <t>1594</t>
  </si>
  <si>
    <t>21.82191781</t>
  </si>
  <si>
    <t>1595</t>
  </si>
  <si>
    <t>21.83561644</t>
  </si>
  <si>
    <t>1596</t>
  </si>
  <si>
    <t>21.84931507</t>
  </si>
  <si>
    <t>1597</t>
  </si>
  <si>
    <t>21.8630137</t>
  </si>
  <si>
    <t>1598</t>
  </si>
  <si>
    <t>21.87671233</t>
  </si>
  <si>
    <t>1599</t>
  </si>
  <si>
    <t>21.89041096</t>
  </si>
  <si>
    <t>1600</t>
  </si>
  <si>
    <t>21.90410959</t>
  </si>
  <si>
    <t>1601</t>
  </si>
  <si>
    <t>21.91780822</t>
  </si>
  <si>
    <t>1602</t>
  </si>
  <si>
    <t>21.93150685</t>
  </si>
  <si>
    <t>1603</t>
  </si>
  <si>
    <t>21.94520548</t>
  </si>
  <si>
    <t>1604</t>
  </si>
  <si>
    <t>21.95890411</t>
  </si>
  <si>
    <t>1605</t>
  </si>
  <si>
    <t>21.97260274</t>
  </si>
  <si>
    <t>1606</t>
  </si>
  <si>
    <t>21.98630137</t>
  </si>
  <si>
    <t>1607</t>
  </si>
  <si>
    <t>22.0</t>
  </si>
  <si>
    <t>1608</t>
  </si>
  <si>
    <t>22.01369863</t>
  </si>
  <si>
    <t>1609</t>
  </si>
  <si>
    <t>22.02739726</t>
  </si>
  <si>
    <t>1610</t>
  </si>
  <si>
    <t>22.04109589</t>
  </si>
  <si>
    <t>1611</t>
  </si>
  <si>
    <t>22.05479452</t>
  </si>
  <si>
    <t>1612</t>
  </si>
  <si>
    <t>22.06849315</t>
  </si>
  <si>
    <t>1613</t>
  </si>
  <si>
    <t>22.08219178</t>
  </si>
  <si>
    <t>1614</t>
  </si>
  <si>
    <t>22.09589041</t>
  </si>
  <si>
    <t>1615</t>
  </si>
  <si>
    <t>22.10958904</t>
  </si>
  <si>
    <t>1616</t>
  </si>
  <si>
    <t>22.12328767</t>
  </si>
  <si>
    <t>1617</t>
  </si>
  <si>
    <t>22.1369863</t>
  </si>
  <si>
    <t>1618</t>
  </si>
  <si>
    <t>22.15068493</t>
  </si>
  <si>
    <t>1619</t>
  </si>
  <si>
    <t>22.16438356</t>
  </si>
  <si>
    <t>1620</t>
  </si>
  <si>
    <t>22.17808219</t>
  </si>
  <si>
    <t>1621</t>
  </si>
  <si>
    <t>22.19178082</t>
  </si>
  <si>
    <t>1622</t>
  </si>
  <si>
    <t>22.20547945</t>
  </si>
  <si>
    <t>1623</t>
  </si>
  <si>
    <t>22.21917808</t>
  </si>
  <si>
    <t>1624</t>
  </si>
  <si>
    <t>22.23287671</t>
  </si>
  <si>
    <t>1625</t>
  </si>
  <si>
    <t>22.24657534</t>
  </si>
  <si>
    <t>1626</t>
  </si>
  <si>
    <t>22.26027397</t>
  </si>
  <si>
    <t>1627</t>
  </si>
  <si>
    <t>22.2739726</t>
  </si>
  <si>
    <t>1628</t>
  </si>
  <si>
    <t>22.28767123</t>
  </si>
  <si>
    <t>1629</t>
  </si>
  <si>
    <t>22.30136986</t>
  </si>
  <si>
    <t>1630</t>
  </si>
  <si>
    <t>22.31506849</t>
  </si>
  <si>
    <t>1631</t>
  </si>
  <si>
    <t>22.32876712</t>
  </si>
  <si>
    <t>1632</t>
  </si>
  <si>
    <t>22.34246575</t>
  </si>
  <si>
    <t>1633</t>
  </si>
  <si>
    <t>22.35616438</t>
  </si>
  <si>
    <t>1634</t>
  </si>
  <si>
    <t>22.36986301</t>
  </si>
  <si>
    <t>1635</t>
  </si>
  <si>
    <t>22.38356164</t>
  </si>
  <si>
    <t>1636</t>
  </si>
  <si>
    <t>22.39726027</t>
  </si>
  <si>
    <t>1637</t>
  </si>
  <si>
    <t>22.4109589</t>
  </si>
  <si>
    <t>1638</t>
  </si>
  <si>
    <t>22.42465753</t>
  </si>
  <si>
    <t>1639</t>
  </si>
  <si>
    <t>22.43835616</t>
  </si>
  <si>
    <t>1640</t>
  </si>
  <si>
    <t>22.45205479</t>
  </si>
  <si>
    <t>1641</t>
  </si>
  <si>
    <t>22.46575342</t>
  </si>
  <si>
    <t>1642</t>
  </si>
  <si>
    <t>22.47945205</t>
  </si>
  <si>
    <t>1643</t>
  </si>
  <si>
    <t>22.49315068</t>
  </si>
  <si>
    <t>1644</t>
  </si>
  <si>
    <t>22.50684932</t>
  </si>
  <si>
    <t>1645</t>
  </si>
  <si>
    <t>22.52054795</t>
  </si>
  <si>
    <t>1646</t>
  </si>
  <si>
    <t>22.53424658</t>
  </si>
  <si>
    <t>1647</t>
  </si>
  <si>
    <t>22.54794521</t>
  </si>
  <si>
    <t>1648</t>
  </si>
  <si>
    <t>22.56164384</t>
  </si>
  <si>
    <t>1649</t>
  </si>
  <si>
    <t>22.57534247</t>
  </si>
  <si>
    <t>1650</t>
  </si>
  <si>
    <t>22.5890411</t>
  </si>
  <si>
    <t>1651</t>
  </si>
  <si>
    <t>22.60273973</t>
  </si>
  <si>
    <t>1652</t>
  </si>
  <si>
    <t>22.61643836</t>
  </si>
  <si>
    <t>1653</t>
  </si>
  <si>
    <t>22.63013699</t>
  </si>
  <si>
    <t>1654</t>
  </si>
  <si>
    <t>22.64383562</t>
  </si>
  <si>
    <t>1655</t>
  </si>
  <si>
    <t>22.65753425</t>
  </si>
  <si>
    <t>1656</t>
  </si>
  <si>
    <t>22.67123288</t>
  </si>
  <si>
    <t>1657</t>
  </si>
  <si>
    <t>22.68493151</t>
  </si>
  <si>
    <t>1658</t>
  </si>
  <si>
    <t>22.69863014</t>
  </si>
  <si>
    <t>1659</t>
  </si>
  <si>
    <t>22.71232877</t>
  </si>
  <si>
    <t>1660</t>
  </si>
  <si>
    <t>22.7260274</t>
  </si>
  <si>
    <t>1661</t>
  </si>
  <si>
    <t>22.73972603</t>
  </si>
  <si>
    <t>1662</t>
  </si>
  <si>
    <t>22.75342466</t>
  </si>
  <si>
    <t>1663</t>
  </si>
  <si>
    <t>22.76712329</t>
  </si>
  <si>
    <t>1664</t>
  </si>
  <si>
    <t>22.78082192</t>
  </si>
  <si>
    <t>1665</t>
  </si>
  <si>
    <t>22.79452055</t>
  </si>
  <si>
    <t>1666</t>
  </si>
  <si>
    <t>22.80821918</t>
  </si>
  <si>
    <t>1667</t>
  </si>
  <si>
    <t>22.82191781</t>
  </si>
  <si>
    <t>1668</t>
  </si>
  <si>
    <t>22.83561644</t>
  </si>
  <si>
    <t>1669</t>
  </si>
  <si>
    <t>22.84931507</t>
  </si>
  <si>
    <t>1670</t>
  </si>
  <si>
    <t>22.8630137</t>
  </si>
  <si>
    <t>1671</t>
  </si>
  <si>
    <t>22.87671233</t>
  </si>
  <si>
    <t>1672</t>
  </si>
  <si>
    <t>22.89041096</t>
  </si>
  <si>
    <t>1673</t>
  </si>
  <si>
    <t>22.90410959</t>
  </si>
  <si>
    <t>1674</t>
  </si>
  <si>
    <t>22.91780822</t>
  </si>
  <si>
    <t>1675</t>
  </si>
  <si>
    <t>22.93150685</t>
  </si>
  <si>
    <t>1676</t>
  </si>
  <si>
    <t>22.94520548</t>
  </si>
  <si>
    <t>1677</t>
  </si>
  <si>
    <t>22.95890411</t>
  </si>
  <si>
    <t>1678</t>
  </si>
  <si>
    <t>22.97260274</t>
  </si>
  <si>
    <t>1679</t>
  </si>
  <si>
    <t>22.98630137</t>
  </si>
  <si>
    <t>1680</t>
  </si>
  <si>
    <t>23.0</t>
  </si>
  <si>
    <t>1681</t>
  </si>
  <si>
    <t>23.01369863</t>
  </si>
  <si>
    <t>1682</t>
  </si>
  <si>
    <t>23.02739726</t>
  </si>
  <si>
    <t>1683</t>
  </si>
  <si>
    <t>23.04109589</t>
  </si>
  <si>
    <t>1684</t>
  </si>
  <si>
    <t>23.05479452</t>
  </si>
  <si>
    <t>1685</t>
  </si>
  <si>
    <t>23.06849315</t>
  </si>
  <si>
    <t>1686</t>
  </si>
  <si>
    <t>23.08219178</t>
  </si>
  <si>
    <t>1687</t>
  </si>
  <si>
    <t>23.09589041</t>
  </si>
  <si>
    <t>1688</t>
  </si>
  <si>
    <t>23.10958904</t>
  </si>
  <si>
    <t>1689</t>
  </si>
  <si>
    <t>23.12328767</t>
  </si>
  <si>
    <t>1690</t>
  </si>
  <si>
    <t>23.1369863</t>
  </si>
  <si>
    <t>1691</t>
  </si>
  <si>
    <t>23.15068493</t>
  </si>
  <si>
    <t>1692</t>
  </si>
  <si>
    <t>23.16438356</t>
  </si>
  <si>
    <t>1693</t>
  </si>
  <si>
    <t>23.17808219</t>
  </si>
  <si>
    <t>1694</t>
  </si>
  <si>
    <t>23.19178082</t>
  </si>
  <si>
    <t>1695</t>
  </si>
  <si>
    <t>23.20547945</t>
  </si>
  <si>
    <t>1696</t>
  </si>
  <si>
    <t>23.21917808</t>
  </si>
  <si>
    <t>1697</t>
  </si>
  <si>
    <t>23.23287671</t>
  </si>
  <si>
    <t>1698</t>
  </si>
  <si>
    <t>23.24657534</t>
  </si>
  <si>
    <t>1699</t>
  </si>
  <si>
    <t>23.26027397</t>
  </si>
  <si>
    <t>1700</t>
  </si>
  <si>
    <t>23.2739726</t>
  </si>
  <si>
    <t>1701</t>
  </si>
  <si>
    <t>23.28767123</t>
  </si>
  <si>
    <t>1702</t>
  </si>
  <si>
    <t>23.30136986</t>
  </si>
  <si>
    <t>1703</t>
  </si>
  <si>
    <t>23.31506849</t>
  </si>
  <si>
    <t>1704</t>
  </si>
  <si>
    <t>23.32876712</t>
  </si>
  <si>
    <t>1705</t>
  </si>
  <si>
    <t>23.34246575</t>
  </si>
  <si>
    <t>1706</t>
  </si>
  <si>
    <t>23.35616438</t>
  </si>
  <si>
    <t>1707</t>
  </si>
  <si>
    <t>23.36986301</t>
  </si>
  <si>
    <t>1708</t>
  </si>
  <si>
    <t>23.38356164</t>
  </si>
  <si>
    <t>1709</t>
  </si>
  <si>
    <t>23.39726027</t>
  </si>
  <si>
    <t>1710</t>
  </si>
  <si>
    <t>23.4109589</t>
  </si>
  <si>
    <t>1711</t>
  </si>
  <si>
    <t>23.42465753</t>
  </si>
  <si>
    <t>1712</t>
  </si>
  <si>
    <t>23.43835616</t>
  </si>
  <si>
    <t>1713</t>
  </si>
  <si>
    <t>23.45205479</t>
  </si>
  <si>
    <t>1714</t>
  </si>
  <si>
    <t>23.46575342</t>
  </si>
  <si>
    <t>1715</t>
  </si>
  <si>
    <t>23.47945205</t>
  </si>
  <si>
    <t>1716</t>
  </si>
  <si>
    <t>23.49315068</t>
  </si>
  <si>
    <t>1717</t>
  </si>
  <si>
    <t>23.50684932</t>
  </si>
  <si>
    <t>1718</t>
  </si>
  <si>
    <t>23.52054795</t>
  </si>
  <si>
    <t>1719</t>
  </si>
  <si>
    <t>23.53424658</t>
  </si>
  <si>
    <t>1720</t>
  </si>
  <si>
    <t>23.54794521</t>
  </si>
  <si>
    <t>1721</t>
  </si>
  <si>
    <t>23.56164384</t>
  </si>
  <si>
    <t>1722</t>
  </si>
  <si>
    <t>23.57534247</t>
  </si>
  <si>
    <t>1723</t>
  </si>
  <si>
    <t>23.5890411</t>
  </si>
  <si>
    <t>1724</t>
  </si>
  <si>
    <t>23.60273973</t>
  </si>
  <si>
    <t>1725</t>
  </si>
  <si>
    <t>23.61643836</t>
  </si>
  <si>
    <t>1726</t>
  </si>
  <si>
    <t>23.63013699</t>
  </si>
  <si>
    <t>1727</t>
  </si>
  <si>
    <t>23.64383562</t>
  </si>
  <si>
    <t>1728</t>
  </si>
  <si>
    <t>23.65753425</t>
  </si>
  <si>
    <t>1729</t>
  </si>
  <si>
    <t>23.67123288</t>
  </si>
  <si>
    <t>1730</t>
  </si>
  <si>
    <t>23.68493151</t>
  </si>
  <si>
    <t>1731</t>
  </si>
  <si>
    <t>23.69863014</t>
  </si>
  <si>
    <t>1732</t>
  </si>
  <si>
    <t>23.71232877</t>
  </si>
  <si>
    <t>1733</t>
  </si>
  <si>
    <t>23.7260274</t>
  </si>
  <si>
    <t>1734</t>
  </si>
  <si>
    <t>23.73972603</t>
  </si>
  <si>
    <t>1735</t>
  </si>
  <si>
    <t>23.75342466</t>
  </si>
  <si>
    <t>1736</t>
  </si>
  <si>
    <t>23.76712329</t>
  </si>
  <si>
    <t>1737</t>
  </si>
  <si>
    <t>23.78082192</t>
  </si>
  <si>
    <t>1738</t>
  </si>
  <si>
    <t>23.79452055</t>
  </si>
  <si>
    <t>1739</t>
  </si>
  <si>
    <t>23.80821918</t>
  </si>
  <si>
    <t>1740</t>
  </si>
  <si>
    <t>23.82191781</t>
  </si>
  <si>
    <t>1741</t>
  </si>
  <si>
    <t>23.83561644</t>
  </si>
  <si>
    <t>1742</t>
  </si>
  <si>
    <t>23.84931507</t>
  </si>
  <si>
    <t>1743</t>
  </si>
  <si>
    <t>23.8630137</t>
  </si>
  <si>
    <t>1744</t>
  </si>
  <si>
    <t>23.87671233</t>
  </si>
  <si>
    <t>1745</t>
  </si>
  <si>
    <t>23.89041096</t>
  </si>
  <si>
    <t>1746</t>
  </si>
  <si>
    <t>23.90410959</t>
  </si>
  <si>
    <t>1747</t>
  </si>
  <si>
    <t>23.91780822</t>
  </si>
  <si>
    <t>1748</t>
  </si>
  <si>
    <t>23.93150685</t>
  </si>
  <si>
    <t>1749</t>
  </si>
  <si>
    <t>23.94520548</t>
  </si>
  <si>
    <t>1750</t>
  </si>
  <si>
    <t>23.95890411</t>
  </si>
  <si>
    <t>1751</t>
  </si>
  <si>
    <t>23.97260274</t>
  </si>
  <si>
    <t>1752</t>
  </si>
  <si>
    <t>23.98630137</t>
  </si>
  <si>
    <t>1753</t>
  </si>
  <si>
    <t>24.0</t>
  </si>
  <si>
    <t>1754</t>
  </si>
  <si>
    <t>24.01369863</t>
  </si>
  <si>
    <t>1755</t>
  </si>
  <si>
    <t>24.02739726</t>
  </si>
  <si>
    <t>1756</t>
  </si>
  <si>
    <t>24.04109589</t>
  </si>
  <si>
    <t>1757</t>
  </si>
  <si>
    <t>24.05479452</t>
  </si>
  <si>
    <t>1758</t>
  </si>
  <si>
    <t>24.06849315</t>
  </si>
  <si>
    <t>1759</t>
  </si>
  <si>
    <t>24.08219178</t>
  </si>
  <si>
    <t>1760</t>
  </si>
  <si>
    <t>24.09589041</t>
  </si>
  <si>
    <t>1761</t>
  </si>
  <si>
    <t>24.10958904</t>
  </si>
  <si>
    <t>1762</t>
  </si>
  <si>
    <t>24.12328767</t>
  </si>
  <si>
    <t>1763</t>
  </si>
  <si>
    <t>24.1369863</t>
  </si>
  <si>
    <t>1764</t>
  </si>
  <si>
    <t>24.15068493</t>
  </si>
  <si>
    <t>1765</t>
  </si>
  <si>
    <t>24.16438356</t>
  </si>
  <si>
    <t>1766</t>
  </si>
  <si>
    <t>24.17808219</t>
  </si>
  <si>
    <t>1767</t>
  </si>
  <si>
    <t>24.19178082</t>
  </si>
  <si>
    <t>1768</t>
  </si>
  <si>
    <t>24.20547945</t>
  </si>
  <si>
    <t>1769</t>
  </si>
  <si>
    <t>24.21917808</t>
  </si>
  <si>
    <t>1770</t>
  </si>
  <si>
    <t>24.23287671</t>
  </si>
  <si>
    <t>1771</t>
  </si>
  <si>
    <t>24.24657534</t>
  </si>
  <si>
    <t>1772</t>
  </si>
  <si>
    <t>24.26027397</t>
  </si>
  <si>
    <t>1773</t>
  </si>
  <si>
    <t>24.2739726</t>
  </si>
  <si>
    <t>1774</t>
  </si>
  <si>
    <t>24.28767123</t>
  </si>
  <si>
    <t>1775</t>
  </si>
  <si>
    <t>24.30136986</t>
  </si>
  <si>
    <t>1776</t>
  </si>
  <si>
    <t>24.31506849</t>
  </si>
  <si>
    <t>1777</t>
  </si>
  <si>
    <t>24.32876712</t>
  </si>
  <si>
    <t>1778</t>
  </si>
  <si>
    <t>24.34246575</t>
  </si>
  <si>
    <t>1779</t>
  </si>
  <si>
    <t>24.35616438</t>
  </si>
  <si>
    <t>1780</t>
  </si>
  <si>
    <t>24.36986301</t>
  </si>
  <si>
    <t>1781</t>
  </si>
  <si>
    <t>24.38356164</t>
  </si>
  <si>
    <t>1782</t>
  </si>
  <si>
    <t>24.39726027</t>
  </si>
  <si>
    <t>1783</t>
  </si>
  <si>
    <t>24.4109589</t>
  </si>
  <si>
    <t>1784</t>
  </si>
  <si>
    <t>24.42465753</t>
  </si>
  <si>
    <t>1785</t>
  </si>
  <si>
    <t>24.43835616</t>
  </si>
  <si>
    <t>1786</t>
  </si>
  <si>
    <t>24.45205479</t>
  </si>
  <si>
    <t>1787</t>
  </si>
  <si>
    <t>24.46575342</t>
  </si>
  <si>
    <t>1788</t>
  </si>
  <si>
    <t>24.47945205</t>
  </si>
  <si>
    <t>1789</t>
  </si>
  <si>
    <t>24.49315068</t>
  </si>
  <si>
    <t>1790</t>
  </si>
  <si>
    <t>24.50684932</t>
  </si>
  <si>
    <t>1791</t>
  </si>
  <si>
    <t>24.52054795</t>
  </si>
  <si>
    <t>1792</t>
  </si>
  <si>
    <t>24.53424658</t>
  </si>
  <si>
    <t>1793</t>
  </si>
  <si>
    <t>24.54794521</t>
  </si>
  <si>
    <t>1794</t>
  </si>
  <si>
    <t>24.56164384</t>
  </si>
  <si>
    <t>1795</t>
  </si>
  <si>
    <t>24.57534247</t>
  </si>
  <si>
    <t>1796</t>
  </si>
  <si>
    <t>24.5890411</t>
  </si>
  <si>
    <t>1797</t>
  </si>
  <si>
    <t>24.60273973</t>
  </si>
  <si>
    <t>1798</t>
  </si>
  <si>
    <t>24.61643836</t>
  </si>
  <si>
    <t>1799</t>
  </si>
  <si>
    <t>24.63013699</t>
  </si>
  <si>
    <t>1800</t>
  </si>
  <si>
    <t>24.64383562</t>
  </si>
  <si>
    <t>1801</t>
  </si>
  <si>
    <t>24.65753425</t>
  </si>
  <si>
    <t>1802</t>
  </si>
  <si>
    <t>24.67123288</t>
  </si>
  <si>
    <t>1803</t>
  </si>
  <si>
    <t>24.68493151</t>
  </si>
  <si>
    <t>1804</t>
  </si>
  <si>
    <t>24.69863014</t>
  </si>
  <si>
    <t>1805</t>
  </si>
  <si>
    <t>24.71232877</t>
  </si>
  <si>
    <t>1806</t>
  </si>
  <si>
    <t>24.7260274</t>
  </si>
  <si>
    <t>1807</t>
  </si>
  <si>
    <t>24.73972603</t>
  </si>
  <si>
    <t>1808</t>
  </si>
  <si>
    <t>24.75342466</t>
  </si>
  <si>
    <t>1809</t>
  </si>
  <si>
    <t>24.76712329</t>
  </si>
  <si>
    <t>1810</t>
  </si>
  <si>
    <t>24.78082192</t>
  </si>
  <si>
    <t>1811</t>
  </si>
  <si>
    <t>24.79452055</t>
  </si>
  <si>
    <t>1812</t>
  </si>
  <si>
    <t>24.80821918</t>
  </si>
  <si>
    <t>1813</t>
  </si>
  <si>
    <t>24.82191781</t>
  </si>
  <si>
    <t>1814</t>
  </si>
  <si>
    <t>24.83561644</t>
  </si>
  <si>
    <t>1815</t>
  </si>
  <si>
    <t>24.84931507</t>
  </si>
  <si>
    <t>1816</t>
  </si>
  <si>
    <t>24.8630137</t>
  </si>
  <si>
    <t>1817</t>
  </si>
  <si>
    <t>24.87671233</t>
  </si>
  <si>
    <t>1818</t>
  </si>
  <si>
    <t>24.89041096</t>
  </si>
  <si>
    <t>1819</t>
  </si>
  <si>
    <t>24.90410959</t>
  </si>
  <si>
    <t>1820</t>
  </si>
  <si>
    <t>24.91780822</t>
  </si>
  <si>
    <t>1821</t>
  </si>
  <si>
    <t>24.93150685</t>
  </si>
  <si>
    <t>1822</t>
  </si>
  <si>
    <t>24.94520548</t>
  </si>
  <si>
    <t>1823</t>
  </si>
  <si>
    <t>24.95890411</t>
  </si>
  <si>
    <t>1824</t>
  </si>
  <si>
    <t>24.97260274</t>
  </si>
  <si>
    <t>1825</t>
  </si>
  <si>
    <t>24.98630137</t>
  </si>
  <si>
    <t>1826</t>
  </si>
  <si>
    <t>25.0</t>
  </si>
  <si>
    <t>1827</t>
  </si>
  <si>
    <t>25.01369863</t>
  </si>
  <si>
    <t>1828</t>
  </si>
  <si>
    <t>25.02739726</t>
  </si>
  <si>
    <t>1829</t>
  </si>
  <si>
    <t>25.04109589</t>
  </si>
  <si>
    <t>1830</t>
  </si>
  <si>
    <t>25.05479452</t>
  </si>
  <si>
    <t>1831</t>
  </si>
  <si>
    <t>25.06849315</t>
  </si>
  <si>
    <t>1832</t>
  </si>
  <si>
    <t>25.08219178</t>
  </si>
  <si>
    <t>1833</t>
  </si>
  <si>
    <t>25.09589041</t>
  </si>
  <si>
    <t>1834</t>
  </si>
  <si>
    <t>25.10958904</t>
  </si>
  <si>
    <t>1835</t>
  </si>
  <si>
    <t>25.12328767</t>
  </si>
  <si>
    <t>1836</t>
  </si>
  <si>
    <t>25.1369863</t>
  </si>
  <si>
    <t>1837</t>
  </si>
  <si>
    <t>25.15068493</t>
  </si>
  <si>
    <t>1838</t>
  </si>
  <si>
    <t>25.16438356</t>
  </si>
  <si>
    <t>1839</t>
  </si>
  <si>
    <t>25.17808219</t>
  </si>
  <si>
    <t>1840</t>
  </si>
  <si>
    <t>25.19178082</t>
  </si>
  <si>
    <t>1841</t>
  </si>
  <si>
    <t>25.20547945</t>
  </si>
  <si>
    <t>1842</t>
  </si>
  <si>
    <t>25.21917808</t>
  </si>
  <si>
    <t>1843</t>
  </si>
  <si>
    <t>25.23287671</t>
  </si>
  <si>
    <t>1844</t>
  </si>
  <si>
    <t>25.24657534</t>
  </si>
  <si>
    <t>1845</t>
  </si>
  <si>
    <t>25.26027397</t>
  </si>
  <si>
    <t>1846</t>
  </si>
  <si>
    <t>25.2739726</t>
  </si>
  <si>
    <t>1847</t>
  </si>
  <si>
    <t>25.28767123</t>
  </si>
  <si>
    <t>1848</t>
  </si>
  <si>
    <t>25.30136986</t>
  </si>
  <si>
    <t>1849</t>
  </si>
  <si>
    <t>25.31506849</t>
  </si>
  <si>
    <t>1850</t>
  </si>
  <si>
    <t>25.32876712</t>
  </si>
  <si>
    <t>1851</t>
  </si>
  <si>
    <t>25.34246575</t>
  </si>
  <si>
    <t>1852</t>
  </si>
  <si>
    <t>25.35616438</t>
  </si>
  <si>
    <t>1853</t>
  </si>
  <si>
    <t>25.36986301</t>
  </si>
  <si>
    <t>1854</t>
  </si>
  <si>
    <t>25.38356164</t>
  </si>
  <si>
    <t>1855</t>
  </si>
  <si>
    <t>25.39726027</t>
  </si>
  <si>
    <t>1856</t>
  </si>
  <si>
    <t>25.4109589</t>
  </si>
  <si>
    <t>1857</t>
  </si>
  <si>
    <t>25.42465753</t>
  </si>
  <si>
    <t>1858</t>
  </si>
  <si>
    <t>25.43835616</t>
  </si>
  <si>
    <t>1859</t>
  </si>
  <si>
    <t>25.45205479</t>
  </si>
  <si>
    <t>1860</t>
  </si>
  <si>
    <t>25.46575342</t>
  </si>
  <si>
    <t>1861</t>
  </si>
  <si>
    <t>25.47945205</t>
  </si>
  <si>
    <t>1862</t>
  </si>
  <si>
    <t>25.49315068</t>
  </si>
  <si>
    <t>1863</t>
  </si>
  <si>
    <t>25.50684932</t>
  </si>
  <si>
    <t>1864</t>
  </si>
  <si>
    <t>25.52054795</t>
  </si>
  <si>
    <t>1865</t>
  </si>
  <si>
    <t>25.53424658</t>
  </si>
  <si>
    <t>1866</t>
  </si>
  <si>
    <t>25.54794521</t>
  </si>
  <si>
    <t>1867</t>
  </si>
  <si>
    <t>25.56164384</t>
  </si>
  <si>
    <t>1868</t>
  </si>
  <si>
    <t>25.57534247</t>
  </si>
  <si>
    <t>1869</t>
  </si>
  <si>
    <t>25.5890411</t>
  </si>
  <si>
    <t>1870</t>
  </si>
  <si>
    <t>25.60273973</t>
  </si>
  <si>
    <t>1871</t>
  </si>
  <si>
    <t>25.61643836</t>
  </si>
  <si>
    <t>1872</t>
  </si>
  <si>
    <t>25.63013699</t>
  </si>
  <si>
    <t>1873</t>
  </si>
  <si>
    <t>25.64383562</t>
  </si>
  <si>
    <t>1874</t>
  </si>
  <si>
    <t>25.65753425</t>
  </si>
  <si>
    <t>1875</t>
  </si>
  <si>
    <t>25.67123288</t>
  </si>
  <si>
    <t>1876</t>
  </si>
  <si>
    <t>25.68493151</t>
  </si>
  <si>
    <t>1877</t>
  </si>
  <si>
    <t>25.69863014</t>
  </si>
  <si>
    <t>1878</t>
  </si>
  <si>
    <t>25.71232877</t>
  </si>
  <si>
    <t>1879</t>
  </si>
  <si>
    <t>25.7260274</t>
  </si>
  <si>
    <t>1880</t>
  </si>
  <si>
    <t>25.73972603</t>
  </si>
  <si>
    <t>1881</t>
  </si>
  <si>
    <t>25.75342466</t>
  </si>
  <si>
    <t>1882</t>
  </si>
  <si>
    <t>25.76712329</t>
  </si>
  <si>
    <t>1883</t>
  </si>
  <si>
    <t>25.78082192</t>
  </si>
  <si>
    <t>1884</t>
  </si>
  <si>
    <t>25.79452055</t>
  </si>
  <si>
    <t>1885</t>
  </si>
  <si>
    <t>25.80821918</t>
  </si>
  <si>
    <t>1886</t>
  </si>
  <si>
    <t>25.82191781</t>
  </si>
  <si>
    <t>1887</t>
  </si>
  <si>
    <t>25.83561644</t>
  </si>
  <si>
    <t>1888</t>
  </si>
  <si>
    <t>25.84931507</t>
  </si>
  <si>
    <t>1889</t>
  </si>
  <si>
    <t>25.8630137</t>
  </si>
  <si>
    <t>1890</t>
  </si>
  <si>
    <t>25.87671233</t>
  </si>
  <si>
    <t>1891</t>
  </si>
  <si>
    <t>25.89041096</t>
  </si>
  <si>
    <t>1892</t>
  </si>
  <si>
    <t>25.90410959</t>
  </si>
  <si>
    <t>1893</t>
  </si>
  <si>
    <t>25.91780822</t>
  </si>
  <si>
    <t>1894</t>
  </si>
  <si>
    <t>25.93150685</t>
  </si>
  <si>
    <t>1895</t>
  </si>
  <si>
    <t>25.94520548</t>
  </si>
  <si>
    <t>1896</t>
  </si>
  <si>
    <t>25.95890411</t>
  </si>
  <si>
    <t>1897</t>
  </si>
  <si>
    <t>25.97260274</t>
  </si>
  <si>
    <t>1898</t>
  </si>
  <si>
    <t>25.98630137</t>
  </si>
  <si>
    <t>1899</t>
  </si>
  <si>
    <t>26.0</t>
  </si>
  <si>
    <t>1900</t>
  </si>
  <si>
    <t>26.01369863</t>
  </si>
  <si>
    <t>1901</t>
  </si>
  <si>
    <t>26.02739726</t>
  </si>
  <si>
    <t>1902</t>
  </si>
  <si>
    <t>26.04109589</t>
  </si>
  <si>
    <t>1903</t>
  </si>
  <si>
    <t>26.05479452</t>
  </si>
  <si>
    <t>1904</t>
  </si>
  <si>
    <t>26.06849315</t>
  </si>
  <si>
    <t>1905</t>
  </si>
  <si>
    <t>26.08219178</t>
  </si>
  <si>
    <t>1906</t>
  </si>
  <si>
    <t>26.09589041</t>
  </si>
  <si>
    <t>1907</t>
  </si>
  <si>
    <t>26.10958904</t>
  </si>
  <si>
    <t>1908</t>
  </si>
  <si>
    <t>26.12328767</t>
  </si>
  <si>
    <t>1909</t>
  </si>
  <si>
    <t>26.1369863</t>
  </si>
  <si>
    <t>1910</t>
  </si>
  <si>
    <t>26.15068493</t>
  </si>
  <si>
    <t>1911</t>
  </si>
  <si>
    <t>26.16438356</t>
  </si>
  <si>
    <t>1912</t>
  </si>
  <si>
    <t>26.17808219</t>
  </si>
  <si>
    <t>1913</t>
  </si>
  <si>
    <t>26.19178082</t>
  </si>
  <si>
    <t>1914</t>
  </si>
  <si>
    <t>26.20547945</t>
  </si>
  <si>
    <t>1915</t>
  </si>
  <si>
    <t>26.21917808</t>
  </si>
  <si>
    <t>1916</t>
  </si>
  <si>
    <t>26.23287671</t>
  </si>
  <si>
    <t>1917</t>
  </si>
  <si>
    <t>26.24657534</t>
  </si>
  <si>
    <t>1918</t>
  </si>
  <si>
    <t>26.26027397</t>
  </si>
  <si>
    <t>1919</t>
  </si>
  <si>
    <t>26.2739726</t>
  </si>
  <si>
    <t>1920</t>
  </si>
  <si>
    <t>26.28767123</t>
  </si>
  <si>
    <t>1921</t>
  </si>
  <si>
    <t>26.30136986</t>
  </si>
  <si>
    <t>1922</t>
  </si>
  <si>
    <t>26.31506849</t>
  </si>
  <si>
    <t>1923</t>
  </si>
  <si>
    <t>26.32876712</t>
  </si>
  <si>
    <t>1924</t>
  </si>
  <si>
    <t>26.34246575</t>
  </si>
  <si>
    <t>1925</t>
  </si>
  <si>
    <t>26.35616438</t>
  </si>
  <si>
    <t>1926</t>
  </si>
  <si>
    <t>26.36986301</t>
  </si>
  <si>
    <t>1927</t>
  </si>
  <si>
    <t>26.38356164</t>
  </si>
  <si>
    <t>1928</t>
  </si>
  <si>
    <t>26.39726027</t>
  </si>
  <si>
    <t>1929</t>
  </si>
  <si>
    <t>26.4109589</t>
  </si>
  <si>
    <t>1930</t>
  </si>
  <si>
    <t>26.42465753</t>
  </si>
  <si>
    <t>1931</t>
  </si>
  <si>
    <t>26.43835616</t>
  </si>
  <si>
    <t>1932</t>
  </si>
  <si>
    <t>26.45205479</t>
  </si>
  <si>
    <t>1933</t>
  </si>
  <si>
    <t>26.46575342</t>
  </si>
  <si>
    <t>1934</t>
  </si>
  <si>
    <t>26.47945205</t>
  </si>
  <si>
    <t>1935</t>
  </si>
  <si>
    <t>26.49315068</t>
  </si>
  <si>
    <t>1936</t>
  </si>
  <si>
    <t>26.50684932</t>
  </si>
  <si>
    <t>1937</t>
  </si>
  <si>
    <t>26.52054795</t>
  </si>
  <si>
    <t>1938</t>
  </si>
  <si>
    <t>26.53424658</t>
  </si>
  <si>
    <t>1939</t>
  </si>
  <si>
    <t>26.54794521</t>
  </si>
  <si>
    <t>1940</t>
  </si>
  <si>
    <t>26.56164384</t>
  </si>
  <si>
    <t>1941</t>
  </si>
  <si>
    <t>26.57534247</t>
  </si>
  <si>
    <t>1942</t>
  </si>
  <si>
    <t>26.5890411</t>
  </si>
  <si>
    <t>1943</t>
  </si>
  <si>
    <t>26.60273973</t>
  </si>
  <si>
    <t>1944</t>
  </si>
  <si>
    <t>26.61643836</t>
  </si>
  <si>
    <t>1945</t>
  </si>
  <si>
    <t>26.63013699</t>
  </si>
  <si>
    <t>1946</t>
  </si>
  <si>
    <t>26.64383562</t>
  </si>
  <si>
    <t>1947</t>
  </si>
  <si>
    <t>26.65753425</t>
  </si>
  <si>
    <t>1948</t>
  </si>
  <si>
    <t>26.67123288</t>
  </si>
  <si>
    <t>1949</t>
  </si>
  <si>
    <t>26.68493151</t>
  </si>
  <si>
    <t>1950</t>
  </si>
  <si>
    <t>26.69863014</t>
  </si>
  <si>
    <t>1951</t>
  </si>
  <si>
    <t>26.71232877</t>
  </si>
  <si>
    <t>1952</t>
  </si>
  <si>
    <t>26.7260274</t>
  </si>
  <si>
    <t>1953</t>
  </si>
  <si>
    <t>26.73972603</t>
  </si>
  <si>
    <t>1954</t>
  </si>
  <si>
    <t>26.75342466</t>
  </si>
  <si>
    <t>1955</t>
  </si>
  <si>
    <t>26.76712329</t>
  </si>
  <si>
    <t>1956</t>
  </si>
  <si>
    <t>26.78082192</t>
  </si>
  <si>
    <t>1957</t>
  </si>
  <si>
    <t>26.79452055</t>
  </si>
  <si>
    <t>1958</t>
  </si>
  <si>
    <t>26.80821918</t>
  </si>
  <si>
    <t>1959</t>
  </si>
  <si>
    <t>26.82191781</t>
  </si>
  <si>
    <t>1960</t>
  </si>
  <si>
    <t>26.83561644</t>
  </si>
  <si>
    <t>1961</t>
  </si>
  <si>
    <t>26.84931507</t>
  </si>
  <si>
    <t>1962</t>
  </si>
  <si>
    <t>26.8630137</t>
  </si>
  <si>
    <t>1963</t>
  </si>
  <si>
    <t>26.87671233</t>
  </si>
  <si>
    <t>1964</t>
  </si>
  <si>
    <t>26.89041096</t>
  </si>
  <si>
    <t>1965</t>
  </si>
  <si>
    <t>26.90410959</t>
  </si>
  <si>
    <t>1966</t>
  </si>
  <si>
    <t>26.91780822</t>
  </si>
  <si>
    <t>1967</t>
  </si>
  <si>
    <t>26.93150685</t>
  </si>
  <si>
    <t>1968</t>
  </si>
  <si>
    <t>26.94520548</t>
  </si>
  <si>
    <t>1969</t>
  </si>
  <si>
    <t>26.95890411</t>
  </si>
  <si>
    <t>1970</t>
  </si>
  <si>
    <t>26.97260274</t>
  </si>
  <si>
    <t>1971</t>
  </si>
  <si>
    <t>26.98630137</t>
  </si>
  <si>
    <t>1972</t>
  </si>
  <si>
    <t>27.0</t>
  </si>
  <si>
    <t>1973</t>
  </si>
  <si>
    <t>27.01369863</t>
  </si>
  <si>
    <t>1974</t>
  </si>
  <si>
    <t>27.02739726</t>
  </si>
  <si>
    <t>1975</t>
  </si>
  <si>
    <t>27.04109589</t>
  </si>
  <si>
    <t>1976</t>
  </si>
  <si>
    <t>27.05479452</t>
  </si>
  <si>
    <t>1977</t>
  </si>
  <si>
    <t>27.06849315</t>
  </si>
  <si>
    <t>1978</t>
  </si>
  <si>
    <t>27.08219178</t>
  </si>
  <si>
    <t>1979</t>
  </si>
  <si>
    <t>27.09589041</t>
  </si>
  <si>
    <t>1980</t>
  </si>
  <si>
    <t>27.10958904</t>
  </si>
  <si>
    <t>1981</t>
  </si>
  <si>
    <t>27.12328767</t>
  </si>
  <si>
    <t>1982</t>
  </si>
  <si>
    <t>27.1369863</t>
  </si>
  <si>
    <t>1983</t>
  </si>
  <si>
    <t>27.15068493</t>
  </si>
  <si>
    <t>1984</t>
  </si>
  <si>
    <t>27.16438356</t>
  </si>
  <si>
    <t>1985</t>
  </si>
  <si>
    <t>27.17808219</t>
  </si>
  <si>
    <t>1986</t>
  </si>
  <si>
    <t>27.19178082</t>
  </si>
  <si>
    <t>1987</t>
  </si>
  <si>
    <t>27.20547945</t>
  </si>
  <si>
    <t>1988</t>
  </si>
  <si>
    <t>27.21917808</t>
  </si>
  <si>
    <t>1989</t>
  </si>
  <si>
    <t>27.23287671</t>
  </si>
  <si>
    <t>1990</t>
  </si>
  <si>
    <t>27.24657534</t>
  </si>
  <si>
    <t>1991</t>
  </si>
  <si>
    <t>27.26027397</t>
  </si>
  <si>
    <t>1992</t>
  </si>
  <si>
    <t>27.2739726</t>
  </si>
  <si>
    <t>1993</t>
  </si>
  <si>
    <t>27.28767123</t>
  </si>
  <si>
    <t>1994</t>
  </si>
  <si>
    <t>27.30136986</t>
  </si>
  <si>
    <t>1995</t>
  </si>
  <si>
    <t>27.31506849</t>
  </si>
  <si>
    <t>1996</t>
  </si>
  <si>
    <t>27.32876712</t>
  </si>
  <si>
    <t>1997</t>
  </si>
  <si>
    <t>27.34246575</t>
  </si>
  <si>
    <t>1998</t>
  </si>
  <si>
    <t>27.35616438</t>
  </si>
  <si>
    <t>1999</t>
  </si>
  <si>
    <t>27.36986301</t>
  </si>
  <si>
    <t>2000</t>
  </si>
  <si>
    <t>27.38356164</t>
  </si>
  <si>
    <t>2001</t>
  </si>
  <si>
    <t>27.39726027</t>
  </si>
  <si>
    <t>2002</t>
  </si>
  <si>
    <t>27.4109589</t>
  </si>
  <si>
    <t>2003</t>
  </si>
  <si>
    <t>27.42465753</t>
  </si>
  <si>
    <t>2004</t>
  </si>
  <si>
    <t>27.43835616</t>
  </si>
  <si>
    <t>2005</t>
  </si>
  <si>
    <t>27.45205479</t>
  </si>
  <si>
    <t>2006</t>
  </si>
  <si>
    <t>27.46575342</t>
  </si>
  <si>
    <t>2007</t>
  </si>
  <si>
    <t>27.47945205</t>
  </si>
  <si>
    <t>2008</t>
  </si>
  <si>
    <t>27.49315068</t>
  </si>
  <si>
    <t>2009</t>
  </si>
  <si>
    <t>27.50684932</t>
  </si>
  <si>
    <t>2010</t>
  </si>
  <si>
    <t>27.52054795</t>
  </si>
  <si>
    <t>2011</t>
  </si>
  <si>
    <t>27.53424658</t>
  </si>
  <si>
    <t>2012</t>
  </si>
  <si>
    <t>27.54794521</t>
  </si>
  <si>
    <t>2013</t>
  </si>
  <si>
    <t>27.56164384</t>
  </si>
  <si>
    <t>2014</t>
  </si>
  <si>
    <t>27.57534247</t>
  </si>
  <si>
    <t>2015</t>
  </si>
  <si>
    <t>27.5890411</t>
  </si>
  <si>
    <t>2016</t>
  </si>
  <si>
    <t>27.60273973</t>
  </si>
  <si>
    <t>2017</t>
  </si>
  <si>
    <t>27.61643836</t>
  </si>
  <si>
    <t>2018</t>
  </si>
  <si>
    <t>27.63013699</t>
  </si>
  <si>
    <t>2019</t>
  </si>
  <si>
    <t>27.64383562</t>
  </si>
  <si>
    <t>2020</t>
  </si>
  <si>
    <t>27.65753425</t>
  </si>
  <si>
    <t>2021</t>
  </si>
  <si>
    <t>27.67123288</t>
  </si>
  <si>
    <t>2022</t>
  </si>
  <si>
    <t>27.68493151</t>
  </si>
  <si>
    <t>2023</t>
  </si>
  <si>
    <t>27.69863014</t>
  </si>
  <si>
    <t>2024</t>
  </si>
  <si>
    <t>27.71232877</t>
  </si>
  <si>
    <t>2025</t>
  </si>
  <si>
    <t>27.7260274</t>
  </si>
  <si>
    <t>2026</t>
  </si>
  <si>
    <t>27.73972603</t>
  </si>
  <si>
    <t>2027</t>
  </si>
  <si>
    <t>27.75342466</t>
  </si>
  <si>
    <t>2028</t>
  </si>
  <si>
    <t>27.76712329</t>
  </si>
  <si>
    <t>2029</t>
  </si>
  <si>
    <t>27.78082192</t>
  </si>
  <si>
    <t>2030</t>
  </si>
  <si>
    <t>27.79452055</t>
  </si>
  <si>
    <t>2031</t>
  </si>
  <si>
    <t>27.80821918</t>
  </si>
  <si>
    <t>2032</t>
  </si>
  <si>
    <t>27.82191781</t>
  </si>
  <si>
    <t>2033</t>
  </si>
  <si>
    <t>27.83561644</t>
  </si>
  <si>
    <t>2034</t>
  </si>
  <si>
    <t>27.84931507</t>
  </si>
  <si>
    <t>2035</t>
  </si>
  <si>
    <t>27.8630137</t>
  </si>
  <si>
    <t>2036</t>
  </si>
  <si>
    <t>27.87671233</t>
  </si>
  <si>
    <t>2037</t>
  </si>
  <si>
    <t>27.89041096</t>
  </si>
  <si>
    <t>2038</t>
  </si>
  <si>
    <t>27.90410959</t>
  </si>
  <si>
    <t>2039</t>
  </si>
  <si>
    <t>27.91780822</t>
  </si>
  <si>
    <t>2040</t>
  </si>
  <si>
    <t>27.93150685</t>
  </si>
  <si>
    <t>2041</t>
  </si>
  <si>
    <t>27.94520548</t>
  </si>
  <si>
    <t>2042</t>
  </si>
  <si>
    <t>27.95890411</t>
  </si>
  <si>
    <t>2043</t>
  </si>
  <si>
    <t>27.97260274</t>
  </si>
  <si>
    <t>2044</t>
  </si>
  <si>
    <t>27.98630137</t>
  </si>
  <si>
    <t>2045</t>
  </si>
  <si>
    <t>28.0</t>
  </si>
  <si>
    <t>2046</t>
  </si>
  <si>
    <t>28.01369863</t>
  </si>
  <si>
    <t>2047</t>
  </si>
  <si>
    <t>28.02739726</t>
  </si>
  <si>
    <t>2048</t>
  </si>
  <si>
    <t>28.04109589</t>
  </si>
  <si>
    <t>2049</t>
  </si>
  <si>
    <t>28.05479452</t>
  </si>
  <si>
    <t>2050</t>
  </si>
  <si>
    <t>28.06849315</t>
  </si>
  <si>
    <t>2051</t>
  </si>
  <si>
    <t>28.08219178</t>
  </si>
  <si>
    <t>2052</t>
  </si>
  <si>
    <t>28.09589041</t>
  </si>
  <si>
    <t>2053</t>
  </si>
  <si>
    <t>28.10958904</t>
  </si>
  <si>
    <t>2054</t>
  </si>
  <si>
    <t>28.12328767</t>
  </si>
  <si>
    <t>2055</t>
  </si>
  <si>
    <t>28.1369863</t>
  </si>
  <si>
    <t>2056</t>
  </si>
  <si>
    <t>28.15068493</t>
  </si>
  <si>
    <t>2057</t>
  </si>
  <si>
    <t>28.16438356</t>
  </si>
  <si>
    <t>2058</t>
  </si>
  <si>
    <t>28.17808219</t>
  </si>
  <si>
    <t>2059</t>
  </si>
  <si>
    <t>28.19178082</t>
  </si>
  <si>
    <t>2060</t>
  </si>
  <si>
    <t>28.20547945</t>
  </si>
  <si>
    <t>2061</t>
  </si>
  <si>
    <t>28.21917808</t>
  </si>
  <si>
    <t>2062</t>
  </si>
  <si>
    <t>28.23287671</t>
  </si>
  <si>
    <t>2063</t>
  </si>
  <si>
    <t>28.24657534</t>
  </si>
  <si>
    <t>2064</t>
  </si>
  <si>
    <t>28.26027397</t>
  </si>
  <si>
    <t>2065</t>
  </si>
  <si>
    <t>28.2739726</t>
  </si>
  <si>
    <t>2066</t>
  </si>
  <si>
    <t>28.28767123</t>
  </si>
  <si>
    <t>2067</t>
  </si>
  <si>
    <t>28.30136986</t>
  </si>
  <si>
    <t>2068</t>
  </si>
  <si>
    <t>28.31506849</t>
  </si>
  <si>
    <t>2069</t>
  </si>
  <si>
    <t>28.32876712</t>
  </si>
  <si>
    <t>2070</t>
  </si>
  <si>
    <t>28.34246575</t>
  </si>
  <si>
    <t>2071</t>
  </si>
  <si>
    <t>28.35616438</t>
  </si>
  <si>
    <t>2072</t>
  </si>
  <si>
    <t>28.36986301</t>
  </si>
  <si>
    <t>2073</t>
  </si>
  <si>
    <t>28.38356164</t>
  </si>
  <si>
    <t>2074</t>
  </si>
  <si>
    <t>28.39726027</t>
  </si>
  <si>
    <t>2075</t>
  </si>
  <si>
    <t>28.4109589</t>
  </si>
  <si>
    <t>2076</t>
  </si>
  <si>
    <t>28.42465753</t>
  </si>
  <si>
    <t>2077</t>
  </si>
  <si>
    <t>28.43835616</t>
  </si>
  <si>
    <t>2078</t>
  </si>
  <si>
    <t>28.45205479</t>
  </si>
  <si>
    <t>2079</t>
  </si>
  <si>
    <t>28.46575342</t>
  </si>
  <si>
    <t>2080</t>
  </si>
  <si>
    <t>28.47945205</t>
  </si>
  <si>
    <t>2081</t>
  </si>
  <si>
    <t>28.49315068</t>
  </si>
  <si>
    <t>2082</t>
  </si>
  <si>
    <t>28.50684932</t>
  </si>
  <si>
    <t>2083</t>
  </si>
  <si>
    <t>28.52054795</t>
  </si>
  <si>
    <t>2084</t>
  </si>
  <si>
    <t>28.53424658</t>
  </si>
  <si>
    <t>2085</t>
  </si>
  <si>
    <t>28.54794521</t>
  </si>
  <si>
    <t>2086</t>
  </si>
  <si>
    <t>28.56164384</t>
  </si>
  <si>
    <t>2087</t>
  </si>
  <si>
    <t>28.57534247</t>
  </si>
  <si>
    <t>2088</t>
  </si>
  <si>
    <t>28.5890411</t>
  </si>
  <si>
    <t>2089</t>
  </si>
  <si>
    <t>28.60273973</t>
  </si>
  <si>
    <t>2090</t>
  </si>
  <si>
    <t>28.61643836</t>
  </si>
  <si>
    <t>2091</t>
  </si>
  <si>
    <t>28.63013699</t>
  </si>
  <si>
    <t>2092</t>
  </si>
  <si>
    <t>28.64383562</t>
  </si>
  <si>
    <t>2093</t>
  </si>
  <si>
    <t>28.65753425</t>
  </si>
  <si>
    <t>2094</t>
  </si>
  <si>
    <t>28.67123288</t>
  </si>
  <si>
    <t>2095</t>
  </si>
  <si>
    <t>28.68493151</t>
  </si>
  <si>
    <t>2096</t>
  </si>
  <si>
    <t>28.69863014</t>
  </si>
  <si>
    <t>2097</t>
  </si>
  <si>
    <t>28.71232877</t>
  </si>
  <si>
    <t>2098</t>
  </si>
  <si>
    <t>28.7260274</t>
  </si>
  <si>
    <t>2099</t>
  </si>
  <si>
    <t>28.73972603</t>
  </si>
  <si>
    <t>2100</t>
  </si>
  <si>
    <t>28.75342466</t>
  </si>
  <si>
    <t>2101</t>
  </si>
  <si>
    <t>28.76712329</t>
  </si>
  <si>
    <t>2102</t>
  </si>
  <si>
    <t>28.78082192</t>
  </si>
  <si>
    <t>2103</t>
  </si>
  <si>
    <t>28.79452055</t>
  </si>
  <si>
    <t>2104</t>
  </si>
  <si>
    <t>28.80821918</t>
  </si>
  <si>
    <t>2105</t>
  </si>
  <si>
    <t>28.82191781</t>
  </si>
  <si>
    <t>2106</t>
  </si>
  <si>
    <t>28.83561644</t>
  </si>
  <si>
    <t>2107</t>
  </si>
  <si>
    <t>28.84931507</t>
  </si>
  <si>
    <t>2108</t>
  </si>
  <si>
    <t>28.8630137</t>
  </si>
  <si>
    <t>2109</t>
  </si>
  <si>
    <t>28.87671233</t>
  </si>
  <si>
    <t>2110</t>
  </si>
  <si>
    <t>28.89041096</t>
  </si>
  <si>
    <t>2111</t>
  </si>
  <si>
    <t>28.90410959</t>
  </si>
  <si>
    <t>2112</t>
  </si>
  <si>
    <t>28.91780822</t>
  </si>
  <si>
    <t>2113</t>
  </si>
  <si>
    <t>28.93150685</t>
  </si>
  <si>
    <t>2114</t>
  </si>
  <si>
    <t>28.94520548</t>
  </si>
  <si>
    <t>2115</t>
  </si>
  <si>
    <t>28.95890411</t>
  </si>
  <si>
    <t>2116</t>
  </si>
  <si>
    <t>28.97260274</t>
  </si>
  <si>
    <t>2117</t>
  </si>
  <si>
    <t>28.98630137</t>
  </si>
  <si>
    <t>2118</t>
  </si>
  <si>
    <t>29.0</t>
  </si>
  <si>
    <t>2119</t>
  </si>
  <si>
    <t>29.01369863</t>
  </si>
  <si>
    <t>2120</t>
  </si>
  <si>
    <t>29.02739726</t>
  </si>
  <si>
    <t>2121</t>
  </si>
  <si>
    <t>29.04109589</t>
  </si>
  <si>
    <t>2122</t>
  </si>
  <si>
    <t>29.05479452</t>
  </si>
  <si>
    <t>2123</t>
  </si>
  <si>
    <t>29.06849315</t>
  </si>
  <si>
    <t>2124</t>
  </si>
  <si>
    <t>29.08219178</t>
  </si>
  <si>
    <t>2125</t>
  </si>
  <si>
    <t>29.09589041</t>
  </si>
  <si>
    <t>2126</t>
  </si>
  <si>
    <t>29.10958904</t>
  </si>
  <si>
    <t>2127</t>
  </si>
  <si>
    <t>29.12328767</t>
  </si>
  <si>
    <t>2128</t>
  </si>
  <si>
    <t>29.1369863</t>
  </si>
  <si>
    <t>2129</t>
  </si>
  <si>
    <t>29.15068493</t>
  </si>
  <si>
    <t>2130</t>
  </si>
  <si>
    <t>29.16438356</t>
  </si>
  <si>
    <t>2131</t>
  </si>
  <si>
    <t>29.17808219</t>
  </si>
  <si>
    <t>2132</t>
  </si>
  <si>
    <t>29.19178082</t>
  </si>
  <si>
    <t>2133</t>
  </si>
  <si>
    <t>29.20547945</t>
  </si>
  <si>
    <t>2134</t>
  </si>
  <si>
    <t>29.21917808</t>
  </si>
  <si>
    <t>2135</t>
  </si>
  <si>
    <t>29.23287671</t>
  </si>
  <si>
    <t>2136</t>
  </si>
  <si>
    <t>29.24657534</t>
  </si>
  <si>
    <t>2137</t>
  </si>
  <si>
    <t>29.26027397</t>
  </si>
  <si>
    <t>2138</t>
  </si>
  <si>
    <t>29.2739726</t>
  </si>
  <si>
    <t>2139</t>
  </si>
  <si>
    <t>29.28767123</t>
  </si>
  <si>
    <t>2140</t>
  </si>
  <si>
    <t>29.30136986</t>
  </si>
  <si>
    <t>2141</t>
  </si>
  <si>
    <t>29.31506849</t>
  </si>
  <si>
    <t>2142</t>
  </si>
  <si>
    <t>29.32876712</t>
  </si>
  <si>
    <t>2143</t>
  </si>
  <si>
    <t>29.34246575</t>
  </si>
  <si>
    <t>2144</t>
  </si>
  <si>
    <t>29.35616438</t>
  </si>
  <si>
    <t>2145</t>
  </si>
  <si>
    <t>29.36986301</t>
  </si>
  <si>
    <t>2146</t>
  </si>
  <si>
    <t>29.38356164</t>
  </si>
  <si>
    <t>2147</t>
  </si>
  <si>
    <t>29.39726027</t>
  </si>
  <si>
    <t>2148</t>
  </si>
  <si>
    <t>29.4109589</t>
  </si>
  <si>
    <t>2149</t>
  </si>
  <si>
    <t>29.42465753</t>
  </si>
  <si>
    <t>2150</t>
  </si>
  <si>
    <t>29.43835616</t>
  </si>
  <si>
    <t>2151</t>
  </si>
  <si>
    <t>29.45205479</t>
  </si>
  <si>
    <t>2152</t>
  </si>
  <si>
    <t>29.46575342</t>
  </si>
  <si>
    <t>2153</t>
  </si>
  <si>
    <t>29.47945205</t>
  </si>
  <si>
    <t>2154</t>
  </si>
  <si>
    <t>29.49315068</t>
  </si>
  <si>
    <t>2155</t>
  </si>
  <si>
    <t>29.50684932</t>
  </si>
  <si>
    <t>2156</t>
  </si>
  <si>
    <t>29.52054795</t>
  </si>
  <si>
    <t>2157</t>
  </si>
  <si>
    <t>29.53424658</t>
  </si>
  <si>
    <t>2158</t>
  </si>
  <si>
    <t>29.54794521</t>
  </si>
  <si>
    <t>2159</t>
  </si>
  <si>
    <t>29.56164384</t>
  </si>
  <si>
    <t>2160</t>
  </si>
  <si>
    <t>29.57534247</t>
  </si>
  <si>
    <t>2161</t>
  </si>
  <si>
    <t>29.5890411</t>
  </si>
  <si>
    <t>2162</t>
  </si>
  <si>
    <t>29.60273973</t>
  </si>
  <si>
    <t>2163</t>
  </si>
  <si>
    <t>29.61643836</t>
  </si>
  <si>
    <t>2164</t>
  </si>
  <si>
    <t>29.63013699</t>
  </si>
  <si>
    <t>2165</t>
  </si>
  <si>
    <t>29.64383562</t>
  </si>
  <si>
    <t>2166</t>
  </si>
  <si>
    <t>29.65753425</t>
  </si>
  <si>
    <t>2167</t>
  </si>
  <si>
    <t>29.67123288</t>
  </si>
  <si>
    <t>2168</t>
  </si>
  <si>
    <t>29.68493151</t>
  </si>
  <si>
    <t>2169</t>
  </si>
  <si>
    <t>29.69863014</t>
  </si>
  <si>
    <t>2170</t>
  </si>
  <si>
    <t>29.71232877</t>
  </si>
  <si>
    <t>2171</t>
  </si>
  <si>
    <t>29.7260274</t>
  </si>
  <si>
    <t>2172</t>
  </si>
  <si>
    <t>29.73972603</t>
  </si>
  <si>
    <t>2173</t>
  </si>
  <si>
    <t>29.75342466</t>
  </si>
  <si>
    <t>2174</t>
  </si>
  <si>
    <t>29.76712329</t>
  </si>
  <si>
    <t>2175</t>
  </si>
  <si>
    <t>29.78082192</t>
  </si>
  <si>
    <t>2176</t>
  </si>
  <si>
    <t>29.79452055</t>
  </si>
  <si>
    <t>2177</t>
  </si>
  <si>
    <t>29.80821918</t>
  </si>
  <si>
    <t>2178</t>
  </si>
  <si>
    <t>29.82191781</t>
  </si>
  <si>
    <t>2179</t>
  </si>
  <si>
    <t>29.83561644</t>
  </si>
  <si>
    <t>2180</t>
  </si>
  <si>
    <t>29.84931507</t>
  </si>
  <si>
    <t>2181</t>
  </si>
  <si>
    <t>29.8630137</t>
  </si>
  <si>
    <t>2182</t>
  </si>
  <si>
    <t>29.87671233</t>
  </si>
  <si>
    <t>2183</t>
  </si>
  <si>
    <t>29.89041096</t>
  </si>
  <si>
    <t>2184</t>
  </si>
  <si>
    <t>29.90410959</t>
  </si>
  <si>
    <t>2185</t>
  </si>
  <si>
    <t>29.91780822</t>
  </si>
  <si>
    <t>2186</t>
  </si>
  <si>
    <t>29.93150685</t>
  </si>
  <si>
    <t>2187</t>
  </si>
  <si>
    <t>29.94520548</t>
  </si>
  <si>
    <t>2188</t>
  </si>
  <si>
    <t>29.95890411</t>
  </si>
  <si>
    <t>2189</t>
  </si>
  <si>
    <t>29.97260274</t>
  </si>
  <si>
    <t>2190</t>
  </si>
  <si>
    <t>29.98630137</t>
  </si>
  <si>
    <t>2191</t>
  </si>
  <si>
    <t>30.0</t>
  </si>
  <si>
    <t>2192</t>
  </si>
  <si>
    <t>30.01369863</t>
  </si>
  <si>
    <t>2193</t>
  </si>
  <si>
    <t>30.02739726</t>
  </si>
  <si>
    <t>2194</t>
  </si>
  <si>
    <t>30.04109589</t>
  </si>
  <si>
    <t>2195</t>
  </si>
  <si>
    <t>30.05479452</t>
  </si>
  <si>
    <t>2196</t>
  </si>
  <si>
    <t>30.06849315</t>
  </si>
  <si>
    <t>2197</t>
  </si>
  <si>
    <t>30.08219178</t>
  </si>
  <si>
    <t>2198</t>
  </si>
  <si>
    <t>30.09589041</t>
  </si>
  <si>
    <t>2199</t>
  </si>
  <si>
    <t>30.10958904</t>
  </si>
  <si>
    <t>2200</t>
  </si>
  <si>
    <t>30.12328767</t>
  </si>
  <si>
    <t>2201</t>
  </si>
  <si>
    <t>30.1369863</t>
  </si>
  <si>
    <t>2202</t>
  </si>
  <si>
    <t>30.15068493</t>
  </si>
  <si>
    <t>2203</t>
  </si>
  <si>
    <t>30.16438356</t>
  </si>
  <si>
    <t>2204</t>
  </si>
  <si>
    <t>30.17808219</t>
  </si>
  <si>
    <t>2205</t>
  </si>
  <si>
    <t>30.19178082</t>
  </si>
  <si>
    <t>2206</t>
  </si>
  <si>
    <t>30.20547945</t>
  </si>
  <si>
    <t>2207</t>
  </si>
  <si>
    <t>30.21917808</t>
  </si>
  <si>
    <t>2208</t>
  </si>
  <si>
    <t>30.23287671</t>
  </si>
  <si>
    <t>2209</t>
  </si>
  <si>
    <t>30.24657534</t>
  </si>
  <si>
    <t>2210</t>
  </si>
  <si>
    <t>30.26027397</t>
  </si>
  <si>
    <t>2211</t>
  </si>
  <si>
    <t>30.2739726</t>
  </si>
  <si>
    <t>2212</t>
  </si>
  <si>
    <t>30.28767123</t>
  </si>
  <si>
    <t>2213</t>
  </si>
  <si>
    <t>30.30136986</t>
  </si>
  <si>
    <t>2214</t>
  </si>
  <si>
    <t>30.31506849</t>
  </si>
  <si>
    <t>2215</t>
  </si>
  <si>
    <t>30.32876712</t>
  </si>
  <si>
    <t>2216</t>
  </si>
  <si>
    <t>30.34246575</t>
  </si>
  <si>
    <t>2217</t>
  </si>
  <si>
    <t>30.35616438</t>
  </si>
  <si>
    <t>2218</t>
  </si>
  <si>
    <t>30.36986301</t>
  </si>
  <si>
    <t>2219</t>
  </si>
  <si>
    <t>30.38356164</t>
  </si>
  <si>
    <t>2220</t>
  </si>
  <si>
    <t>30.39726027</t>
  </si>
  <si>
    <t>2221</t>
  </si>
  <si>
    <t>30.4109589</t>
  </si>
  <si>
    <t>2222</t>
  </si>
  <si>
    <t>30.42465753</t>
  </si>
  <si>
    <t>2223</t>
  </si>
  <si>
    <t>30.43835616</t>
  </si>
  <si>
    <t>2224</t>
  </si>
  <si>
    <t>30.45205479</t>
  </si>
  <si>
    <t>2225</t>
  </si>
  <si>
    <t>30.46575342</t>
  </si>
  <si>
    <t>2226</t>
  </si>
  <si>
    <t>30.47945205</t>
  </si>
  <si>
    <t>2227</t>
  </si>
  <si>
    <t>30.49315068</t>
  </si>
  <si>
    <t>2228</t>
  </si>
  <si>
    <t>30.50684932</t>
  </si>
  <si>
    <t>2229</t>
  </si>
  <si>
    <t>30.52054795</t>
  </si>
  <si>
    <t>2230</t>
  </si>
  <si>
    <t>30.53424658</t>
  </si>
  <si>
    <t>2231</t>
  </si>
  <si>
    <t>30.54794521</t>
  </si>
  <si>
    <t>2232</t>
  </si>
  <si>
    <t>30.56164384</t>
  </si>
  <si>
    <t>2233</t>
  </si>
  <si>
    <t>30.57534247</t>
  </si>
  <si>
    <t>2234</t>
  </si>
  <si>
    <t>30.5890411</t>
  </si>
  <si>
    <t>2235</t>
  </si>
  <si>
    <t>30.60273973</t>
  </si>
  <si>
    <t>2236</t>
  </si>
  <si>
    <t>30.61643836</t>
  </si>
  <si>
    <t>2237</t>
  </si>
  <si>
    <t>30.63013699</t>
  </si>
  <si>
    <t>2238</t>
  </si>
  <si>
    <t>30.64383562</t>
  </si>
  <si>
    <t>2239</t>
  </si>
  <si>
    <t>30.65753425</t>
  </si>
  <si>
    <t>2240</t>
  </si>
  <si>
    <t>30.67123288</t>
  </si>
  <si>
    <t>2241</t>
  </si>
  <si>
    <t>30.68493151</t>
  </si>
  <si>
    <t>2242</t>
  </si>
  <si>
    <t>30.69863014</t>
  </si>
  <si>
    <t>2243</t>
  </si>
  <si>
    <t>30.71232877</t>
  </si>
  <si>
    <t>2244</t>
  </si>
  <si>
    <t>30.7260274</t>
  </si>
  <si>
    <t>2245</t>
  </si>
  <si>
    <t>30.73972603</t>
  </si>
  <si>
    <t>2246</t>
  </si>
  <si>
    <t>30.75342466</t>
  </si>
  <si>
    <t>2247</t>
  </si>
  <si>
    <t>30.76712329</t>
  </si>
  <si>
    <t>2248</t>
  </si>
  <si>
    <t>30.78082192</t>
  </si>
  <si>
    <t>2249</t>
  </si>
  <si>
    <t>30.79452055</t>
  </si>
  <si>
    <t>2250</t>
  </si>
  <si>
    <t>30.80821918</t>
  </si>
  <si>
    <t>2251</t>
  </si>
  <si>
    <t>30.82191781</t>
  </si>
  <si>
    <t>2252</t>
  </si>
  <si>
    <t>30.83561644</t>
  </si>
  <si>
    <t>2253</t>
  </si>
  <si>
    <t>30.84931507</t>
  </si>
  <si>
    <t>2254</t>
  </si>
  <si>
    <t>30.8630137</t>
  </si>
  <si>
    <t>2255</t>
  </si>
  <si>
    <t>30.87671233</t>
  </si>
  <si>
    <t>2256</t>
  </si>
  <si>
    <t>30.89041096</t>
  </si>
  <si>
    <t>2257</t>
  </si>
  <si>
    <t>30.90410959</t>
  </si>
  <si>
    <t>2258</t>
  </si>
  <si>
    <t>30.91780822</t>
  </si>
  <si>
    <t>2259</t>
  </si>
  <si>
    <t>30.93150685</t>
  </si>
  <si>
    <t>2260</t>
  </si>
  <si>
    <t>30.94520548</t>
  </si>
  <si>
    <t>2261</t>
  </si>
  <si>
    <t>30.95890411</t>
  </si>
  <si>
    <t>2262</t>
  </si>
  <si>
    <t>30.97260274</t>
  </si>
  <si>
    <t>2263</t>
  </si>
  <si>
    <t>30.98630137</t>
  </si>
  <si>
    <t>2264</t>
  </si>
  <si>
    <t>31.0</t>
  </si>
  <si>
    <t>2265</t>
  </si>
  <si>
    <t>31.01369863</t>
  </si>
  <si>
    <t>2266</t>
  </si>
  <si>
    <t>31.02739726</t>
  </si>
  <si>
    <t>2267</t>
  </si>
  <si>
    <t>31.04109589</t>
  </si>
  <si>
    <t>2268</t>
  </si>
  <si>
    <t>31.05479452</t>
  </si>
  <si>
    <t>2269</t>
  </si>
  <si>
    <t>31.06849315</t>
  </si>
  <si>
    <t>2270</t>
  </si>
  <si>
    <t>31.08219178</t>
  </si>
  <si>
    <t>2271</t>
  </si>
  <si>
    <t>31.09589041</t>
  </si>
  <si>
    <t>2272</t>
  </si>
  <si>
    <t>31.10958904</t>
  </si>
  <si>
    <t>2273</t>
  </si>
  <si>
    <t>31.12328767</t>
  </si>
  <si>
    <t>2274</t>
  </si>
  <si>
    <t>31.1369863</t>
  </si>
  <si>
    <t>2275</t>
  </si>
  <si>
    <t>31.15068493</t>
  </si>
  <si>
    <t>2276</t>
  </si>
  <si>
    <t>31.16438356</t>
  </si>
  <si>
    <t>2277</t>
  </si>
  <si>
    <t>31.17808219</t>
  </si>
  <si>
    <t>2278</t>
  </si>
  <si>
    <t>31.19178082</t>
  </si>
  <si>
    <t>2279</t>
  </si>
  <si>
    <t>31.20547945</t>
  </si>
  <si>
    <t>2280</t>
  </si>
  <si>
    <t>31.21917808</t>
  </si>
  <si>
    <t>2281</t>
  </si>
  <si>
    <t>31.23287671</t>
  </si>
  <si>
    <t>2282</t>
  </si>
  <si>
    <t>31.24657534</t>
  </si>
  <si>
    <t>2283</t>
  </si>
  <si>
    <t>31.26027397</t>
  </si>
  <si>
    <t>2284</t>
  </si>
  <si>
    <t>31.2739726</t>
  </si>
  <si>
    <t>2285</t>
  </si>
  <si>
    <t>31.28767123</t>
  </si>
  <si>
    <t>2286</t>
  </si>
  <si>
    <t>31.30136986</t>
  </si>
  <si>
    <t>2287</t>
  </si>
  <si>
    <t>31.31506849</t>
  </si>
  <si>
    <t>2288</t>
  </si>
  <si>
    <t>31.32876712</t>
  </si>
  <si>
    <t>2289</t>
  </si>
  <si>
    <t>31.34246575</t>
  </si>
  <si>
    <t>2290</t>
  </si>
  <si>
    <t>31.35616438</t>
  </si>
  <si>
    <t>2291</t>
  </si>
  <si>
    <t>31.36986301</t>
  </si>
  <si>
    <t>2292</t>
  </si>
  <si>
    <t>31.38356164</t>
  </si>
  <si>
    <t>2293</t>
  </si>
  <si>
    <t>31.39726027</t>
  </si>
  <si>
    <t>2294</t>
  </si>
  <si>
    <t>31.4109589</t>
  </si>
  <si>
    <t>2295</t>
  </si>
  <si>
    <t>31.42465753</t>
  </si>
  <si>
    <t>2296</t>
  </si>
  <si>
    <t>31.43835616</t>
  </si>
  <si>
    <t>2297</t>
  </si>
  <si>
    <t>31.45205479</t>
  </si>
  <si>
    <t>2298</t>
  </si>
  <si>
    <t>31.46575342</t>
  </si>
  <si>
    <t>2299</t>
  </si>
  <si>
    <t>31.47945205</t>
  </si>
  <si>
    <t>2300</t>
  </si>
  <si>
    <t>31.49315068</t>
  </si>
  <si>
    <t>2301</t>
  </si>
  <si>
    <t>31.50684932</t>
  </si>
  <si>
    <t>2302</t>
  </si>
  <si>
    <t>31.52054795</t>
  </si>
  <si>
    <t>2303</t>
  </si>
  <si>
    <t>31.53424658</t>
  </si>
  <si>
    <t>2304</t>
  </si>
  <si>
    <t>31.54794521</t>
  </si>
  <si>
    <t>2305</t>
  </si>
  <si>
    <t>31.56164384</t>
  </si>
  <si>
    <t>2306</t>
  </si>
  <si>
    <t>31.57534247</t>
  </si>
  <si>
    <t>2307</t>
  </si>
  <si>
    <t>31.5890411</t>
  </si>
  <si>
    <t>2308</t>
  </si>
  <si>
    <t>31.60273973</t>
  </si>
  <si>
    <t>2309</t>
  </si>
  <si>
    <t>31.61643836</t>
  </si>
  <si>
    <t>2310</t>
  </si>
  <si>
    <t>31.63013699</t>
  </si>
  <si>
    <t>2311</t>
  </si>
  <si>
    <t>31.64383562</t>
  </si>
  <si>
    <t>2312</t>
  </si>
  <si>
    <t>31.65753425</t>
  </si>
  <si>
    <t>2313</t>
  </si>
  <si>
    <t>31.67123288</t>
  </si>
  <si>
    <t>2314</t>
  </si>
  <si>
    <t>31.68493151</t>
  </si>
  <si>
    <t>2315</t>
  </si>
  <si>
    <t>31.69863014</t>
  </si>
  <si>
    <t>2316</t>
  </si>
  <si>
    <t>31.71232877</t>
  </si>
  <si>
    <t>2317</t>
  </si>
  <si>
    <t>31.7260274</t>
  </si>
  <si>
    <t>2318</t>
  </si>
  <si>
    <t>31.73972603</t>
  </si>
  <si>
    <t>2319</t>
  </si>
  <si>
    <t>31.75342466</t>
  </si>
  <si>
    <t>2320</t>
  </si>
  <si>
    <t>31.76712329</t>
  </si>
  <si>
    <t>2321</t>
  </si>
  <si>
    <t>31.78082192</t>
  </si>
  <si>
    <t>2322</t>
  </si>
  <si>
    <t>31.79452055</t>
  </si>
  <si>
    <t>2323</t>
  </si>
  <si>
    <t>31.80821918</t>
  </si>
  <si>
    <t>2324</t>
  </si>
  <si>
    <t>31.82191781</t>
  </si>
  <si>
    <t>2325</t>
  </si>
  <si>
    <t>31.83561644</t>
  </si>
  <si>
    <t>2326</t>
  </si>
  <si>
    <t>31.84931507</t>
  </si>
  <si>
    <t>2327</t>
  </si>
  <si>
    <t>31.8630137</t>
  </si>
  <si>
    <t>2328</t>
  </si>
  <si>
    <t>31.87671233</t>
  </si>
  <si>
    <t>2329</t>
  </si>
  <si>
    <t>31.89041096</t>
  </si>
  <si>
    <t>2330</t>
  </si>
  <si>
    <t>31.90410959</t>
  </si>
  <si>
    <t>2331</t>
  </si>
  <si>
    <t>31.91780822</t>
  </si>
  <si>
    <t>2332</t>
  </si>
  <si>
    <t>31.93150685</t>
  </si>
  <si>
    <t>2333</t>
  </si>
  <si>
    <t>31.94520548</t>
  </si>
  <si>
    <t>2334</t>
  </si>
  <si>
    <t>31.95890411</t>
  </si>
  <si>
    <t>2335</t>
  </si>
  <si>
    <t>31.97260274</t>
  </si>
  <si>
    <t>2336</t>
  </si>
  <si>
    <t>31.98630137</t>
  </si>
  <si>
    <t>2337</t>
  </si>
  <si>
    <t>32.0</t>
  </si>
  <si>
    <t>2338</t>
  </si>
  <si>
    <t>32.01369863</t>
  </si>
  <si>
    <t>2339</t>
  </si>
  <si>
    <t>32.02739726</t>
  </si>
  <si>
    <t>2340</t>
  </si>
  <si>
    <t>32.04109589</t>
  </si>
  <si>
    <t>2341</t>
  </si>
  <si>
    <t>32.05479452</t>
  </si>
  <si>
    <t>2342</t>
  </si>
  <si>
    <t>32.06849315</t>
  </si>
  <si>
    <t>2343</t>
  </si>
  <si>
    <t>32.08219178</t>
  </si>
  <si>
    <t>2344</t>
  </si>
  <si>
    <t>32.09589041</t>
  </si>
  <si>
    <t>2345</t>
  </si>
  <si>
    <t>32.10958904</t>
  </si>
  <si>
    <t>2346</t>
  </si>
  <si>
    <t>32.12328767</t>
  </si>
  <si>
    <t>2347</t>
  </si>
  <si>
    <t>32.1369863</t>
  </si>
  <si>
    <t>2348</t>
  </si>
  <si>
    <t>32.15068493</t>
  </si>
  <si>
    <t>2349</t>
  </si>
  <si>
    <t>32.16438356</t>
  </si>
  <si>
    <t>2350</t>
  </si>
  <si>
    <t>32.17808219</t>
  </si>
  <si>
    <t>2351</t>
  </si>
  <si>
    <t>32.19178082</t>
  </si>
  <si>
    <t>2352</t>
  </si>
  <si>
    <t>32.20547945</t>
  </si>
  <si>
    <t>2353</t>
  </si>
  <si>
    <t>32.21917808</t>
  </si>
  <si>
    <t>2354</t>
  </si>
  <si>
    <t>32.23287671</t>
  </si>
  <si>
    <t>2355</t>
  </si>
  <si>
    <t>32.24657534</t>
  </si>
  <si>
    <t>2356</t>
  </si>
  <si>
    <t>32.26027397</t>
  </si>
  <si>
    <t>2357</t>
  </si>
  <si>
    <t>32.2739726</t>
  </si>
  <si>
    <t>2358</t>
  </si>
  <si>
    <t>32.28767123</t>
  </si>
  <si>
    <t>2359</t>
  </si>
  <si>
    <t>32.30136986</t>
  </si>
  <si>
    <t>2360</t>
  </si>
  <si>
    <t>32.31506849</t>
  </si>
  <si>
    <t>2361</t>
  </si>
  <si>
    <t>32.32876712</t>
  </si>
  <si>
    <t>2362</t>
  </si>
  <si>
    <t>32.34246575</t>
  </si>
  <si>
    <t>2363</t>
  </si>
  <si>
    <t>32.35616438</t>
  </si>
  <si>
    <t>2364</t>
  </si>
  <si>
    <t>32.36986301</t>
  </si>
  <si>
    <t>2365</t>
  </si>
  <si>
    <t>32.38356164</t>
  </si>
  <si>
    <t>2366</t>
  </si>
  <si>
    <t>32.39726027</t>
  </si>
  <si>
    <t>2367</t>
  </si>
  <si>
    <t>32.4109589</t>
  </si>
  <si>
    <t>2368</t>
  </si>
  <si>
    <t>32.42465753</t>
  </si>
  <si>
    <t>2369</t>
  </si>
  <si>
    <t>32.43835616</t>
  </si>
  <si>
    <t>2370</t>
  </si>
  <si>
    <t>32.45205479</t>
  </si>
  <si>
    <t>2371</t>
  </si>
  <si>
    <t>32.46575342</t>
  </si>
  <si>
    <t>2372</t>
  </si>
  <si>
    <t>32.47945205</t>
  </si>
  <si>
    <t>2373</t>
  </si>
  <si>
    <t>32.49315068</t>
  </si>
  <si>
    <t>2374</t>
  </si>
  <si>
    <t>32.50684932</t>
  </si>
  <si>
    <t>2375</t>
  </si>
  <si>
    <t>32.52054795</t>
  </si>
  <si>
    <t>2376</t>
  </si>
  <si>
    <t>32.53424658</t>
  </si>
  <si>
    <t>2377</t>
  </si>
  <si>
    <t>32.54794521</t>
  </si>
  <si>
    <t>2378</t>
  </si>
  <si>
    <t>32.56164384</t>
  </si>
  <si>
    <t>2379</t>
  </si>
  <si>
    <t>32.57534247</t>
  </si>
  <si>
    <t>2380</t>
  </si>
  <si>
    <t>32.5890411</t>
  </si>
  <si>
    <t>2381</t>
  </si>
  <si>
    <t>32.60273973</t>
  </si>
  <si>
    <t>2382</t>
  </si>
  <si>
    <t>32.61643836</t>
  </si>
  <si>
    <t>2383</t>
  </si>
  <si>
    <t>32.63013699</t>
  </si>
  <si>
    <t>2384</t>
  </si>
  <si>
    <t>32.64383562</t>
  </si>
  <si>
    <t>2385</t>
  </si>
  <si>
    <t>32.65753425</t>
  </si>
  <si>
    <t>2386</t>
  </si>
  <si>
    <t>32.67123288</t>
  </si>
  <si>
    <t>2387</t>
  </si>
  <si>
    <t>32.68493151</t>
  </si>
  <si>
    <t>2388</t>
  </si>
  <si>
    <t>32.69863014</t>
  </si>
  <si>
    <t>2389</t>
  </si>
  <si>
    <t>32.71232877</t>
  </si>
  <si>
    <t>2390</t>
  </si>
  <si>
    <t>32.7260274</t>
  </si>
  <si>
    <t>2391</t>
  </si>
  <si>
    <t>32.73972603</t>
  </si>
  <si>
    <t>2392</t>
  </si>
  <si>
    <t>32.75342466</t>
  </si>
  <si>
    <t>2393</t>
  </si>
  <si>
    <t>32.76712329</t>
  </si>
  <si>
    <t>2394</t>
  </si>
  <si>
    <t>32.78082192</t>
  </si>
  <si>
    <t>2395</t>
  </si>
  <si>
    <t>32.79452055</t>
  </si>
  <si>
    <t>2396</t>
  </si>
  <si>
    <t>32.80821918</t>
  </si>
  <si>
    <t>2397</t>
  </si>
  <si>
    <t>32.82191781</t>
  </si>
  <si>
    <t>2398</t>
  </si>
  <si>
    <t>32.83561644</t>
  </si>
  <si>
    <t>2399</t>
  </si>
  <si>
    <t>32.84931507</t>
  </si>
  <si>
    <t>2400</t>
  </si>
  <si>
    <t>32.8630137</t>
  </si>
  <si>
    <t>2401</t>
  </si>
  <si>
    <t>32.87671233</t>
  </si>
  <si>
    <t>2402</t>
  </si>
  <si>
    <t>32.89041096</t>
  </si>
  <si>
    <t>2403</t>
  </si>
  <si>
    <t>32.90410959</t>
  </si>
  <si>
    <t>2404</t>
  </si>
  <si>
    <t>32.91780822</t>
  </si>
  <si>
    <t>2405</t>
  </si>
  <si>
    <t>32.93150685</t>
  </si>
  <si>
    <t>2406</t>
  </si>
  <si>
    <t>32.94520548</t>
  </si>
  <si>
    <t>2407</t>
  </si>
  <si>
    <t>32.95890411</t>
  </si>
  <si>
    <t>2408</t>
  </si>
  <si>
    <t>32.97260274</t>
  </si>
  <si>
    <t>2409</t>
  </si>
  <si>
    <t>32.98630137</t>
  </si>
  <si>
    <t>2410</t>
  </si>
  <si>
    <t>33.0</t>
  </si>
  <si>
    <t>2411</t>
  </si>
  <si>
    <t>33.01369863</t>
  </si>
  <si>
    <t>2412</t>
  </si>
  <si>
    <t>33.02739726</t>
  </si>
  <si>
    <t>2413</t>
  </si>
  <si>
    <t>33.04109589</t>
  </si>
  <si>
    <t>2414</t>
  </si>
  <si>
    <t>33.05479452</t>
  </si>
  <si>
    <t>2415</t>
  </si>
  <si>
    <t>33.06849315</t>
  </si>
  <si>
    <t>2416</t>
  </si>
  <si>
    <t>33.08219178</t>
  </si>
  <si>
    <t>2417</t>
  </si>
  <si>
    <t>33.09589041</t>
  </si>
  <si>
    <t>2418</t>
  </si>
  <si>
    <t>33.10958904</t>
  </si>
  <si>
    <t>2419</t>
  </si>
  <si>
    <t>33.12328767</t>
  </si>
  <si>
    <t>2420</t>
  </si>
  <si>
    <t>33.1369863</t>
  </si>
  <si>
    <t>2421</t>
  </si>
  <si>
    <t>33.15068493</t>
  </si>
  <si>
    <t>2422</t>
  </si>
  <si>
    <t>33.16438356</t>
  </si>
  <si>
    <t>2423</t>
  </si>
  <si>
    <t>33.17808219</t>
  </si>
  <si>
    <t>2424</t>
  </si>
  <si>
    <t>33.19178082</t>
  </si>
  <si>
    <t>2425</t>
  </si>
  <si>
    <t>33.20547945</t>
  </si>
  <si>
    <t>2426</t>
  </si>
  <si>
    <t>33.21917808</t>
  </si>
  <si>
    <t>2427</t>
  </si>
  <si>
    <t>33.23287671</t>
  </si>
  <si>
    <t>2428</t>
  </si>
  <si>
    <t>33.24657534</t>
  </si>
  <si>
    <t>2429</t>
  </si>
  <si>
    <t>33.26027397</t>
  </si>
  <si>
    <t>2430</t>
  </si>
  <si>
    <t>33.2739726</t>
  </si>
  <si>
    <t>2431</t>
  </si>
  <si>
    <t>33.28767123</t>
  </si>
  <si>
    <t>2432</t>
  </si>
  <si>
    <t>33.30136986</t>
  </si>
  <si>
    <t>2433</t>
  </si>
  <si>
    <t>33.31506849</t>
  </si>
  <si>
    <t>2434</t>
  </si>
  <si>
    <t>33.32876712</t>
  </si>
  <si>
    <t>2435</t>
  </si>
  <si>
    <t>33.34246575</t>
  </si>
  <si>
    <t>2436</t>
  </si>
  <si>
    <t>33.35616438</t>
  </si>
  <si>
    <t>2437</t>
  </si>
  <si>
    <t>33.36986301</t>
  </si>
  <si>
    <t>2438</t>
  </si>
  <si>
    <t>33.38356164</t>
  </si>
  <si>
    <t>2439</t>
  </si>
  <si>
    <t>33.39726027</t>
  </si>
  <si>
    <t>2440</t>
  </si>
  <si>
    <t>33.4109589</t>
  </si>
  <si>
    <t>2441</t>
  </si>
  <si>
    <t>33.42465753</t>
  </si>
  <si>
    <t>2442</t>
  </si>
  <si>
    <t>33.43835616</t>
  </si>
  <si>
    <t>2443</t>
  </si>
  <si>
    <t>33.45205479</t>
  </si>
  <si>
    <t>2444</t>
  </si>
  <si>
    <t>33.46575342</t>
  </si>
  <si>
    <t>2445</t>
  </si>
  <si>
    <t>33.47945205</t>
  </si>
  <si>
    <t>2446</t>
  </si>
  <si>
    <t>33.49315068</t>
  </si>
  <si>
    <t>2447</t>
  </si>
  <si>
    <t>33.50684932</t>
  </si>
  <si>
    <t>2448</t>
  </si>
  <si>
    <t>33.52054795</t>
  </si>
  <si>
    <t>2449</t>
  </si>
  <si>
    <t>33.53424658</t>
  </si>
  <si>
    <t>2450</t>
  </si>
  <si>
    <t>33.54794521</t>
  </si>
  <si>
    <t>2451</t>
  </si>
  <si>
    <t>33.56164384</t>
  </si>
  <si>
    <t>2452</t>
  </si>
  <si>
    <t>33.57534247</t>
  </si>
  <si>
    <t>2453</t>
  </si>
  <si>
    <t>33.5890411</t>
  </si>
  <si>
    <t>2454</t>
  </si>
  <si>
    <t>33.60273973</t>
  </si>
  <si>
    <t>2455</t>
  </si>
  <si>
    <t>33.61643836</t>
  </si>
  <si>
    <t>2456</t>
  </si>
  <si>
    <t>33.63013699</t>
  </si>
  <si>
    <t>2457</t>
  </si>
  <si>
    <t>33.64383562</t>
  </si>
  <si>
    <t>2458</t>
  </si>
  <si>
    <t>33.65753425</t>
  </si>
  <si>
    <t>2459</t>
  </si>
  <si>
    <t>33.67123288</t>
  </si>
  <si>
    <t>2460</t>
  </si>
  <si>
    <t>33.68493151</t>
  </si>
  <si>
    <t>2461</t>
  </si>
  <si>
    <t>33.69863014</t>
  </si>
  <si>
    <t>2462</t>
  </si>
  <si>
    <t>33.71232877</t>
  </si>
  <si>
    <t>2463</t>
  </si>
  <si>
    <t>33.7260274</t>
  </si>
  <si>
    <t>2464</t>
  </si>
  <si>
    <t>33.73972603</t>
  </si>
  <si>
    <t>2465</t>
  </si>
  <si>
    <t>33.75342466</t>
  </si>
  <si>
    <t>2466</t>
  </si>
  <si>
    <t>33.76712329</t>
  </si>
  <si>
    <t>2467</t>
  </si>
  <si>
    <t>33.78082192</t>
  </si>
  <si>
    <t>2468</t>
  </si>
  <si>
    <t>33.79452055</t>
  </si>
  <si>
    <t>2469</t>
  </si>
  <si>
    <t>33.80821918</t>
  </si>
  <si>
    <t>2470</t>
  </si>
  <si>
    <t>33.82191781</t>
  </si>
  <si>
    <t>2471</t>
  </si>
  <si>
    <t>33.83561644</t>
  </si>
  <si>
    <t>2472</t>
  </si>
  <si>
    <t>33.84931507</t>
  </si>
  <si>
    <t>2473</t>
  </si>
  <si>
    <t>33.8630137</t>
  </si>
  <si>
    <t>2474</t>
  </si>
  <si>
    <t>33.87671233</t>
  </si>
  <si>
    <t>2475</t>
  </si>
  <si>
    <t>33.89041096</t>
  </si>
  <si>
    <t>2476</t>
  </si>
  <si>
    <t>33.90410959</t>
  </si>
  <si>
    <t>2477</t>
  </si>
  <si>
    <t>33.91780822</t>
  </si>
  <si>
    <t>2478</t>
  </si>
  <si>
    <t>33.93150685</t>
  </si>
  <si>
    <t>2479</t>
  </si>
  <si>
    <t>33.94520548</t>
  </si>
  <si>
    <t>2480</t>
  </si>
  <si>
    <t>33.95890411</t>
  </si>
  <si>
    <t>2481</t>
  </si>
  <si>
    <t>33.97260274</t>
  </si>
  <si>
    <t>2482</t>
  </si>
  <si>
    <t>33.98630137</t>
  </si>
  <si>
    <t>2483</t>
  </si>
  <si>
    <t>34.0</t>
  </si>
  <si>
    <t>2484</t>
  </si>
  <si>
    <t>34.01369863</t>
  </si>
  <si>
    <t>2485</t>
  </si>
  <si>
    <t>34.02739726</t>
  </si>
  <si>
    <t>2486</t>
  </si>
  <si>
    <t>34.04109589</t>
  </si>
  <si>
    <t>2487</t>
  </si>
  <si>
    <t>34.05479452</t>
  </si>
  <si>
    <t>2488</t>
  </si>
  <si>
    <t>34.06849315</t>
  </si>
  <si>
    <t>2489</t>
  </si>
  <si>
    <t>34.08219178</t>
  </si>
  <si>
    <t>2490</t>
  </si>
  <si>
    <t>34.09589041</t>
  </si>
  <si>
    <t>2491</t>
  </si>
  <si>
    <t>34.10958904</t>
  </si>
  <si>
    <t>2492</t>
  </si>
  <si>
    <t>34.12328767</t>
  </si>
  <si>
    <t>2493</t>
  </si>
  <si>
    <t>34.1369863</t>
  </si>
  <si>
    <t>2494</t>
  </si>
  <si>
    <t>34.15068493</t>
  </si>
  <si>
    <t>2495</t>
  </si>
  <si>
    <t>34.16438356</t>
  </si>
  <si>
    <t>2496</t>
  </si>
  <si>
    <t>34.17808219</t>
  </si>
  <si>
    <t>2497</t>
  </si>
  <si>
    <t>34.19178082</t>
  </si>
  <si>
    <t>2498</t>
  </si>
  <si>
    <t>34.20547945</t>
  </si>
  <si>
    <t>2499</t>
  </si>
  <si>
    <t>34.21917808</t>
  </si>
  <si>
    <t>2500</t>
  </si>
  <si>
    <t>34.23287671</t>
  </si>
  <si>
    <t>2501</t>
  </si>
  <si>
    <t>34.24657534</t>
  </si>
  <si>
    <t>2502</t>
  </si>
  <si>
    <t>34.26027397</t>
  </si>
  <si>
    <t>2503</t>
  </si>
  <si>
    <t>34.2739726</t>
  </si>
  <si>
    <t>2504</t>
  </si>
  <si>
    <t>34.28767123</t>
  </si>
  <si>
    <t>2505</t>
  </si>
  <si>
    <t>34.30136986</t>
  </si>
  <si>
    <t>2506</t>
  </si>
  <si>
    <t>34.31506849</t>
  </si>
  <si>
    <t>2507</t>
  </si>
  <si>
    <t>34.32876712</t>
  </si>
  <si>
    <t>2508</t>
  </si>
  <si>
    <t>34.34246575</t>
  </si>
  <si>
    <t>2509</t>
  </si>
  <si>
    <t>34.35616438</t>
  </si>
  <si>
    <t>2510</t>
  </si>
  <si>
    <t>34.36986301</t>
  </si>
  <si>
    <t>2511</t>
  </si>
  <si>
    <t>34.38356164</t>
  </si>
  <si>
    <t>2512</t>
  </si>
  <si>
    <t>34.39726027</t>
  </si>
  <si>
    <t>2513</t>
  </si>
  <si>
    <t>34.4109589</t>
  </si>
  <si>
    <t>2514</t>
  </si>
  <si>
    <t>34.42465753</t>
  </si>
  <si>
    <t>2515</t>
  </si>
  <si>
    <t>34.43835616</t>
  </si>
  <si>
    <t>2516</t>
  </si>
  <si>
    <t>34.45205479</t>
  </si>
  <si>
    <t>2517</t>
  </si>
  <si>
    <t>34.46575342</t>
  </si>
  <si>
    <t>2518</t>
  </si>
  <si>
    <t>34.47945205</t>
  </si>
  <si>
    <t>2519</t>
  </si>
  <si>
    <t>34.49315068</t>
  </si>
  <si>
    <t>2520</t>
  </si>
  <si>
    <t>34.50684932</t>
  </si>
  <si>
    <t>2521</t>
  </si>
  <si>
    <t>34.52054795</t>
  </si>
  <si>
    <t>2522</t>
  </si>
  <si>
    <t>34.53424658</t>
  </si>
  <si>
    <t>2523</t>
  </si>
  <si>
    <t>34.54794521</t>
  </si>
  <si>
    <t>2524</t>
  </si>
  <si>
    <t>34.56164384</t>
  </si>
  <si>
    <t>2525</t>
  </si>
  <si>
    <t>34.57534247</t>
  </si>
  <si>
    <t>2526</t>
  </si>
  <si>
    <t>34.5890411</t>
  </si>
  <si>
    <t>2527</t>
  </si>
  <si>
    <t>34.60273973</t>
  </si>
  <si>
    <t>2528</t>
  </si>
  <si>
    <t>34.61643836</t>
  </si>
  <si>
    <t>2529</t>
  </si>
  <si>
    <t>34.63013699</t>
  </si>
  <si>
    <t>2530</t>
  </si>
  <si>
    <t>34.64383562</t>
  </si>
  <si>
    <t>2531</t>
  </si>
  <si>
    <t>34.65753425</t>
  </si>
  <si>
    <t>2532</t>
  </si>
  <si>
    <t>34.67123288</t>
  </si>
  <si>
    <t>2533</t>
  </si>
  <si>
    <t>34.68493151</t>
  </si>
  <si>
    <t>2534</t>
  </si>
  <si>
    <t>34.69863014</t>
  </si>
  <si>
    <t>2535</t>
  </si>
  <si>
    <t>34.71232877</t>
  </si>
  <si>
    <t>2536</t>
  </si>
  <si>
    <t>34.7260274</t>
  </si>
  <si>
    <t>2537</t>
  </si>
  <si>
    <t>34.73972603</t>
  </si>
  <si>
    <t>2538</t>
  </si>
  <si>
    <t>34.75342466</t>
  </si>
  <si>
    <t>2539</t>
  </si>
  <si>
    <t>34.76712329</t>
  </si>
  <si>
    <t>2540</t>
  </si>
  <si>
    <t>34.78082192</t>
  </si>
  <si>
    <t>2541</t>
  </si>
  <si>
    <t>34.79452055</t>
  </si>
  <si>
    <t>2542</t>
  </si>
  <si>
    <t>34.80821918</t>
  </si>
  <si>
    <t>2543</t>
  </si>
  <si>
    <t>34.82191781</t>
  </si>
  <si>
    <t>2544</t>
  </si>
  <si>
    <t>34.83561644</t>
  </si>
  <si>
    <t>2545</t>
  </si>
  <si>
    <t>34.84931507</t>
  </si>
  <si>
    <t>2546</t>
  </si>
  <si>
    <t>34.8630137</t>
  </si>
  <si>
    <t>2547</t>
  </si>
  <si>
    <t>34.87671233</t>
  </si>
  <si>
    <t>2548</t>
  </si>
  <si>
    <t>34.89041096</t>
  </si>
  <si>
    <t>2549</t>
  </si>
  <si>
    <t>34.90410959</t>
  </si>
  <si>
    <t>2550</t>
  </si>
  <si>
    <t>34.91780822</t>
  </si>
  <si>
    <t>2551</t>
  </si>
  <si>
    <t>34.93150685</t>
  </si>
  <si>
    <t>2552</t>
  </si>
  <si>
    <t>34.94520548</t>
  </si>
  <si>
    <t>2553</t>
  </si>
  <si>
    <t>34.95890411</t>
  </si>
  <si>
    <t>2554</t>
  </si>
  <si>
    <t>34.97260274</t>
  </si>
  <si>
    <t>2555</t>
  </si>
  <si>
    <t>34.98630137</t>
  </si>
  <si>
    <t>2556</t>
  </si>
  <si>
    <t>35.0</t>
  </si>
  <si>
    <t>2557</t>
  </si>
  <si>
    <t>35.01369863</t>
  </si>
  <si>
    <t>2558</t>
  </si>
  <si>
    <t>35.02739726</t>
  </si>
  <si>
    <t>2559</t>
  </si>
  <si>
    <t>35.04109589</t>
  </si>
  <si>
    <t>2560</t>
  </si>
  <si>
    <t>35.05479452</t>
  </si>
  <si>
    <t>2561</t>
  </si>
  <si>
    <t>35.06849315</t>
  </si>
  <si>
    <t>2562</t>
  </si>
  <si>
    <t>35.08219178</t>
  </si>
  <si>
    <t>2563</t>
  </si>
  <si>
    <t>35.09589041</t>
  </si>
  <si>
    <t>2564</t>
  </si>
  <si>
    <t>35.10958904</t>
  </si>
  <si>
    <t>2565</t>
  </si>
  <si>
    <t>35.12328767</t>
  </si>
  <si>
    <t>2566</t>
  </si>
  <si>
    <t>35.1369863</t>
  </si>
  <si>
    <t>2567</t>
  </si>
  <si>
    <t>35.15068493</t>
  </si>
  <si>
    <t>2568</t>
  </si>
  <si>
    <t>35.16438356</t>
  </si>
  <si>
    <t>2569</t>
  </si>
  <si>
    <t>35.17808219</t>
  </si>
  <si>
    <t>2570</t>
  </si>
  <si>
    <t>35.19178082</t>
  </si>
  <si>
    <t>2571</t>
  </si>
  <si>
    <t>35.20547945</t>
  </si>
  <si>
    <t>2572</t>
  </si>
  <si>
    <t>35.21917808</t>
  </si>
  <si>
    <t>2573</t>
  </si>
  <si>
    <t>35.23287671</t>
  </si>
  <si>
    <t>2574</t>
  </si>
  <si>
    <t>35.24657534</t>
  </si>
  <si>
    <t>2575</t>
  </si>
  <si>
    <t>35.26027397</t>
  </si>
  <si>
    <t>2576</t>
  </si>
  <si>
    <t>35.2739726</t>
  </si>
  <si>
    <t>2577</t>
  </si>
  <si>
    <t>35.28767123</t>
  </si>
  <si>
    <t>2578</t>
  </si>
  <si>
    <t>35.30136986</t>
  </si>
  <si>
    <t>2579</t>
  </si>
  <si>
    <t>35.31506849</t>
  </si>
  <si>
    <t>2580</t>
  </si>
  <si>
    <t>35.32876712</t>
  </si>
  <si>
    <t>2581</t>
  </si>
  <si>
    <t>35.34246575</t>
  </si>
  <si>
    <t>2582</t>
  </si>
  <si>
    <t>35.35616438</t>
  </si>
  <si>
    <t>2583</t>
  </si>
  <si>
    <t>35.36986301</t>
  </si>
  <si>
    <t>2584</t>
  </si>
  <si>
    <t>35.38356164</t>
  </si>
  <si>
    <t>2585</t>
  </si>
  <si>
    <t>35.39726027</t>
  </si>
  <si>
    <t>2586</t>
  </si>
  <si>
    <t>35.4109589</t>
  </si>
  <si>
    <t>2587</t>
  </si>
  <si>
    <t>35.42465753</t>
  </si>
  <si>
    <t>2588</t>
  </si>
  <si>
    <t>35.43835616</t>
  </si>
  <si>
    <t>2589</t>
  </si>
  <si>
    <t>35.45205479</t>
  </si>
  <si>
    <t>2590</t>
  </si>
  <si>
    <t>35.46575342</t>
  </si>
  <si>
    <t>2591</t>
  </si>
  <si>
    <t>35.47945205</t>
  </si>
  <si>
    <t>2592</t>
  </si>
  <si>
    <t>35.49315068</t>
  </si>
  <si>
    <t>2593</t>
  </si>
  <si>
    <t>35.50684932</t>
  </si>
  <si>
    <t>2594</t>
  </si>
  <si>
    <t>35.52054795</t>
  </si>
  <si>
    <t>2595</t>
  </si>
  <si>
    <t>35.53424658</t>
  </si>
  <si>
    <t>2596</t>
  </si>
  <si>
    <t>35.54794521</t>
  </si>
  <si>
    <t>2597</t>
  </si>
  <si>
    <t>35.56164384</t>
  </si>
  <si>
    <t>2598</t>
  </si>
  <si>
    <t>35.57534247</t>
  </si>
  <si>
    <t>2599</t>
  </si>
  <si>
    <t>35.5890411</t>
  </si>
  <si>
    <t>2600</t>
  </si>
  <si>
    <t>35.60273973</t>
  </si>
  <si>
    <t>2601</t>
  </si>
  <si>
    <t>35.61643836</t>
  </si>
  <si>
    <t>2602</t>
  </si>
  <si>
    <t>35.63013699</t>
  </si>
  <si>
    <t>2603</t>
  </si>
  <si>
    <t>35.64383562</t>
  </si>
  <si>
    <t>2604</t>
  </si>
  <si>
    <t>35.65753425</t>
  </si>
  <si>
    <t>2605</t>
  </si>
  <si>
    <t>35.67123288</t>
  </si>
  <si>
    <t>2606</t>
  </si>
  <si>
    <t>35.68493151</t>
  </si>
  <si>
    <t>2607</t>
  </si>
  <si>
    <t>35.69863014</t>
  </si>
  <si>
    <t>2608</t>
  </si>
  <si>
    <t>35.71232877</t>
  </si>
  <si>
    <t>2609</t>
  </si>
  <si>
    <t>35.7260274</t>
  </si>
  <si>
    <t>2610</t>
  </si>
  <si>
    <t>35.73972603</t>
  </si>
  <si>
    <t>2611</t>
  </si>
  <si>
    <t>35.75342466</t>
  </si>
  <si>
    <t>2612</t>
  </si>
  <si>
    <t>35.76712329</t>
  </si>
  <si>
    <t>2613</t>
  </si>
  <si>
    <t>35.78082192</t>
  </si>
  <si>
    <t>2614</t>
  </si>
  <si>
    <t>35.79452055</t>
  </si>
  <si>
    <t>2615</t>
  </si>
  <si>
    <t>35.80821918</t>
  </si>
  <si>
    <t>2616</t>
  </si>
  <si>
    <t>35.82191781</t>
  </si>
  <si>
    <t>2617</t>
  </si>
  <si>
    <t>35.83561644</t>
  </si>
  <si>
    <t>2618</t>
  </si>
  <si>
    <t>35.84931507</t>
  </si>
  <si>
    <t>2619</t>
  </si>
  <si>
    <t>35.8630137</t>
  </si>
  <si>
    <t>2620</t>
  </si>
  <si>
    <t>35.87671233</t>
  </si>
  <si>
    <t>2621</t>
  </si>
  <si>
    <t>35.89041096</t>
  </si>
  <si>
    <t>2622</t>
  </si>
  <si>
    <t>35.90410959</t>
  </si>
  <si>
    <t>2623</t>
  </si>
  <si>
    <t>35.91780822</t>
  </si>
  <si>
    <t>2624</t>
  </si>
  <si>
    <t>35.93150685</t>
  </si>
  <si>
    <t>2625</t>
  </si>
  <si>
    <t>35.94520548</t>
  </si>
  <si>
    <t>2626</t>
  </si>
  <si>
    <t>35.95890411</t>
  </si>
  <si>
    <t>2627</t>
  </si>
  <si>
    <t>35.97260274</t>
  </si>
  <si>
    <t>2628</t>
  </si>
  <si>
    <t>35.98630137</t>
  </si>
  <si>
    <t>2629</t>
  </si>
  <si>
    <t>36.0</t>
  </si>
  <si>
    <t>2630</t>
  </si>
  <si>
    <t>36.01369863</t>
  </si>
  <si>
    <t>2631</t>
  </si>
  <si>
    <t>36.02739726</t>
  </si>
  <si>
    <t>2632</t>
  </si>
  <si>
    <t>36.04109589</t>
  </si>
  <si>
    <t>2633</t>
  </si>
  <si>
    <t>36.05479452</t>
  </si>
  <si>
    <t>2634</t>
  </si>
  <si>
    <t>36.06849315</t>
  </si>
  <si>
    <t>2635</t>
  </si>
  <si>
    <t>36.08219178</t>
  </si>
  <si>
    <t>2636</t>
  </si>
  <si>
    <t>36.09589041</t>
  </si>
  <si>
    <t>2637</t>
  </si>
  <si>
    <t>36.10958904</t>
  </si>
  <si>
    <t>2638</t>
  </si>
  <si>
    <t>36.12328767</t>
  </si>
  <si>
    <t>2639</t>
  </si>
  <si>
    <t>36.1369863</t>
  </si>
  <si>
    <t>2640</t>
  </si>
  <si>
    <t>36.15068493</t>
  </si>
  <si>
    <t>2641</t>
  </si>
  <si>
    <t>36.16438356</t>
  </si>
  <si>
    <t>2642</t>
  </si>
  <si>
    <t>36.17808219</t>
  </si>
  <si>
    <t>2643</t>
  </si>
  <si>
    <t>36.19178082</t>
  </si>
  <si>
    <t>2644</t>
  </si>
  <si>
    <t>36.20547945</t>
  </si>
  <si>
    <t>2645</t>
  </si>
  <si>
    <t>36.21917808</t>
  </si>
  <si>
    <t>2646</t>
  </si>
  <si>
    <t>36.23287671</t>
  </si>
  <si>
    <t>2647</t>
  </si>
  <si>
    <t>36.24657534</t>
  </si>
  <si>
    <t>2648</t>
  </si>
  <si>
    <t>36.26027397</t>
  </si>
  <si>
    <t>2649</t>
  </si>
  <si>
    <t>36.2739726</t>
  </si>
  <si>
    <t>2650</t>
  </si>
  <si>
    <t>36.28767123</t>
  </si>
  <si>
    <t>2651</t>
  </si>
  <si>
    <t>36.30136986</t>
  </si>
  <si>
    <t>2652</t>
  </si>
  <si>
    <t>36.31506849</t>
  </si>
  <si>
    <t>2653</t>
  </si>
  <si>
    <t>36.32876712</t>
  </si>
  <si>
    <t>2654</t>
  </si>
  <si>
    <t>36.34246575</t>
  </si>
  <si>
    <t>2655</t>
  </si>
  <si>
    <t>36.35616438</t>
  </si>
  <si>
    <t>2656</t>
  </si>
  <si>
    <t>36.36986301</t>
  </si>
  <si>
    <t>2657</t>
  </si>
  <si>
    <t>36.38356164</t>
  </si>
  <si>
    <t>2658</t>
  </si>
  <si>
    <t>36.39726027</t>
  </si>
  <si>
    <t>2659</t>
  </si>
  <si>
    <t>36.4109589</t>
  </si>
  <si>
    <t>2660</t>
  </si>
  <si>
    <t>36.42465753</t>
  </si>
  <si>
    <t>2661</t>
  </si>
  <si>
    <t>36.43835616</t>
  </si>
  <si>
    <t>2662</t>
  </si>
  <si>
    <t>36.45205479</t>
  </si>
  <si>
    <t>2663</t>
  </si>
  <si>
    <t>36.46575342</t>
  </si>
  <si>
    <t>2664</t>
  </si>
  <si>
    <t>36.47945205</t>
  </si>
  <si>
    <t>2665</t>
  </si>
  <si>
    <t>36.49315068</t>
  </si>
  <si>
    <t>2666</t>
  </si>
  <si>
    <t>36.50684932</t>
  </si>
  <si>
    <t>2667</t>
  </si>
  <si>
    <t>36.52054795</t>
  </si>
  <si>
    <t>2668</t>
  </si>
  <si>
    <t>36.53424658</t>
  </si>
  <si>
    <t>2669</t>
  </si>
  <si>
    <t>36.54794521</t>
  </si>
  <si>
    <t>2670</t>
  </si>
  <si>
    <t>36.56164384</t>
  </si>
  <si>
    <t>2671</t>
  </si>
  <si>
    <t>36.57534247</t>
  </si>
  <si>
    <t>2672</t>
  </si>
  <si>
    <t>36.5890411</t>
  </si>
  <si>
    <t>2673</t>
  </si>
  <si>
    <t>36.60273973</t>
  </si>
  <si>
    <t>2674</t>
  </si>
  <si>
    <t>36.61643836</t>
  </si>
  <si>
    <t>2675</t>
  </si>
  <si>
    <t>36.63013699</t>
  </si>
  <si>
    <t>2676</t>
  </si>
  <si>
    <t>36.64383562</t>
  </si>
  <si>
    <t>2677</t>
  </si>
  <si>
    <t>36.65753425</t>
  </si>
  <si>
    <t>2678</t>
  </si>
  <si>
    <t>36.67123288</t>
  </si>
  <si>
    <t>2679</t>
  </si>
  <si>
    <t>36.68493151</t>
  </si>
  <si>
    <t>2680</t>
  </si>
  <si>
    <t>36.69863014</t>
  </si>
  <si>
    <t>2681</t>
  </si>
  <si>
    <t>36.71232877</t>
  </si>
  <si>
    <t>2682</t>
  </si>
  <si>
    <t>36.7260274</t>
  </si>
  <si>
    <t>2683</t>
  </si>
  <si>
    <t>36.73972603</t>
  </si>
  <si>
    <t>2684</t>
  </si>
  <si>
    <t>36.75342466</t>
  </si>
  <si>
    <t>2685</t>
  </si>
  <si>
    <t>36.76712329</t>
  </si>
  <si>
    <t>2686</t>
  </si>
  <si>
    <t>36.78082192</t>
  </si>
  <si>
    <t>2687</t>
  </si>
  <si>
    <t>36.79452055</t>
  </si>
  <si>
    <t>2688</t>
  </si>
  <si>
    <t>36.80821918</t>
  </si>
  <si>
    <t>2689</t>
  </si>
  <si>
    <t>36.82191781</t>
  </si>
  <si>
    <t>2690</t>
  </si>
  <si>
    <t>36.83561644</t>
  </si>
  <si>
    <t>2691</t>
  </si>
  <si>
    <t>36.84931507</t>
  </si>
  <si>
    <t>2692</t>
  </si>
  <si>
    <t>36.8630137</t>
  </si>
  <si>
    <t>2693</t>
  </si>
  <si>
    <t>36.87671233</t>
  </si>
  <si>
    <t>2694</t>
  </si>
  <si>
    <t>36.89041096</t>
  </si>
  <si>
    <t>2695</t>
  </si>
  <si>
    <t>36.90410959</t>
  </si>
  <si>
    <t>2696</t>
  </si>
  <si>
    <t>36.91780822</t>
  </si>
  <si>
    <t>2697</t>
  </si>
  <si>
    <t>36.93150685</t>
  </si>
  <si>
    <t>2698</t>
  </si>
  <si>
    <t>36.94520548</t>
  </si>
  <si>
    <t>2699</t>
  </si>
  <si>
    <t>36.95890411</t>
  </si>
  <si>
    <t>2700</t>
  </si>
  <si>
    <t>36.97260274</t>
  </si>
  <si>
    <t>2701</t>
  </si>
  <si>
    <t>36.98630137</t>
  </si>
  <si>
    <t>2702</t>
  </si>
  <si>
    <t>37.0</t>
  </si>
  <si>
    <t>2703</t>
  </si>
  <si>
    <t>37.01369863</t>
  </si>
  <si>
    <t>2704</t>
  </si>
  <si>
    <t>37.02739726</t>
  </si>
  <si>
    <t>2705</t>
  </si>
  <si>
    <t>37.04109589</t>
  </si>
  <si>
    <t>2706</t>
  </si>
  <si>
    <t>37.05479452</t>
  </si>
  <si>
    <t>2707</t>
  </si>
  <si>
    <t>37.06849315</t>
  </si>
  <si>
    <t>2708</t>
  </si>
  <si>
    <t>37.08219178</t>
  </si>
  <si>
    <t>2709</t>
  </si>
  <si>
    <t>37.09589041</t>
  </si>
  <si>
    <t>2710</t>
  </si>
  <si>
    <t>37.10958904</t>
  </si>
  <si>
    <t>2711</t>
  </si>
  <si>
    <t>37.12328767</t>
  </si>
  <si>
    <t>2712</t>
  </si>
  <si>
    <t>37.1369863</t>
  </si>
  <si>
    <t>2713</t>
  </si>
  <si>
    <t>37.15068493</t>
  </si>
  <si>
    <t>2714</t>
  </si>
  <si>
    <t>37.16438356</t>
  </si>
  <si>
    <t>2715</t>
  </si>
  <si>
    <t>37.17808219</t>
  </si>
  <si>
    <t>2716</t>
  </si>
  <si>
    <t>37.19178082</t>
  </si>
  <si>
    <t>2717</t>
  </si>
  <si>
    <t>37.20547945</t>
  </si>
  <si>
    <t>2718</t>
  </si>
  <si>
    <t>37.21917808</t>
  </si>
  <si>
    <t>2719</t>
  </si>
  <si>
    <t>37.23287671</t>
  </si>
  <si>
    <t>2720</t>
  </si>
  <si>
    <t>37.24657534</t>
  </si>
  <si>
    <t>2721</t>
  </si>
  <si>
    <t>37.26027397</t>
  </si>
  <si>
    <t>2722</t>
  </si>
  <si>
    <t>37.2739726</t>
  </si>
  <si>
    <t>2723</t>
  </si>
  <si>
    <t>37.28767123</t>
  </si>
  <si>
    <t>2724</t>
  </si>
  <si>
    <t>37.30136986</t>
  </si>
  <si>
    <t>2725</t>
  </si>
  <si>
    <t>37.31506849</t>
  </si>
  <si>
    <t>2726</t>
  </si>
  <si>
    <t>37.32876712</t>
  </si>
  <si>
    <t>2727</t>
  </si>
  <si>
    <t>37.34246575</t>
  </si>
  <si>
    <t>2728</t>
  </si>
  <si>
    <t>37.35616438</t>
  </si>
  <si>
    <t>2729</t>
  </si>
  <si>
    <t>37.36986301</t>
  </si>
  <si>
    <t>2730</t>
  </si>
  <si>
    <t>37.38356164</t>
  </si>
  <si>
    <t>2731</t>
  </si>
  <si>
    <t>37.39726027</t>
  </si>
  <si>
    <t>2732</t>
  </si>
  <si>
    <t>37.4109589</t>
  </si>
  <si>
    <t>2733</t>
  </si>
  <si>
    <t>37.42465753</t>
  </si>
  <si>
    <t>2734</t>
  </si>
  <si>
    <t>37.43835616</t>
  </si>
  <si>
    <t>2735</t>
  </si>
  <si>
    <t>37.45205479</t>
  </si>
  <si>
    <t>2736</t>
  </si>
  <si>
    <t>37.46575342</t>
  </si>
  <si>
    <t>2737</t>
  </si>
  <si>
    <t>37.47945205</t>
  </si>
  <si>
    <t>2738</t>
  </si>
  <si>
    <t>37.49315068</t>
  </si>
  <si>
    <t>2739</t>
  </si>
  <si>
    <t>37.50684932</t>
  </si>
  <si>
    <t>2740</t>
  </si>
  <si>
    <t>37.52054795</t>
  </si>
  <si>
    <t>2741</t>
  </si>
  <si>
    <t>37.53424658</t>
  </si>
  <si>
    <t>2742</t>
  </si>
  <si>
    <t>37.54794521</t>
  </si>
  <si>
    <t>2743</t>
  </si>
  <si>
    <t>37.56164384</t>
  </si>
  <si>
    <t>2744</t>
  </si>
  <si>
    <t>37.57534247</t>
  </si>
  <si>
    <t>2745</t>
  </si>
  <si>
    <t>37.5890411</t>
  </si>
  <si>
    <t>2746</t>
  </si>
  <si>
    <t>37.60273973</t>
  </si>
  <si>
    <t>2747</t>
  </si>
  <si>
    <t>37.61643836</t>
  </si>
  <si>
    <t>2748</t>
  </si>
  <si>
    <t>37.63013699</t>
  </si>
  <si>
    <t>2749</t>
  </si>
  <si>
    <t>37.64383562</t>
  </si>
  <si>
    <t>2750</t>
  </si>
  <si>
    <t>37.65753425</t>
  </si>
  <si>
    <t>2751</t>
  </si>
  <si>
    <t>37.67123288</t>
  </si>
  <si>
    <t>2752</t>
  </si>
  <si>
    <t>37.68493151</t>
  </si>
  <si>
    <t>2753</t>
  </si>
  <si>
    <t>37.69863014</t>
  </si>
  <si>
    <t>2754</t>
  </si>
  <si>
    <t>37.71232877</t>
  </si>
  <si>
    <t>2755</t>
  </si>
  <si>
    <t>37.7260274</t>
  </si>
  <si>
    <t>2756</t>
  </si>
  <si>
    <t>37.73972603</t>
  </si>
  <si>
    <t>2757</t>
  </si>
  <si>
    <t>37.75342466</t>
  </si>
  <si>
    <t>2758</t>
  </si>
  <si>
    <t>37.76712329</t>
  </si>
  <si>
    <t>2759</t>
  </si>
  <si>
    <t>37.78082192</t>
  </si>
  <si>
    <t>2760</t>
  </si>
  <si>
    <t>37.79452055</t>
  </si>
  <si>
    <t>2761</t>
  </si>
  <si>
    <t>37.80821918</t>
  </si>
  <si>
    <t>2762</t>
  </si>
  <si>
    <t>37.82191781</t>
  </si>
  <si>
    <t>2763</t>
  </si>
  <si>
    <t>37.83561644</t>
  </si>
  <si>
    <t>2764</t>
  </si>
  <si>
    <t>37.84931507</t>
  </si>
  <si>
    <t>2765</t>
  </si>
  <si>
    <t>37.8630137</t>
  </si>
  <si>
    <t>2766</t>
  </si>
  <si>
    <t>37.87671233</t>
  </si>
  <si>
    <t>2767</t>
  </si>
  <si>
    <t>37.89041096</t>
  </si>
  <si>
    <t>2768</t>
  </si>
  <si>
    <t>37.90410959</t>
  </si>
  <si>
    <t>2769</t>
  </si>
  <si>
    <t>37.91780822</t>
  </si>
  <si>
    <t>2770</t>
  </si>
  <si>
    <t>37.93150685</t>
  </si>
  <si>
    <t>2771</t>
  </si>
  <si>
    <t>37.94520548</t>
  </si>
  <si>
    <t>2772</t>
  </si>
  <si>
    <t>37.95890411</t>
  </si>
  <si>
    <t>2773</t>
  </si>
  <si>
    <t>37.97260274</t>
  </si>
  <si>
    <t>2774</t>
  </si>
  <si>
    <t>37.98630137</t>
  </si>
  <si>
    <t>2775</t>
  </si>
  <si>
    <t>38.0</t>
  </si>
  <si>
    <t>2776</t>
  </si>
  <si>
    <t>38.01369863</t>
  </si>
  <si>
    <t>2777</t>
  </si>
  <si>
    <t>38.02739726</t>
  </si>
  <si>
    <t>2778</t>
  </si>
  <si>
    <t>38.04109589</t>
  </si>
  <si>
    <t>2779</t>
  </si>
  <si>
    <t>38.05479452</t>
  </si>
  <si>
    <t>2780</t>
  </si>
  <si>
    <t>38.06849315</t>
  </si>
  <si>
    <t>2781</t>
  </si>
  <si>
    <t>38.08219178</t>
  </si>
  <si>
    <t>2782</t>
  </si>
  <si>
    <t>38.09589041</t>
  </si>
  <si>
    <t>2783</t>
  </si>
  <si>
    <t>38.10958904</t>
  </si>
  <si>
    <t>2784</t>
  </si>
  <si>
    <t>38.12328767</t>
  </si>
  <si>
    <t>2785</t>
  </si>
  <si>
    <t>38.1369863</t>
  </si>
  <si>
    <t>2786</t>
  </si>
  <si>
    <t>38.15068493</t>
  </si>
  <si>
    <t>2787</t>
  </si>
  <si>
    <t>38.16438356</t>
  </si>
  <si>
    <t>2788</t>
  </si>
  <si>
    <t>38.17808219</t>
  </si>
  <si>
    <t>2789</t>
  </si>
  <si>
    <t>38.19178082</t>
  </si>
  <si>
    <t>2790</t>
  </si>
  <si>
    <t>38.20547945</t>
  </si>
  <si>
    <t>2791</t>
  </si>
  <si>
    <t>38.21917808</t>
  </si>
  <si>
    <t>2792</t>
  </si>
  <si>
    <t>38.23287671</t>
  </si>
  <si>
    <t>2793</t>
  </si>
  <si>
    <t>38.24657534</t>
  </si>
  <si>
    <t>2794</t>
  </si>
  <si>
    <t>38.26027397</t>
  </si>
  <si>
    <t>2795</t>
  </si>
  <si>
    <t>38.2739726</t>
  </si>
  <si>
    <t>2796</t>
  </si>
  <si>
    <t>38.28767123</t>
  </si>
  <si>
    <t>2797</t>
  </si>
  <si>
    <t>38.30136986</t>
  </si>
  <si>
    <t>2798</t>
  </si>
  <si>
    <t>38.31506849</t>
  </si>
  <si>
    <t>2799</t>
  </si>
  <si>
    <t>38.32876712</t>
  </si>
  <si>
    <t>2800</t>
  </si>
  <si>
    <t>38.34246575</t>
  </si>
  <si>
    <t>2801</t>
  </si>
  <si>
    <t>38.35616438</t>
  </si>
  <si>
    <t>2802</t>
  </si>
  <si>
    <t>38.36986301</t>
  </si>
  <si>
    <t>2803</t>
  </si>
  <si>
    <t>38.38356164</t>
  </si>
  <si>
    <t>2804</t>
  </si>
  <si>
    <t>38.39726027</t>
  </si>
  <si>
    <t>2805</t>
  </si>
  <si>
    <t>38.4109589</t>
  </si>
  <si>
    <t>2806</t>
  </si>
  <si>
    <t>38.42465753</t>
  </si>
  <si>
    <t>2807</t>
  </si>
  <si>
    <t>38.43835616</t>
  </si>
  <si>
    <t>2808</t>
  </si>
  <si>
    <t>38.45205479</t>
  </si>
  <si>
    <t>2809</t>
  </si>
  <si>
    <t>38.46575342</t>
  </si>
  <si>
    <t>2810</t>
  </si>
  <si>
    <t>38.47945205</t>
  </si>
  <si>
    <t>2811</t>
  </si>
  <si>
    <t>38.49315068</t>
  </si>
  <si>
    <t>2812</t>
  </si>
  <si>
    <t>38.50684932</t>
  </si>
  <si>
    <t>2813</t>
  </si>
  <si>
    <t>38.52054795</t>
  </si>
  <si>
    <t>2814</t>
  </si>
  <si>
    <t>38.53424658</t>
  </si>
  <si>
    <t>2815</t>
  </si>
  <si>
    <t>38.54794521</t>
  </si>
  <si>
    <t>2816</t>
  </si>
  <si>
    <t>38.56164384</t>
  </si>
  <si>
    <t>2817</t>
  </si>
  <si>
    <t>38.57534247</t>
  </si>
  <si>
    <t>2818</t>
  </si>
  <si>
    <t>38.5890411</t>
  </si>
  <si>
    <t>2819</t>
  </si>
  <si>
    <t>38.60273973</t>
  </si>
  <si>
    <t>2820</t>
  </si>
  <si>
    <t>38.61643836</t>
  </si>
  <si>
    <t>2821</t>
  </si>
  <si>
    <t>38.63013699</t>
  </si>
  <si>
    <t>2822</t>
  </si>
  <si>
    <t>38.64383562</t>
  </si>
  <si>
    <t>2823</t>
  </si>
  <si>
    <t>38.65753425</t>
  </si>
  <si>
    <t>2824</t>
  </si>
  <si>
    <t>38.67123288</t>
  </si>
  <si>
    <t>2825</t>
  </si>
  <si>
    <t>38.68493151</t>
  </si>
  <si>
    <t>2826</t>
  </si>
  <si>
    <t>38.69863014</t>
  </si>
  <si>
    <t>2827</t>
  </si>
  <si>
    <t>38.71232877</t>
  </si>
  <si>
    <t>2828</t>
  </si>
  <si>
    <t>38.7260274</t>
  </si>
  <si>
    <t>2829</t>
  </si>
  <si>
    <t>38.73972603</t>
  </si>
  <si>
    <t>2830</t>
  </si>
  <si>
    <t>38.75342466</t>
  </si>
  <si>
    <t>2831</t>
  </si>
  <si>
    <t>38.76712329</t>
  </si>
  <si>
    <t>2832</t>
  </si>
  <si>
    <t>38.78082192</t>
  </si>
  <si>
    <t>2833</t>
  </si>
  <si>
    <t>38.79452055</t>
  </si>
  <si>
    <t>2834</t>
  </si>
  <si>
    <t>38.80821918</t>
  </si>
  <si>
    <t>2835</t>
  </si>
  <si>
    <t>38.82191781</t>
  </si>
  <si>
    <t>2836</t>
  </si>
  <si>
    <t>38.83561644</t>
  </si>
  <si>
    <t>2837</t>
  </si>
  <si>
    <t>38.84931507</t>
  </si>
  <si>
    <t>2838</t>
  </si>
  <si>
    <t>38.8630137</t>
  </si>
  <si>
    <t>2839</t>
  </si>
  <si>
    <t>38.87671233</t>
  </si>
  <si>
    <t>2840</t>
  </si>
  <si>
    <t>38.89041096</t>
  </si>
  <si>
    <t>2841</t>
  </si>
  <si>
    <t>38.90410959</t>
  </si>
  <si>
    <t>2842</t>
  </si>
  <si>
    <t>38.91780822</t>
  </si>
  <si>
    <t>2843</t>
  </si>
  <si>
    <t>38.93150685</t>
  </si>
  <si>
    <t>2844</t>
  </si>
  <si>
    <t>38.94520548</t>
  </si>
  <si>
    <t>2845</t>
  </si>
  <si>
    <t>38.95890411</t>
  </si>
  <si>
    <t>2846</t>
  </si>
  <si>
    <t>38.97260274</t>
  </si>
  <si>
    <t>2847</t>
  </si>
  <si>
    <t>38.98630137</t>
  </si>
  <si>
    <t>2848</t>
  </si>
  <si>
    <t>39.0</t>
  </si>
  <si>
    <t>2849</t>
  </si>
  <si>
    <t>39.01369863</t>
  </si>
  <si>
    <t>2850</t>
  </si>
  <si>
    <t>39.02739726</t>
  </si>
  <si>
    <t>2851</t>
  </si>
  <si>
    <t>39.04109589</t>
  </si>
  <si>
    <t>2852</t>
  </si>
  <si>
    <t>39.05479452</t>
  </si>
  <si>
    <t>2853</t>
  </si>
  <si>
    <t>39.06849315</t>
  </si>
  <si>
    <t>2854</t>
  </si>
  <si>
    <t>39.08219178</t>
  </si>
  <si>
    <t>2855</t>
  </si>
  <si>
    <t>39.09589041</t>
  </si>
  <si>
    <t>2856</t>
  </si>
  <si>
    <t>39.10958904</t>
  </si>
  <si>
    <t>2857</t>
  </si>
  <si>
    <t>39.12328767</t>
  </si>
  <si>
    <t>2858</t>
  </si>
  <si>
    <t>39.1369863</t>
  </si>
  <si>
    <t>2859</t>
  </si>
  <si>
    <t>39.15068493</t>
  </si>
  <si>
    <t>2860</t>
  </si>
  <si>
    <t>39.16438356</t>
  </si>
  <si>
    <t>2861</t>
  </si>
  <si>
    <t>39.17808219</t>
  </si>
  <si>
    <t>2862</t>
  </si>
  <si>
    <t>39.19178082</t>
  </si>
  <si>
    <t>2863</t>
  </si>
  <si>
    <t>39.20547945</t>
  </si>
  <si>
    <t>2864</t>
  </si>
  <si>
    <t>39.21917808</t>
  </si>
  <si>
    <t>2865</t>
  </si>
  <si>
    <t>39.23287671</t>
  </si>
  <si>
    <t>2866</t>
  </si>
  <si>
    <t>39.24657534</t>
  </si>
  <si>
    <t>2867</t>
  </si>
  <si>
    <t>39.26027397</t>
  </si>
  <si>
    <t>2868</t>
  </si>
  <si>
    <t>39.2739726</t>
  </si>
  <si>
    <t>2869</t>
  </si>
  <si>
    <t>39.28767123</t>
  </si>
  <si>
    <t>2870</t>
  </si>
  <si>
    <t>39.30136986</t>
  </si>
  <si>
    <t>2871</t>
  </si>
  <si>
    <t>39.31506849</t>
  </si>
  <si>
    <t>2872</t>
  </si>
  <si>
    <t>39.32876712</t>
  </si>
  <si>
    <t>2873</t>
  </si>
  <si>
    <t>39.34246575</t>
  </si>
  <si>
    <t>2874</t>
  </si>
  <si>
    <t>39.35616438</t>
  </si>
  <si>
    <t>2875</t>
  </si>
  <si>
    <t>39.36986301</t>
  </si>
  <si>
    <t>2876</t>
  </si>
  <si>
    <t>39.38356164</t>
  </si>
  <si>
    <t>2877</t>
  </si>
  <si>
    <t>39.39726027</t>
  </si>
  <si>
    <t>2878</t>
  </si>
  <si>
    <t>39.4109589</t>
  </si>
  <si>
    <t>2879</t>
  </si>
  <si>
    <t>39.42465753</t>
  </si>
  <si>
    <t>2880</t>
  </si>
  <si>
    <t>39.43835616</t>
  </si>
  <si>
    <t>2881</t>
  </si>
  <si>
    <t>39.45205479</t>
  </si>
  <si>
    <t>2882</t>
  </si>
  <si>
    <t>39.46575342</t>
  </si>
  <si>
    <t>2883</t>
  </si>
  <si>
    <t>39.47945205</t>
  </si>
  <si>
    <t>2884</t>
  </si>
  <si>
    <t>39.49315068</t>
  </si>
  <si>
    <t>2885</t>
  </si>
  <si>
    <t>39.50684932</t>
  </si>
  <si>
    <t>2886</t>
  </si>
  <si>
    <t>39.52054795</t>
  </si>
  <si>
    <t>2887</t>
  </si>
  <si>
    <t>39.53424658</t>
  </si>
  <si>
    <t>2888</t>
  </si>
  <si>
    <t>39.54794521</t>
  </si>
  <si>
    <t>2889</t>
  </si>
  <si>
    <t>39.56164384</t>
  </si>
  <si>
    <t>2890</t>
  </si>
  <si>
    <t>39.57534247</t>
  </si>
  <si>
    <t>2891</t>
  </si>
  <si>
    <t>39.5890411</t>
  </si>
  <si>
    <t>2892</t>
  </si>
  <si>
    <t>39.60273973</t>
  </si>
  <si>
    <t>2893</t>
  </si>
  <si>
    <t>39.61643836</t>
  </si>
  <si>
    <t>2894</t>
  </si>
  <si>
    <t>39.63013699</t>
  </si>
  <si>
    <t>2895</t>
  </si>
  <si>
    <t>39.64383562</t>
  </si>
  <si>
    <t>2896</t>
  </si>
  <si>
    <t>39.65753425</t>
  </si>
  <si>
    <t>2897</t>
  </si>
  <si>
    <t>39.67123288</t>
  </si>
  <si>
    <t>2898</t>
  </si>
  <si>
    <t>39.68493151</t>
  </si>
  <si>
    <t>2899</t>
  </si>
  <si>
    <t>39.69863014</t>
  </si>
  <si>
    <t>2900</t>
  </si>
  <si>
    <t>39.71232877</t>
  </si>
  <si>
    <t>2901</t>
  </si>
  <si>
    <t>39.7260274</t>
  </si>
  <si>
    <t>2902</t>
  </si>
  <si>
    <t>39.73972603</t>
  </si>
  <si>
    <t>2903</t>
  </si>
  <si>
    <t>39.75342466</t>
  </si>
  <si>
    <t>2904</t>
  </si>
  <si>
    <t>39.76712329</t>
  </si>
  <si>
    <t>2905</t>
  </si>
  <si>
    <t>39.78082192</t>
  </si>
  <si>
    <t>2906</t>
  </si>
  <si>
    <t>39.79452055</t>
  </si>
  <si>
    <t>2907</t>
  </si>
  <si>
    <t>39.80821918</t>
  </si>
  <si>
    <t>2908</t>
  </si>
  <si>
    <t>39.82191781</t>
  </si>
  <si>
    <t>2909</t>
  </si>
  <si>
    <t>39.83561644</t>
  </si>
  <si>
    <t>2910</t>
  </si>
  <si>
    <t>39.84931507</t>
  </si>
  <si>
    <t>2911</t>
  </si>
  <si>
    <t>39.8630137</t>
  </si>
  <si>
    <t>2912</t>
  </si>
  <si>
    <t>39.87671233</t>
  </si>
  <si>
    <t>2913</t>
  </si>
  <si>
    <t>39.89041096</t>
  </si>
  <si>
    <t>2914</t>
  </si>
  <si>
    <t>39.90410959</t>
  </si>
  <si>
    <t>2915</t>
  </si>
  <si>
    <t>39.91780822</t>
  </si>
  <si>
    <t>2916</t>
  </si>
  <si>
    <t>39.93150685</t>
  </si>
  <si>
    <t>2917</t>
  </si>
  <si>
    <t>39.94520548</t>
  </si>
  <si>
    <t>2918</t>
  </si>
  <si>
    <t>39.95890411</t>
  </si>
  <si>
    <t>2919</t>
  </si>
  <si>
    <t>39.97260274</t>
  </si>
  <si>
    <t>2920</t>
  </si>
  <si>
    <t>39.98630137</t>
  </si>
  <si>
    <t>2921</t>
  </si>
  <si>
    <t>40.0</t>
  </si>
  <si>
    <t>2922</t>
  </si>
  <si>
    <t>40.01369863</t>
  </si>
  <si>
    <t>2923</t>
  </si>
  <si>
    <t>40.02739726</t>
  </si>
  <si>
    <t>2924</t>
  </si>
  <si>
    <t>40.04109589</t>
  </si>
  <si>
    <t>2925</t>
  </si>
  <si>
    <t>40.05479452</t>
  </si>
  <si>
    <t>2926</t>
  </si>
  <si>
    <t>40.06849315</t>
  </si>
  <si>
    <t>2927</t>
  </si>
  <si>
    <t>40.08219178</t>
  </si>
  <si>
    <t>2928</t>
  </si>
  <si>
    <t>40.09589041</t>
  </si>
  <si>
    <t>2929</t>
  </si>
  <si>
    <t>40.10958904</t>
  </si>
  <si>
    <t>2930</t>
  </si>
  <si>
    <t>40.12328767</t>
  </si>
  <si>
    <t>2931</t>
  </si>
  <si>
    <t>40.1369863</t>
  </si>
  <si>
    <t>2932</t>
  </si>
  <si>
    <t>40.15068493</t>
  </si>
  <si>
    <t>2933</t>
  </si>
  <si>
    <t>40.16438356</t>
  </si>
  <si>
    <t>2934</t>
  </si>
  <si>
    <t>40.17808219</t>
  </si>
  <si>
    <t>2935</t>
  </si>
  <si>
    <t>40.19178082</t>
  </si>
  <si>
    <t>2936</t>
  </si>
  <si>
    <t>40.20547945</t>
  </si>
  <si>
    <t>2937</t>
  </si>
  <si>
    <t>40.21917808</t>
  </si>
  <si>
    <t>2938</t>
  </si>
  <si>
    <t>40.23287671</t>
  </si>
  <si>
    <t>2939</t>
  </si>
  <si>
    <t>40.24657534</t>
  </si>
  <si>
    <t>2940</t>
  </si>
  <si>
    <t>40.26027397</t>
  </si>
  <si>
    <t>2941</t>
  </si>
  <si>
    <t>40.2739726</t>
  </si>
  <si>
    <t>2942</t>
  </si>
  <si>
    <t>40.28767123</t>
  </si>
  <si>
    <t>2943</t>
  </si>
  <si>
    <t>40.30136986</t>
  </si>
  <si>
    <t>2944</t>
  </si>
  <si>
    <t>40.31506849</t>
  </si>
  <si>
    <t>2945</t>
  </si>
  <si>
    <t>40.32876712</t>
  </si>
  <si>
    <t>2946</t>
  </si>
  <si>
    <t>40.34246575</t>
  </si>
  <si>
    <t>2947</t>
  </si>
  <si>
    <t>40.35616438</t>
  </si>
  <si>
    <t>2948</t>
  </si>
  <si>
    <t>40.36986301</t>
  </si>
  <si>
    <t>2949</t>
  </si>
  <si>
    <t>40.38356164</t>
  </si>
  <si>
    <t>2950</t>
  </si>
  <si>
    <t>40.39726027</t>
  </si>
  <si>
    <t>2951</t>
  </si>
  <si>
    <t>40.4109589</t>
  </si>
  <si>
    <t>2952</t>
  </si>
  <si>
    <t>40.42465753</t>
  </si>
  <si>
    <t>2953</t>
  </si>
  <si>
    <t>40.43835616</t>
  </si>
  <si>
    <t>2954</t>
  </si>
  <si>
    <t>40.45205479</t>
  </si>
  <si>
    <t>2955</t>
  </si>
  <si>
    <t>40.46575342</t>
  </si>
  <si>
    <t>2956</t>
  </si>
  <si>
    <t>40.47945205</t>
  </si>
  <si>
    <t>2957</t>
  </si>
  <si>
    <t>40.49315068</t>
  </si>
  <si>
    <t>2958</t>
  </si>
  <si>
    <t>40.50684932</t>
  </si>
  <si>
    <t>2959</t>
  </si>
  <si>
    <t>40.52054795</t>
  </si>
  <si>
    <t>2960</t>
  </si>
  <si>
    <t>40.53424658</t>
  </si>
  <si>
    <t>2961</t>
  </si>
  <si>
    <t>40.54794521</t>
  </si>
  <si>
    <t>2962</t>
  </si>
  <si>
    <t>40.56164384</t>
  </si>
  <si>
    <t>2963</t>
  </si>
  <si>
    <t>40.57534247</t>
  </si>
  <si>
    <t>2964</t>
  </si>
  <si>
    <t>40.5890411</t>
  </si>
  <si>
    <t>2965</t>
  </si>
  <si>
    <t>40.60273973</t>
  </si>
  <si>
    <t>2966</t>
  </si>
  <si>
    <t>40.61643836</t>
  </si>
  <si>
    <t>2967</t>
  </si>
  <si>
    <t>40.63013699</t>
  </si>
  <si>
    <t>2968</t>
  </si>
  <si>
    <t>40.64383562</t>
  </si>
  <si>
    <t>2969</t>
  </si>
  <si>
    <t>40.65753425</t>
  </si>
  <si>
    <t>2970</t>
  </si>
  <si>
    <t>40.67123288</t>
  </si>
  <si>
    <t>2971</t>
  </si>
  <si>
    <t>40.68493151</t>
  </si>
  <si>
    <t>2972</t>
  </si>
  <si>
    <t>40.69863014</t>
  </si>
  <si>
    <t>2973</t>
  </si>
  <si>
    <t>40.71232877</t>
  </si>
  <si>
    <t>2974</t>
  </si>
  <si>
    <t>40.7260274</t>
  </si>
  <si>
    <t>2975</t>
  </si>
  <si>
    <t>40.73972603</t>
  </si>
  <si>
    <t>2976</t>
  </si>
  <si>
    <t>40.75342466</t>
  </si>
  <si>
    <t>2977</t>
  </si>
  <si>
    <t>40.76712329</t>
  </si>
  <si>
    <t>2978</t>
  </si>
  <si>
    <t>40.78082192</t>
  </si>
  <si>
    <t>2979</t>
  </si>
  <si>
    <t>40.79452055</t>
  </si>
  <si>
    <t>2980</t>
  </si>
  <si>
    <t>40.80821918</t>
  </si>
  <si>
    <t>2981</t>
  </si>
  <si>
    <t>40.82191781</t>
  </si>
  <si>
    <t>2982</t>
  </si>
  <si>
    <t>40.83561644</t>
  </si>
  <si>
    <t>2983</t>
  </si>
  <si>
    <t>40.84931507</t>
  </si>
  <si>
    <t>2984</t>
  </si>
  <si>
    <t>40.8630137</t>
  </si>
  <si>
    <t>2985</t>
  </si>
  <si>
    <t>40.87671233</t>
  </si>
  <si>
    <t>2986</t>
  </si>
  <si>
    <t>40.89041096</t>
  </si>
  <si>
    <t>2987</t>
  </si>
  <si>
    <t>40.90410959</t>
  </si>
  <si>
    <t>2988</t>
  </si>
  <si>
    <t>40.91780822</t>
  </si>
  <si>
    <t>2989</t>
  </si>
  <si>
    <t>40.93150685</t>
  </si>
  <si>
    <t>2990</t>
  </si>
  <si>
    <t>40.94520548</t>
  </si>
  <si>
    <t>2991</t>
  </si>
  <si>
    <t>40.95890411</t>
  </si>
  <si>
    <t>2992</t>
  </si>
  <si>
    <t>40.97260274</t>
  </si>
  <si>
    <t>2993</t>
  </si>
  <si>
    <t>40.98630137</t>
  </si>
  <si>
    <t>2994</t>
  </si>
  <si>
    <t>41.0</t>
  </si>
  <si>
    <t>2995</t>
  </si>
  <si>
    <t>41.01369863</t>
  </si>
  <si>
    <t>2996</t>
  </si>
  <si>
    <t>41.02739726</t>
  </si>
  <si>
    <t>2997</t>
  </si>
  <si>
    <t>41.04109589</t>
  </si>
  <si>
    <t>2998</t>
  </si>
  <si>
    <t>41.05479452</t>
  </si>
  <si>
    <t>2999</t>
  </si>
  <si>
    <t>41.06849315</t>
  </si>
  <si>
    <t>3000</t>
  </si>
  <si>
    <t>41.08219178</t>
  </si>
  <si>
    <t>3001</t>
  </si>
  <si>
    <t>41.09589041</t>
  </si>
  <si>
    <t>3002</t>
  </si>
  <si>
    <t>41.10958904</t>
  </si>
  <si>
    <t>3003</t>
  </si>
  <si>
    <t>41.12328767</t>
  </si>
  <si>
    <t>3004</t>
  </si>
  <si>
    <t>41.1369863</t>
  </si>
  <si>
    <t>3005</t>
  </si>
  <si>
    <t>41.15068493</t>
  </si>
  <si>
    <t>3006</t>
  </si>
  <si>
    <t>41.16438356</t>
  </si>
  <si>
    <t>3007</t>
  </si>
  <si>
    <t>41.17808219</t>
  </si>
  <si>
    <t>3008</t>
  </si>
  <si>
    <t>41.19178082</t>
  </si>
  <si>
    <t>3009</t>
  </si>
  <si>
    <t>41.20547945</t>
  </si>
  <si>
    <t>3010</t>
  </si>
  <si>
    <t>41.21917808</t>
  </si>
  <si>
    <t>3011</t>
  </si>
  <si>
    <t>41.23287671</t>
  </si>
  <si>
    <t>3012</t>
  </si>
  <si>
    <t>41.24657534</t>
  </si>
  <si>
    <t>3013</t>
  </si>
  <si>
    <t>41.26027397</t>
  </si>
  <si>
    <t>3014</t>
  </si>
  <si>
    <t>41.2739726</t>
  </si>
  <si>
    <t>3015</t>
  </si>
  <si>
    <t>41.28767123</t>
  </si>
  <si>
    <t>3016</t>
  </si>
  <si>
    <t>41.30136986</t>
  </si>
  <si>
    <t>3017</t>
  </si>
  <si>
    <t>41.31506849</t>
  </si>
  <si>
    <t>3018</t>
  </si>
  <si>
    <t>41.32876712</t>
  </si>
  <si>
    <t>3019</t>
  </si>
  <si>
    <t>41.34246575</t>
  </si>
  <si>
    <t>3020</t>
  </si>
  <si>
    <t>41.35616438</t>
  </si>
  <si>
    <t>3021</t>
  </si>
  <si>
    <t>41.36986301</t>
  </si>
  <si>
    <t>3022</t>
  </si>
  <si>
    <t>41.38356164</t>
  </si>
  <si>
    <t>3023</t>
  </si>
  <si>
    <t>41.39726027</t>
  </si>
  <si>
    <t>3024</t>
  </si>
  <si>
    <t>41.4109589</t>
  </si>
  <si>
    <t>3025</t>
  </si>
  <si>
    <t>41.42465753</t>
  </si>
  <si>
    <t>3026</t>
  </si>
  <si>
    <t>41.43835616</t>
  </si>
  <si>
    <t>3027</t>
  </si>
  <si>
    <t>41.45205479</t>
  </si>
  <si>
    <t>3028</t>
  </si>
  <si>
    <t>41.46575342</t>
  </si>
  <si>
    <t>3029</t>
  </si>
  <si>
    <t>41.47945205</t>
  </si>
  <si>
    <t>3030</t>
  </si>
  <si>
    <t>41.49315068</t>
  </si>
  <si>
    <t>3031</t>
  </si>
  <si>
    <t>41.50684932</t>
  </si>
  <si>
    <t>3032</t>
  </si>
  <si>
    <t>41.52054795</t>
  </si>
  <si>
    <t>3033</t>
  </si>
  <si>
    <t>41.53424658</t>
  </si>
  <si>
    <t>3034</t>
  </si>
  <si>
    <t>41.54794521</t>
  </si>
  <si>
    <t>3035</t>
  </si>
  <si>
    <t>41.56164384</t>
  </si>
  <si>
    <t>3036</t>
  </si>
  <si>
    <t>41.57534247</t>
  </si>
  <si>
    <t>3037</t>
  </si>
  <si>
    <t>41.5890411</t>
  </si>
  <si>
    <t>3038</t>
  </si>
  <si>
    <t>41.60273973</t>
  </si>
  <si>
    <t>3039</t>
  </si>
  <si>
    <t>41.61643836</t>
  </si>
  <si>
    <t>3040</t>
  </si>
  <si>
    <t>41.63013699</t>
  </si>
  <si>
    <t>3041</t>
  </si>
  <si>
    <t>41.64383562</t>
  </si>
  <si>
    <t>3042</t>
  </si>
  <si>
    <t>41.65753425</t>
  </si>
  <si>
    <t>3043</t>
  </si>
  <si>
    <t>41.67123288</t>
  </si>
  <si>
    <t>3044</t>
  </si>
  <si>
    <t>41.68493151</t>
  </si>
  <si>
    <t>3045</t>
  </si>
  <si>
    <t>41.69863014</t>
  </si>
  <si>
    <t>3046</t>
  </si>
  <si>
    <t>41.71232877</t>
  </si>
  <si>
    <t>3047</t>
  </si>
  <si>
    <t>41.7260274</t>
  </si>
  <si>
    <t>3048</t>
  </si>
  <si>
    <t>41.73972603</t>
  </si>
  <si>
    <t>3049</t>
  </si>
  <si>
    <t>41.75342466</t>
  </si>
  <si>
    <t>3050</t>
  </si>
  <si>
    <t>41.76712329</t>
  </si>
  <si>
    <t>3051</t>
  </si>
  <si>
    <t>41.78082192</t>
  </si>
  <si>
    <t>3052</t>
  </si>
  <si>
    <t>41.79452055</t>
  </si>
  <si>
    <t>3053</t>
  </si>
  <si>
    <t>41.80821918</t>
  </si>
  <si>
    <t>3054</t>
  </si>
  <si>
    <t>41.82191781</t>
  </si>
  <si>
    <t>3055</t>
  </si>
  <si>
    <t>41.83561644</t>
  </si>
  <si>
    <t>3056</t>
  </si>
  <si>
    <t>41.84931507</t>
  </si>
  <si>
    <t>3057</t>
  </si>
  <si>
    <t>41.8630137</t>
  </si>
  <si>
    <t>3058</t>
  </si>
  <si>
    <t>41.87671233</t>
  </si>
  <si>
    <t>3059</t>
  </si>
  <si>
    <t>41.89041096</t>
  </si>
  <si>
    <t>3060</t>
  </si>
  <si>
    <t>41.90410959</t>
  </si>
  <si>
    <t>3061</t>
  </si>
  <si>
    <t>41.91780822</t>
  </si>
  <si>
    <t>3062</t>
  </si>
  <si>
    <t>41.93150685</t>
  </si>
  <si>
    <t>3063</t>
  </si>
  <si>
    <t>41.94520548</t>
  </si>
  <si>
    <t>3064</t>
  </si>
  <si>
    <t>41.95890411</t>
  </si>
  <si>
    <t>3065</t>
  </si>
  <si>
    <t>41.97260274</t>
  </si>
  <si>
    <t>3066</t>
  </si>
  <si>
    <t>41.98630137</t>
  </si>
  <si>
    <t>3067</t>
  </si>
  <si>
    <t>42.0</t>
  </si>
  <si>
    <t>3068</t>
  </si>
  <si>
    <t>42.01369863</t>
  </si>
  <si>
    <t>3069</t>
  </si>
  <si>
    <t>42.02739726</t>
  </si>
  <si>
    <t>3070</t>
  </si>
  <si>
    <t>42.04109589</t>
  </si>
  <si>
    <t>3071</t>
  </si>
  <si>
    <t>42.05479452</t>
  </si>
  <si>
    <t>3072</t>
  </si>
  <si>
    <t>42.06849315</t>
  </si>
  <si>
    <t>3073</t>
  </si>
  <si>
    <t>42.08219178</t>
  </si>
  <si>
    <t>3074</t>
  </si>
  <si>
    <t>42.09589041</t>
  </si>
  <si>
    <t>3075</t>
  </si>
  <si>
    <t>42.10958904</t>
  </si>
  <si>
    <t>3076</t>
  </si>
  <si>
    <t>42.12328767</t>
  </si>
  <si>
    <t>3077</t>
  </si>
  <si>
    <t>42.1369863</t>
  </si>
  <si>
    <t>3078</t>
  </si>
  <si>
    <t>42.15068493</t>
  </si>
  <si>
    <t>3079</t>
  </si>
  <si>
    <t>42.16438356</t>
  </si>
  <si>
    <t>3080</t>
  </si>
  <si>
    <t>42.17808219</t>
  </si>
  <si>
    <t>3081</t>
  </si>
  <si>
    <t>42.19178082</t>
  </si>
  <si>
    <t>3082</t>
  </si>
  <si>
    <t>42.20547945</t>
  </si>
  <si>
    <t>3083</t>
  </si>
  <si>
    <t>42.21917808</t>
  </si>
  <si>
    <t>3084</t>
  </si>
  <si>
    <t>42.23287671</t>
  </si>
  <si>
    <t>3085</t>
  </si>
  <si>
    <t>42.24657534</t>
  </si>
  <si>
    <t>3086</t>
  </si>
  <si>
    <t>42.26027397</t>
  </si>
  <si>
    <t>3087</t>
  </si>
  <si>
    <t>42.2739726</t>
  </si>
  <si>
    <t>3088</t>
  </si>
  <si>
    <t>42.28767123</t>
  </si>
  <si>
    <t>3089</t>
  </si>
  <si>
    <t>42.30136986</t>
  </si>
  <si>
    <t>3090</t>
  </si>
  <si>
    <t>42.31506849</t>
  </si>
  <si>
    <t>3091</t>
  </si>
  <si>
    <t>42.32876712</t>
  </si>
  <si>
    <t>3092</t>
  </si>
  <si>
    <t>42.34246575</t>
  </si>
  <si>
    <t>3093</t>
  </si>
  <si>
    <t>42.35616438</t>
  </si>
  <si>
    <t>3094</t>
  </si>
  <si>
    <t>42.36986301</t>
  </si>
  <si>
    <t>3095</t>
  </si>
  <si>
    <t>42.38356164</t>
  </si>
  <si>
    <t>3096</t>
  </si>
  <si>
    <t>42.39726027</t>
  </si>
  <si>
    <t>3097</t>
  </si>
  <si>
    <t>42.4109589</t>
  </si>
  <si>
    <t>3098</t>
  </si>
  <si>
    <t>42.42465753</t>
  </si>
  <si>
    <t>3099</t>
  </si>
  <si>
    <t>42.43835616</t>
  </si>
  <si>
    <t>3100</t>
  </si>
  <si>
    <t>42.45205479</t>
  </si>
  <si>
    <t>3101</t>
  </si>
  <si>
    <t>42.46575342</t>
  </si>
  <si>
    <t>3102</t>
  </si>
  <si>
    <t>42.47945205</t>
  </si>
  <si>
    <t>3103</t>
  </si>
  <si>
    <t>42.49315068</t>
  </si>
  <si>
    <t>3104</t>
  </si>
  <si>
    <t>42.50684932</t>
  </si>
  <si>
    <t>3105</t>
  </si>
  <si>
    <t>42.52054795</t>
  </si>
  <si>
    <t>3106</t>
  </si>
  <si>
    <t>42.53424658</t>
  </si>
  <si>
    <t>3107</t>
  </si>
  <si>
    <t>42.54794521</t>
  </si>
  <si>
    <t>3108</t>
  </si>
  <si>
    <t>42.56164384</t>
  </si>
  <si>
    <t>3109</t>
  </si>
  <si>
    <t>42.57534247</t>
  </si>
  <si>
    <t>3110</t>
  </si>
  <si>
    <t>42.5890411</t>
  </si>
  <si>
    <t>3111</t>
  </si>
  <si>
    <t>42.60273973</t>
  </si>
  <si>
    <t>3112</t>
  </si>
  <si>
    <t>42.61643836</t>
  </si>
  <si>
    <t>3113</t>
  </si>
  <si>
    <t>42.63013699</t>
  </si>
  <si>
    <t>3114</t>
  </si>
  <si>
    <t>42.64383562</t>
  </si>
  <si>
    <t>3115</t>
  </si>
  <si>
    <t>42.65753425</t>
  </si>
  <si>
    <t>3116</t>
  </si>
  <si>
    <t>42.67123288</t>
  </si>
  <si>
    <t>3117</t>
  </si>
  <si>
    <t>42.68493151</t>
  </si>
  <si>
    <t>3118</t>
  </si>
  <si>
    <t>42.69863014</t>
  </si>
  <si>
    <t>3119</t>
  </si>
  <si>
    <t>42.71232877</t>
  </si>
  <si>
    <t>3120</t>
  </si>
  <si>
    <t>42.7260274</t>
  </si>
  <si>
    <t>3121</t>
  </si>
  <si>
    <t>42.73972603</t>
  </si>
  <si>
    <t>3122</t>
  </si>
  <si>
    <t>42.75342466</t>
  </si>
  <si>
    <t>3123</t>
  </si>
  <si>
    <t>42.76712329</t>
  </si>
  <si>
    <t>3124</t>
  </si>
  <si>
    <t>42.78082192</t>
  </si>
  <si>
    <t>3125</t>
  </si>
  <si>
    <t>42.79452055</t>
  </si>
  <si>
    <t>3126</t>
  </si>
  <si>
    <t>42.80821918</t>
  </si>
  <si>
    <t>3127</t>
  </si>
  <si>
    <t>42.82191781</t>
  </si>
  <si>
    <t>3128</t>
  </si>
  <si>
    <t>42.83561644</t>
  </si>
  <si>
    <t>3129</t>
  </si>
  <si>
    <t>42.84931507</t>
  </si>
  <si>
    <t>3130</t>
  </si>
  <si>
    <t>42.8630137</t>
  </si>
  <si>
    <t>3131</t>
  </si>
  <si>
    <t>42.87671233</t>
  </si>
  <si>
    <t>3132</t>
  </si>
  <si>
    <t>42.89041096</t>
  </si>
  <si>
    <t>3133</t>
  </si>
  <si>
    <t>42.90410959</t>
  </si>
  <si>
    <t>3134</t>
  </si>
  <si>
    <t>42.91780822</t>
  </si>
  <si>
    <t>3135</t>
  </si>
  <si>
    <t>42.93150685</t>
  </si>
  <si>
    <t>3136</t>
  </si>
  <si>
    <t>42.94520548</t>
  </si>
  <si>
    <t>3137</t>
  </si>
  <si>
    <t>42.95890411</t>
  </si>
  <si>
    <t>3138</t>
  </si>
  <si>
    <t>42.97260274</t>
  </si>
  <si>
    <t>3139</t>
  </si>
  <si>
    <t>42.98630137</t>
  </si>
  <si>
    <t>3140</t>
  </si>
  <si>
    <t>43.0</t>
  </si>
  <si>
    <t>3141</t>
  </si>
  <si>
    <t>43.01369863</t>
  </si>
  <si>
    <t>3142</t>
  </si>
  <si>
    <t>43.02739726</t>
  </si>
  <si>
    <t>3143</t>
  </si>
  <si>
    <t>43.04109589</t>
  </si>
  <si>
    <t>3144</t>
  </si>
  <si>
    <t>43.05479452</t>
  </si>
  <si>
    <t>3145</t>
  </si>
  <si>
    <t>43.06849315</t>
  </si>
  <si>
    <t>3146</t>
  </si>
  <si>
    <t>43.08219178</t>
  </si>
  <si>
    <t>3147</t>
  </si>
  <si>
    <t>43.09589041</t>
  </si>
  <si>
    <t>3148</t>
  </si>
  <si>
    <t>43.10958904</t>
  </si>
  <si>
    <t>3149</t>
  </si>
  <si>
    <t>43.12328767</t>
  </si>
  <si>
    <t>3150</t>
  </si>
  <si>
    <t>43.1369863</t>
  </si>
  <si>
    <t>3151</t>
  </si>
  <si>
    <t>43.15068493</t>
  </si>
  <si>
    <t>3152</t>
  </si>
  <si>
    <t>43.16438356</t>
  </si>
  <si>
    <t>3153</t>
  </si>
  <si>
    <t>43.17808219</t>
  </si>
  <si>
    <t>3154</t>
  </si>
  <si>
    <t>43.19178082</t>
  </si>
  <si>
    <t>3155</t>
  </si>
  <si>
    <t>43.20547945</t>
  </si>
  <si>
    <t>3156</t>
  </si>
  <si>
    <t>43.21917808</t>
  </si>
  <si>
    <t>3157</t>
  </si>
  <si>
    <t>43.23287671</t>
  </si>
  <si>
    <t>3158</t>
  </si>
  <si>
    <t>43.24657534</t>
  </si>
  <si>
    <t>3159</t>
  </si>
  <si>
    <t>43.26027397</t>
  </si>
  <si>
    <t>3160</t>
  </si>
  <si>
    <t>43.2739726</t>
  </si>
  <si>
    <t>3161</t>
  </si>
  <si>
    <t>43.28767123</t>
  </si>
  <si>
    <t>3162</t>
  </si>
  <si>
    <t>43.30136986</t>
  </si>
  <si>
    <t>3163</t>
  </si>
  <si>
    <t>43.31506849</t>
  </si>
  <si>
    <t>3164</t>
  </si>
  <si>
    <t>43.32876712</t>
  </si>
  <si>
    <t>3165</t>
  </si>
  <si>
    <t>43.34246575</t>
  </si>
  <si>
    <t>3166</t>
  </si>
  <si>
    <t>43.35616438</t>
  </si>
  <si>
    <t>3167</t>
  </si>
  <si>
    <t>43.36986301</t>
  </si>
  <si>
    <t>3168</t>
  </si>
  <si>
    <t>43.38356164</t>
  </si>
  <si>
    <t>3169</t>
  </si>
  <si>
    <t>43.39726027</t>
  </si>
  <si>
    <t>3170</t>
  </si>
  <si>
    <t>43.4109589</t>
  </si>
  <si>
    <t>3171</t>
  </si>
  <si>
    <t>43.42465753</t>
  </si>
  <si>
    <t>3172</t>
  </si>
  <si>
    <t>43.43835616</t>
  </si>
  <si>
    <t>3173</t>
  </si>
  <si>
    <t>43.45205479</t>
  </si>
  <si>
    <t>3174</t>
  </si>
  <si>
    <t>43.46575342</t>
  </si>
  <si>
    <t>3175</t>
  </si>
  <si>
    <t>43.47945205</t>
  </si>
  <si>
    <t>3176</t>
  </si>
  <si>
    <t>43.49315068</t>
  </si>
  <si>
    <t>3177</t>
  </si>
  <si>
    <t>43.50684932</t>
  </si>
  <si>
    <t>3178</t>
  </si>
  <si>
    <t>43.52054795</t>
  </si>
  <si>
    <t>3179</t>
  </si>
  <si>
    <t>43.53424658</t>
  </si>
  <si>
    <t>3180</t>
  </si>
  <si>
    <t>43.54794521</t>
  </si>
  <si>
    <t>3181</t>
  </si>
  <si>
    <t>43.56164384</t>
  </si>
  <si>
    <t>3182</t>
  </si>
  <si>
    <t>43.57534247</t>
  </si>
  <si>
    <t>3183</t>
  </si>
  <si>
    <t>43.5890411</t>
  </si>
  <si>
    <t>3184</t>
  </si>
  <si>
    <t>43.60273973</t>
  </si>
  <si>
    <t>3185</t>
  </si>
  <si>
    <t>43.61643836</t>
  </si>
  <si>
    <t>3186</t>
  </si>
  <si>
    <t>43.63013699</t>
  </si>
  <si>
    <t>3187</t>
  </si>
  <si>
    <t>43.64383562</t>
  </si>
  <si>
    <t>3188</t>
  </si>
  <si>
    <t>43.65753425</t>
  </si>
  <si>
    <t>3189</t>
  </si>
  <si>
    <t>43.67123288</t>
  </si>
  <si>
    <t>3190</t>
  </si>
  <si>
    <t>43.68493151</t>
  </si>
  <si>
    <t>3191</t>
  </si>
  <si>
    <t>43.69863014</t>
  </si>
  <si>
    <t>3192</t>
  </si>
  <si>
    <t>43.71232877</t>
  </si>
  <si>
    <t>3193</t>
  </si>
  <si>
    <t>43.7260274</t>
  </si>
  <si>
    <t>3194</t>
  </si>
  <si>
    <t>43.73972603</t>
  </si>
  <si>
    <t>3195</t>
  </si>
  <si>
    <t>43.75342466</t>
  </si>
  <si>
    <t>3196</t>
  </si>
  <si>
    <t>43.76712329</t>
  </si>
  <si>
    <t>3197</t>
  </si>
  <si>
    <t>43.78082192</t>
  </si>
  <si>
    <t>3198</t>
  </si>
  <si>
    <t>43.79452055</t>
  </si>
  <si>
    <t>3199</t>
  </si>
  <si>
    <t>43.80821918</t>
  </si>
  <si>
    <t>3200</t>
  </si>
  <si>
    <t>43.82191781</t>
  </si>
  <si>
    <t>3201</t>
  </si>
  <si>
    <t>43.83561644</t>
  </si>
  <si>
    <t>3202</t>
  </si>
  <si>
    <t>43.84931507</t>
  </si>
  <si>
    <t>3203</t>
  </si>
  <si>
    <t>43.8630137</t>
  </si>
  <si>
    <t>3204</t>
  </si>
  <si>
    <t>43.87671233</t>
  </si>
  <si>
    <t>3205</t>
  </si>
  <si>
    <t>43.89041096</t>
  </si>
  <si>
    <t>3206</t>
  </si>
  <si>
    <t>43.90410959</t>
  </si>
  <si>
    <t>3207</t>
  </si>
  <si>
    <t>43.91780822</t>
  </si>
  <si>
    <t>3208</t>
  </si>
  <si>
    <t>43.93150685</t>
  </si>
  <si>
    <t>3209</t>
  </si>
  <si>
    <t>43.94520548</t>
  </si>
  <si>
    <t>3210</t>
  </si>
  <si>
    <t>43.95890411</t>
  </si>
  <si>
    <t>3211</t>
  </si>
  <si>
    <t>43.97260274</t>
  </si>
  <si>
    <t>3212</t>
  </si>
  <si>
    <t>43.98630137</t>
  </si>
  <si>
    <t>3213</t>
  </si>
  <si>
    <t>44.0</t>
  </si>
  <si>
    <t>3214</t>
  </si>
  <si>
    <t>44.01369863</t>
  </si>
  <si>
    <t>3215</t>
  </si>
  <si>
    <t>44.02739726</t>
  </si>
  <si>
    <t>3216</t>
  </si>
  <si>
    <t>44.04109589</t>
  </si>
  <si>
    <t>3217</t>
  </si>
  <si>
    <t>44.05479452</t>
  </si>
  <si>
    <t>3218</t>
  </si>
  <si>
    <t>44.06849315</t>
  </si>
  <si>
    <t>3219</t>
  </si>
  <si>
    <t>44.08219178</t>
  </si>
  <si>
    <t>3220</t>
  </si>
  <si>
    <t>44.09589041</t>
  </si>
  <si>
    <t>3221</t>
  </si>
  <si>
    <t>44.10958904</t>
  </si>
  <si>
    <t>3222</t>
  </si>
  <si>
    <t>44.12328767</t>
  </si>
  <si>
    <t>3223</t>
  </si>
  <si>
    <t>44.1369863</t>
  </si>
  <si>
    <t>3224</t>
  </si>
  <si>
    <t>44.15068493</t>
  </si>
  <si>
    <t>3225</t>
  </si>
  <si>
    <t>44.16438356</t>
  </si>
  <si>
    <t>3226</t>
  </si>
  <si>
    <t>44.17808219</t>
  </si>
  <si>
    <t>3227</t>
  </si>
  <si>
    <t>44.19178082</t>
  </si>
  <si>
    <t>3228</t>
  </si>
  <si>
    <t>44.20547945</t>
  </si>
  <si>
    <t>3229</t>
  </si>
  <si>
    <t>44.21917808</t>
  </si>
  <si>
    <t>3230</t>
  </si>
  <si>
    <t>44.23287671</t>
  </si>
  <si>
    <t>3231</t>
  </si>
  <si>
    <t>44.24657534</t>
  </si>
  <si>
    <t>3232</t>
  </si>
  <si>
    <t>44.26027397</t>
  </si>
  <si>
    <t>3233</t>
  </si>
  <si>
    <t>44.2739726</t>
  </si>
  <si>
    <t>3234</t>
  </si>
  <si>
    <t>44.28767123</t>
  </si>
  <si>
    <t>3235</t>
  </si>
  <si>
    <t>44.30136986</t>
  </si>
  <si>
    <t>3236</t>
  </si>
  <si>
    <t>44.31506849</t>
  </si>
  <si>
    <t>3237</t>
  </si>
  <si>
    <t>44.32876712</t>
  </si>
  <si>
    <t>3238</t>
  </si>
  <si>
    <t>44.34246575</t>
  </si>
  <si>
    <t>3239</t>
  </si>
  <si>
    <t>44.35616438</t>
  </si>
  <si>
    <t>3240</t>
  </si>
  <si>
    <t>44.36986301</t>
  </si>
  <si>
    <t>3241</t>
  </si>
  <si>
    <t>44.38356164</t>
  </si>
  <si>
    <t>3242</t>
  </si>
  <si>
    <t>44.39726027</t>
  </si>
  <si>
    <t>3243</t>
  </si>
  <si>
    <t>44.4109589</t>
  </si>
  <si>
    <t>3244</t>
  </si>
  <si>
    <t>44.42465753</t>
  </si>
  <si>
    <t>3245</t>
  </si>
  <si>
    <t>44.43835616</t>
  </si>
  <si>
    <t>3246</t>
  </si>
  <si>
    <t>44.45205479</t>
  </si>
  <si>
    <t>3247</t>
  </si>
  <si>
    <t>44.46575342</t>
  </si>
  <si>
    <t>3248</t>
  </si>
  <si>
    <t>44.47945205</t>
  </si>
  <si>
    <t>3249</t>
  </si>
  <si>
    <t>44.49315068</t>
  </si>
  <si>
    <t>3250</t>
  </si>
  <si>
    <t>44.50684932</t>
  </si>
  <si>
    <t>3251</t>
  </si>
  <si>
    <t>44.52054795</t>
  </si>
  <si>
    <t>3252</t>
  </si>
  <si>
    <t>44.53424658</t>
  </si>
  <si>
    <t>3253</t>
  </si>
  <si>
    <t>44.54794521</t>
  </si>
  <si>
    <t>3254</t>
  </si>
  <si>
    <t>44.56164384</t>
  </si>
  <si>
    <t>3255</t>
  </si>
  <si>
    <t>44.57534247</t>
  </si>
  <si>
    <t>3256</t>
  </si>
  <si>
    <t>44.5890411</t>
  </si>
  <si>
    <t>3257</t>
  </si>
  <si>
    <t>44.60273973</t>
  </si>
  <si>
    <t>3258</t>
  </si>
  <si>
    <t>44.61643836</t>
  </si>
  <si>
    <t>3259</t>
  </si>
  <si>
    <t>44.63013699</t>
  </si>
  <si>
    <t>3260</t>
  </si>
  <si>
    <t>44.64383562</t>
  </si>
  <si>
    <t>3261</t>
  </si>
  <si>
    <t>44.65753425</t>
  </si>
  <si>
    <t>3262</t>
  </si>
  <si>
    <t>44.67123288</t>
  </si>
  <si>
    <t>3263</t>
  </si>
  <si>
    <t>44.68493151</t>
  </si>
  <si>
    <t>3264</t>
  </si>
  <si>
    <t>44.69863014</t>
  </si>
  <si>
    <t>3265</t>
  </si>
  <si>
    <t>44.71232877</t>
  </si>
  <si>
    <t>3266</t>
  </si>
  <si>
    <t>44.7260274</t>
  </si>
  <si>
    <t>3267</t>
  </si>
  <si>
    <t>44.73972603</t>
  </si>
  <si>
    <t>3268</t>
  </si>
  <si>
    <t>44.75342466</t>
  </si>
  <si>
    <t>3269</t>
  </si>
  <si>
    <t>44.76712329</t>
  </si>
  <si>
    <t>3270</t>
  </si>
  <si>
    <t>44.78082192</t>
  </si>
  <si>
    <t>3271</t>
  </si>
  <si>
    <t>44.79452055</t>
  </si>
  <si>
    <t>3272</t>
  </si>
  <si>
    <t>44.80821918</t>
  </si>
  <si>
    <t>3273</t>
  </si>
  <si>
    <t>44.82191781</t>
  </si>
  <si>
    <t>3274</t>
  </si>
  <si>
    <t>44.83561644</t>
  </si>
  <si>
    <t>3275</t>
  </si>
  <si>
    <t>44.84931507</t>
  </si>
  <si>
    <t>3276</t>
  </si>
  <si>
    <t>44.8630137</t>
  </si>
  <si>
    <t>3277</t>
  </si>
  <si>
    <t>44.87671233</t>
  </si>
  <si>
    <t>3278</t>
  </si>
  <si>
    <t>44.89041096</t>
  </si>
  <si>
    <t>3279</t>
  </si>
  <si>
    <t>44.90410959</t>
  </si>
  <si>
    <t>3280</t>
  </si>
  <si>
    <t>44.91780822</t>
  </si>
  <si>
    <t>3281</t>
  </si>
  <si>
    <t>44.93150685</t>
  </si>
  <si>
    <t>3282</t>
  </si>
  <si>
    <t>44.94520548</t>
  </si>
  <si>
    <t>3283</t>
  </si>
  <si>
    <t>44.95890411</t>
  </si>
  <si>
    <t>3284</t>
  </si>
  <si>
    <t>44.97260274</t>
  </si>
  <si>
    <t>3285</t>
  </si>
  <si>
    <t>44.98630137</t>
  </si>
  <si>
    <t>3286</t>
  </si>
  <si>
    <t>45.0</t>
  </si>
  <si>
    <t>3287</t>
  </si>
  <si>
    <t>45.01369863</t>
  </si>
  <si>
    <t>3288</t>
  </si>
  <si>
    <t>45.02739726</t>
  </si>
  <si>
    <t>3289</t>
  </si>
  <si>
    <t>45.04109589</t>
  </si>
  <si>
    <t>3290</t>
  </si>
  <si>
    <t>45.05479452</t>
  </si>
  <si>
    <t>3291</t>
  </si>
  <si>
    <t>45.06849315</t>
  </si>
  <si>
    <t>3292</t>
  </si>
  <si>
    <t>45.08219178</t>
  </si>
  <si>
    <t>3293</t>
  </si>
  <si>
    <t>45.09589041</t>
  </si>
  <si>
    <t>3294</t>
  </si>
  <si>
    <t>45.10958904</t>
  </si>
  <si>
    <t>3295</t>
  </si>
  <si>
    <t>45.12328767</t>
  </si>
  <si>
    <t>3296</t>
  </si>
  <si>
    <t>45.1369863</t>
  </si>
  <si>
    <t>3297</t>
  </si>
  <si>
    <t>45.15068493</t>
  </si>
  <si>
    <t>3298</t>
  </si>
  <si>
    <t>45.16438356</t>
  </si>
  <si>
    <t>3299</t>
  </si>
  <si>
    <t>45.17808219</t>
  </si>
  <si>
    <t>3300</t>
  </si>
  <si>
    <t>45.19178082</t>
  </si>
  <si>
    <t>3301</t>
  </si>
  <si>
    <t>45.20547945</t>
  </si>
  <si>
    <t>3302</t>
  </si>
  <si>
    <t>45.21917808</t>
  </si>
  <si>
    <t>3303</t>
  </si>
  <si>
    <t>45.23287671</t>
  </si>
  <si>
    <t>3304</t>
  </si>
  <si>
    <t>45.24657534</t>
  </si>
  <si>
    <t>3305</t>
  </si>
  <si>
    <t>45.26027397</t>
  </si>
  <si>
    <t>3306</t>
  </si>
  <si>
    <t>45.2739726</t>
  </si>
  <si>
    <t>3307</t>
  </si>
  <si>
    <t>45.28767123</t>
  </si>
  <si>
    <t>3308</t>
  </si>
  <si>
    <t>45.30136986</t>
  </si>
  <si>
    <t>3309</t>
  </si>
  <si>
    <t>45.31506849</t>
  </si>
  <si>
    <t>3310</t>
  </si>
  <si>
    <t>45.32876712</t>
  </si>
  <si>
    <t>3311</t>
  </si>
  <si>
    <t>45.34246575</t>
  </si>
  <si>
    <t>3312</t>
  </si>
  <si>
    <t>45.35616438</t>
  </si>
  <si>
    <t>3313</t>
  </si>
  <si>
    <t>45.36986301</t>
  </si>
  <si>
    <t>3314</t>
  </si>
  <si>
    <t>45.38356164</t>
  </si>
  <si>
    <t>3315</t>
  </si>
  <si>
    <t>45.39726027</t>
  </si>
  <si>
    <t>3316</t>
  </si>
  <si>
    <t>45.4109589</t>
  </si>
  <si>
    <t>3317</t>
  </si>
  <si>
    <t>45.42465753</t>
  </si>
  <si>
    <t>3318</t>
  </si>
  <si>
    <t>45.43835616</t>
  </si>
  <si>
    <t>3319</t>
  </si>
  <si>
    <t>45.45205479</t>
  </si>
  <si>
    <t>3320</t>
  </si>
  <si>
    <t>45.46575342</t>
  </si>
  <si>
    <t>3321</t>
  </si>
  <si>
    <t>45.47945205</t>
  </si>
  <si>
    <t>3322</t>
  </si>
  <si>
    <t>45.49315068</t>
  </si>
  <si>
    <t>3323</t>
  </si>
  <si>
    <t>45.50684932</t>
  </si>
  <si>
    <t>3324</t>
  </si>
  <si>
    <t>45.52054795</t>
  </si>
  <si>
    <t>3325</t>
  </si>
  <si>
    <t>45.53424658</t>
  </si>
  <si>
    <t>3326</t>
  </si>
  <si>
    <t>45.54794521</t>
  </si>
  <si>
    <t>3327</t>
  </si>
  <si>
    <t>45.56164384</t>
  </si>
  <si>
    <t>3328</t>
  </si>
  <si>
    <t>45.57534247</t>
  </si>
  <si>
    <t>3329</t>
  </si>
  <si>
    <t>45.5890411</t>
  </si>
  <si>
    <t>3330</t>
  </si>
  <si>
    <t>45.60273973</t>
  </si>
  <si>
    <t>3331</t>
  </si>
  <si>
    <t>45.61643836</t>
  </si>
  <si>
    <t>3332</t>
  </si>
  <si>
    <t>45.63013699</t>
  </si>
  <si>
    <t>3333</t>
  </si>
  <si>
    <t>45.64383562</t>
  </si>
  <si>
    <t>3334</t>
  </si>
  <si>
    <t>45.65753425</t>
  </si>
  <si>
    <t>3335</t>
  </si>
  <si>
    <t>45.67123288</t>
  </si>
  <si>
    <t>3336</t>
  </si>
  <si>
    <t>45.68493151</t>
  </si>
  <si>
    <t>3337</t>
  </si>
  <si>
    <t>45.69863014</t>
  </si>
  <si>
    <t>3338</t>
  </si>
  <si>
    <t>45.71232877</t>
  </si>
  <si>
    <t>3339</t>
  </si>
  <si>
    <t>45.7260274</t>
  </si>
  <si>
    <t>3340</t>
  </si>
  <si>
    <t>45.73972603</t>
  </si>
  <si>
    <t>3341</t>
  </si>
  <si>
    <t>45.75342466</t>
  </si>
  <si>
    <t>3342</t>
  </si>
  <si>
    <t>45.76712329</t>
  </si>
  <si>
    <t>3343</t>
  </si>
  <si>
    <t>45.78082192</t>
  </si>
  <si>
    <t>3344</t>
  </si>
  <si>
    <t>45.79452055</t>
  </si>
  <si>
    <t>3345</t>
  </si>
  <si>
    <t>45.80821918</t>
  </si>
  <si>
    <t>3346</t>
  </si>
  <si>
    <t>45.82191781</t>
  </si>
  <si>
    <t>3347</t>
  </si>
  <si>
    <t>45.83561644</t>
  </si>
  <si>
    <t>3348</t>
  </si>
  <si>
    <t>45.84931507</t>
  </si>
  <si>
    <t>3349</t>
  </si>
  <si>
    <t>45.8630137</t>
  </si>
  <si>
    <t>3350</t>
  </si>
  <si>
    <t>45.87671233</t>
  </si>
  <si>
    <t>3351</t>
  </si>
  <si>
    <t>45.89041096</t>
  </si>
  <si>
    <t>3352</t>
  </si>
  <si>
    <t>45.90410959</t>
  </si>
  <si>
    <t>3353</t>
  </si>
  <si>
    <t>45.91780822</t>
  </si>
  <si>
    <t>3354</t>
  </si>
  <si>
    <t>45.93150685</t>
  </si>
  <si>
    <t>3355</t>
  </si>
  <si>
    <t>45.94520548</t>
  </si>
  <si>
    <t>3356</t>
  </si>
  <si>
    <t>45.95890411</t>
  </si>
  <si>
    <t>3357</t>
  </si>
  <si>
    <t>45.97260274</t>
  </si>
  <si>
    <t>3358</t>
  </si>
  <si>
    <t>45.98630137</t>
  </si>
  <si>
    <t>3359</t>
  </si>
  <si>
    <t>46.0</t>
  </si>
  <si>
    <t>3360</t>
  </si>
  <si>
    <t>46.01369863</t>
  </si>
  <si>
    <t>3361</t>
  </si>
  <si>
    <t>46.02739726</t>
  </si>
  <si>
    <t>3362</t>
  </si>
  <si>
    <t>46.04109589</t>
  </si>
  <si>
    <t>3363</t>
  </si>
  <si>
    <t>46.05479452</t>
  </si>
  <si>
    <t>3364</t>
  </si>
  <si>
    <t>46.06849315</t>
  </si>
  <si>
    <t>3365</t>
  </si>
  <si>
    <t>46.08219178</t>
  </si>
  <si>
    <t>3366</t>
  </si>
  <si>
    <t>46.09589041</t>
  </si>
  <si>
    <t>3367</t>
  </si>
  <si>
    <t>46.10958904</t>
  </si>
  <si>
    <t>3368</t>
  </si>
  <si>
    <t>46.12328767</t>
  </si>
  <si>
    <t>3369</t>
  </si>
  <si>
    <t>46.1369863</t>
  </si>
  <si>
    <t>3370</t>
  </si>
  <si>
    <t>46.15068493</t>
  </si>
  <si>
    <t>3371</t>
  </si>
  <si>
    <t>46.16438356</t>
  </si>
  <si>
    <t>3372</t>
  </si>
  <si>
    <t>46.17808219</t>
  </si>
  <si>
    <t>3373</t>
  </si>
  <si>
    <t>46.19178082</t>
  </si>
  <si>
    <t>3374</t>
  </si>
  <si>
    <t>46.20547945</t>
  </si>
  <si>
    <t>3375</t>
  </si>
  <si>
    <t>46.21917808</t>
  </si>
  <si>
    <t>3376</t>
  </si>
  <si>
    <t>46.23287671</t>
  </si>
  <si>
    <t>3377</t>
  </si>
  <si>
    <t>46.24657534</t>
  </si>
  <si>
    <t>3378</t>
  </si>
  <si>
    <t>46.26027397</t>
  </si>
  <si>
    <t>3379</t>
  </si>
  <si>
    <t>46.2739726</t>
  </si>
  <si>
    <t>3380</t>
  </si>
  <si>
    <t>46.28767123</t>
  </si>
  <si>
    <t>3381</t>
  </si>
  <si>
    <t>46.30136986</t>
  </si>
  <si>
    <t>3382</t>
  </si>
  <si>
    <t>46.31506849</t>
  </si>
  <si>
    <t>3383</t>
  </si>
  <si>
    <t>46.32876712</t>
  </si>
  <si>
    <t>3384</t>
  </si>
  <si>
    <t>46.34246575</t>
  </si>
  <si>
    <t>3385</t>
  </si>
  <si>
    <t>46.35616438</t>
  </si>
  <si>
    <t>3386</t>
  </si>
  <si>
    <t>46.36986301</t>
  </si>
  <si>
    <t>3387</t>
  </si>
  <si>
    <t>46.38356164</t>
  </si>
  <si>
    <t>3388</t>
  </si>
  <si>
    <t>46.39726027</t>
  </si>
  <si>
    <t>3389</t>
  </si>
  <si>
    <t>46.4109589</t>
  </si>
  <si>
    <t>3390</t>
  </si>
  <si>
    <t>46.42465753</t>
  </si>
  <si>
    <t>3391</t>
  </si>
  <si>
    <t>46.43835616</t>
  </si>
  <si>
    <t>3392</t>
  </si>
  <si>
    <t>46.45205479</t>
  </si>
  <si>
    <t>3393</t>
  </si>
  <si>
    <t>46.46575342</t>
  </si>
  <si>
    <t>3394</t>
  </si>
  <si>
    <t>46.47945205</t>
  </si>
  <si>
    <t>3395</t>
  </si>
  <si>
    <t>46.49315068</t>
  </si>
  <si>
    <t>3396</t>
  </si>
  <si>
    <t>46.50684932</t>
  </si>
  <si>
    <t>3397</t>
  </si>
  <si>
    <t>46.52054795</t>
  </si>
  <si>
    <t>3398</t>
  </si>
  <si>
    <t>46.53424658</t>
  </si>
  <si>
    <t>3399</t>
  </si>
  <si>
    <t>46.54794521</t>
  </si>
  <si>
    <t>3400</t>
  </si>
  <si>
    <t>46.56164384</t>
  </si>
  <si>
    <t>3401</t>
  </si>
  <si>
    <t>46.57534247</t>
  </si>
  <si>
    <t>3402</t>
  </si>
  <si>
    <t>46.5890411</t>
  </si>
  <si>
    <t>3403</t>
  </si>
  <si>
    <t>46.60273973</t>
  </si>
  <si>
    <t>3404</t>
  </si>
  <si>
    <t>46.61643836</t>
  </si>
  <si>
    <t>3405</t>
  </si>
  <si>
    <t>46.63013699</t>
  </si>
  <si>
    <t>3406</t>
  </si>
  <si>
    <t>46.64383562</t>
  </si>
  <si>
    <t>3407</t>
  </si>
  <si>
    <t>46.65753425</t>
  </si>
  <si>
    <t>3408</t>
  </si>
  <si>
    <t>46.67123288</t>
  </si>
  <si>
    <t>3409</t>
  </si>
  <si>
    <t>46.68493151</t>
  </si>
  <si>
    <t>3410</t>
  </si>
  <si>
    <t>46.69863014</t>
  </si>
  <si>
    <t>3411</t>
  </si>
  <si>
    <t>46.71232877</t>
  </si>
  <si>
    <t>3412</t>
  </si>
  <si>
    <t>46.7260274</t>
  </si>
  <si>
    <t>3413</t>
  </si>
  <si>
    <t>46.73972603</t>
  </si>
  <si>
    <t>3414</t>
  </si>
  <si>
    <t>46.75342466</t>
  </si>
  <si>
    <t>3415</t>
  </si>
  <si>
    <t>46.76712329</t>
  </si>
  <si>
    <t>3416</t>
  </si>
  <si>
    <t>46.78082192</t>
  </si>
  <si>
    <t>3417</t>
  </si>
  <si>
    <t>46.79452055</t>
  </si>
  <si>
    <t>3418</t>
  </si>
  <si>
    <t>46.80821918</t>
  </si>
  <si>
    <t>3419</t>
  </si>
  <si>
    <t>46.82191781</t>
  </si>
  <si>
    <t>3420</t>
  </si>
  <si>
    <t>46.83561644</t>
  </si>
  <si>
    <t>3421</t>
  </si>
  <si>
    <t>46.84931507</t>
  </si>
  <si>
    <t>3422</t>
  </si>
  <si>
    <t>46.8630137</t>
  </si>
  <si>
    <t>3423</t>
  </si>
  <si>
    <t>46.87671233</t>
  </si>
  <si>
    <t>3424</t>
  </si>
  <si>
    <t>46.89041096</t>
  </si>
  <si>
    <t>3425</t>
  </si>
  <si>
    <t>46.90410959</t>
  </si>
  <si>
    <t>3426</t>
  </si>
  <si>
    <t>46.91780822</t>
  </si>
  <si>
    <t>3427</t>
  </si>
  <si>
    <t>46.93150685</t>
  </si>
  <si>
    <t>3428</t>
  </si>
  <si>
    <t>46.94520548</t>
  </si>
  <si>
    <t>3429</t>
  </si>
  <si>
    <t>46.95890411</t>
  </si>
  <si>
    <t>3430</t>
  </si>
  <si>
    <t>46.97260274</t>
  </si>
  <si>
    <t>3431</t>
  </si>
  <si>
    <t>46.98630137</t>
  </si>
  <si>
    <t>3432</t>
  </si>
  <si>
    <t>47.0</t>
  </si>
  <si>
    <t>3433</t>
  </si>
  <si>
    <t>47.01369863</t>
  </si>
  <si>
    <t>3434</t>
  </si>
  <si>
    <t>47.02739726</t>
  </si>
  <si>
    <t>3435</t>
  </si>
  <si>
    <t>47.04109589</t>
  </si>
  <si>
    <t>3436</t>
  </si>
  <si>
    <t>47.05479452</t>
  </si>
  <si>
    <t>3437</t>
  </si>
  <si>
    <t>47.06849315</t>
  </si>
  <si>
    <t>3438</t>
  </si>
  <si>
    <t>47.08219178</t>
  </si>
  <si>
    <t>3439</t>
  </si>
  <si>
    <t>47.09589041</t>
  </si>
  <si>
    <t>3440</t>
  </si>
  <si>
    <t>47.10958904</t>
  </si>
  <si>
    <t>3441</t>
  </si>
  <si>
    <t>47.12328767</t>
  </si>
  <si>
    <t>3442</t>
  </si>
  <si>
    <t>47.1369863</t>
  </si>
  <si>
    <t>3443</t>
  </si>
  <si>
    <t>47.15068493</t>
  </si>
  <si>
    <t>3444</t>
  </si>
  <si>
    <t>47.16438356</t>
  </si>
  <si>
    <t>3445</t>
  </si>
  <si>
    <t>47.17808219</t>
  </si>
  <si>
    <t>3446</t>
  </si>
  <si>
    <t>47.19178082</t>
  </si>
  <si>
    <t>3447</t>
  </si>
  <si>
    <t>47.20547945</t>
  </si>
  <si>
    <t>3448</t>
  </si>
  <si>
    <t>47.21917808</t>
  </si>
  <si>
    <t>3449</t>
  </si>
  <si>
    <t>47.23287671</t>
  </si>
  <si>
    <t>3450</t>
  </si>
  <si>
    <t>47.24657534</t>
  </si>
  <si>
    <t>3451</t>
  </si>
  <si>
    <t>47.26027397</t>
  </si>
  <si>
    <t>3452</t>
  </si>
  <si>
    <t>47.2739726</t>
  </si>
  <si>
    <t>3453</t>
  </si>
  <si>
    <t>47.28767123</t>
  </si>
  <si>
    <t>3454</t>
  </si>
  <si>
    <t>47.30136986</t>
  </si>
  <si>
    <t>3455</t>
  </si>
  <si>
    <t>47.31506849</t>
  </si>
  <si>
    <t>3456</t>
  </si>
  <si>
    <t>47.32876712</t>
  </si>
  <si>
    <t>3457</t>
  </si>
  <si>
    <t>47.34246575</t>
  </si>
  <si>
    <t>3458</t>
  </si>
  <si>
    <t>47.35616438</t>
  </si>
  <si>
    <t>3459</t>
  </si>
  <si>
    <t>47.36986301</t>
  </si>
  <si>
    <t>3460</t>
  </si>
  <si>
    <t>47.38356164</t>
  </si>
  <si>
    <t>3461</t>
  </si>
  <si>
    <t>47.39726027</t>
  </si>
  <si>
    <t>3462</t>
  </si>
  <si>
    <t>47.4109589</t>
  </si>
  <si>
    <t>3463</t>
  </si>
  <si>
    <t>47.42465753</t>
  </si>
  <si>
    <t>3464</t>
  </si>
  <si>
    <t>47.43835616</t>
  </si>
  <si>
    <t>3465</t>
  </si>
  <si>
    <t>47.45205479</t>
  </si>
  <si>
    <t>3466</t>
  </si>
  <si>
    <t>47.46575342</t>
  </si>
  <si>
    <t>3467</t>
  </si>
  <si>
    <t>47.47945205</t>
  </si>
  <si>
    <t>3468</t>
  </si>
  <si>
    <t>47.49315068</t>
  </si>
  <si>
    <t>3469</t>
  </si>
  <si>
    <t>47.50684932</t>
  </si>
  <si>
    <t>3470</t>
  </si>
  <si>
    <t>47.52054795</t>
  </si>
  <si>
    <t>3471</t>
  </si>
  <si>
    <t>47.53424658</t>
  </si>
  <si>
    <t>3472</t>
  </si>
  <si>
    <t>47.54794521</t>
  </si>
  <si>
    <t>3473</t>
  </si>
  <si>
    <t>47.56164384</t>
  </si>
  <si>
    <t>3474</t>
  </si>
  <si>
    <t>47.57534247</t>
  </si>
  <si>
    <t>3475</t>
  </si>
  <si>
    <t>47.5890411</t>
  </si>
  <si>
    <t>3476</t>
  </si>
  <si>
    <t>47.60273973</t>
  </si>
  <si>
    <t>3477</t>
  </si>
  <si>
    <t>47.61643836</t>
  </si>
  <si>
    <t>3478</t>
  </si>
  <si>
    <t>47.63013699</t>
  </si>
  <si>
    <t>3479</t>
  </si>
  <si>
    <t>47.64383562</t>
  </si>
  <si>
    <t>3480</t>
  </si>
  <si>
    <t>47.65753425</t>
  </si>
  <si>
    <t>3481</t>
  </si>
  <si>
    <t>47.67123288</t>
  </si>
  <si>
    <t>3482</t>
  </si>
  <si>
    <t>47.68493151</t>
  </si>
  <si>
    <t>3483</t>
  </si>
  <si>
    <t>47.69863014</t>
  </si>
  <si>
    <t>3484</t>
  </si>
  <si>
    <t>47.71232877</t>
  </si>
  <si>
    <t>3485</t>
  </si>
  <si>
    <t>47.7260274</t>
  </si>
  <si>
    <t>3486</t>
  </si>
  <si>
    <t>47.73972603</t>
  </si>
  <si>
    <t>3487</t>
  </si>
  <si>
    <t>47.75342466</t>
  </si>
  <si>
    <t>3488</t>
  </si>
  <si>
    <t>47.76712329</t>
  </si>
  <si>
    <t>3489</t>
  </si>
  <si>
    <t>47.78082192</t>
  </si>
  <si>
    <t>3490</t>
  </si>
  <si>
    <t>47.79452055</t>
  </si>
  <si>
    <t>3491</t>
  </si>
  <si>
    <t>47.80821918</t>
  </si>
  <si>
    <t>3492</t>
  </si>
  <si>
    <t>47.82191781</t>
  </si>
  <si>
    <t>3493</t>
  </si>
  <si>
    <t>47.83561644</t>
  </si>
  <si>
    <t>3494</t>
  </si>
  <si>
    <t>47.84931507</t>
  </si>
  <si>
    <t>3495</t>
  </si>
  <si>
    <t>47.8630137</t>
  </si>
  <si>
    <t>3496</t>
  </si>
  <si>
    <t>47.87671233</t>
  </si>
  <si>
    <t>3497</t>
  </si>
  <si>
    <t>47.89041096</t>
  </si>
  <si>
    <t>3498</t>
  </si>
  <si>
    <t>47.90410959</t>
  </si>
  <si>
    <t>3499</t>
  </si>
  <si>
    <t>47.91780822</t>
  </si>
  <si>
    <t>3500</t>
  </si>
  <si>
    <t>47.93150685</t>
  </si>
  <si>
    <t>3501</t>
  </si>
  <si>
    <t>47.94520548</t>
  </si>
  <si>
    <t>3502</t>
  </si>
  <si>
    <t>47.95890411</t>
  </si>
  <si>
    <t>3503</t>
  </si>
  <si>
    <t>47.97260274</t>
  </si>
  <si>
    <t>3504</t>
  </si>
  <si>
    <t>47.98630137</t>
  </si>
  <si>
    <t>3505</t>
  </si>
  <si>
    <t>48.0</t>
  </si>
  <si>
    <t>3506</t>
  </si>
  <si>
    <t>48.01369863</t>
  </si>
  <si>
    <t>3507</t>
  </si>
  <si>
    <t>48.02739726</t>
  </si>
  <si>
    <t>3508</t>
  </si>
  <si>
    <t>48.04109589</t>
  </si>
  <si>
    <t>3509</t>
  </si>
  <si>
    <t>48.05479452</t>
  </si>
  <si>
    <t>3510</t>
  </si>
  <si>
    <t>48.06849315</t>
  </si>
  <si>
    <t>3511</t>
  </si>
  <si>
    <t>48.08219178</t>
  </si>
  <si>
    <t>3512</t>
  </si>
  <si>
    <t>48.09589041</t>
  </si>
  <si>
    <t>3513</t>
  </si>
  <si>
    <t>48.10958904</t>
  </si>
  <si>
    <t>3514</t>
  </si>
  <si>
    <t>48.12328767</t>
  </si>
  <si>
    <t>3515</t>
  </si>
  <si>
    <t>48.1369863</t>
  </si>
  <si>
    <t>3516</t>
  </si>
  <si>
    <t>48.15068493</t>
  </si>
  <si>
    <t>3517</t>
  </si>
  <si>
    <t>48.16438356</t>
  </si>
  <si>
    <t>3518</t>
  </si>
  <si>
    <t>48.17808219</t>
  </si>
  <si>
    <t>3519</t>
  </si>
  <si>
    <t>48.19178082</t>
  </si>
  <si>
    <t>3520</t>
  </si>
  <si>
    <t>48.20547945</t>
  </si>
  <si>
    <t>3521</t>
  </si>
  <si>
    <t>48.21917808</t>
  </si>
  <si>
    <t>3522</t>
  </si>
  <si>
    <t>48.23287671</t>
  </si>
  <si>
    <t>3523</t>
  </si>
  <si>
    <t>48.24657534</t>
  </si>
  <si>
    <t>3524</t>
  </si>
  <si>
    <t>48.26027397</t>
  </si>
  <si>
    <t>3525</t>
  </si>
  <si>
    <t>48.2739726</t>
  </si>
  <si>
    <t>3526</t>
  </si>
  <si>
    <t>48.28767123</t>
  </si>
  <si>
    <t>3527</t>
  </si>
  <si>
    <t>48.30136986</t>
  </si>
  <si>
    <t>3528</t>
  </si>
  <si>
    <t>48.31506849</t>
  </si>
  <si>
    <t>3529</t>
  </si>
  <si>
    <t>48.32876712</t>
  </si>
  <si>
    <t>3530</t>
  </si>
  <si>
    <t>48.34246575</t>
  </si>
  <si>
    <t>3531</t>
  </si>
  <si>
    <t>48.35616438</t>
  </si>
  <si>
    <t>3532</t>
  </si>
  <si>
    <t>48.36986301</t>
  </si>
  <si>
    <t>3533</t>
  </si>
  <si>
    <t>48.38356164</t>
  </si>
  <si>
    <t>3534</t>
  </si>
  <si>
    <t>48.39726027</t>
  </si>
  <si>
    <t>3535</t>
  </si>
  <si>
    <t>48.4109589</t>
  </si>
  <si>
    <t>3536</t>
  </si>
  <si>
    <t>48.42465753</t>
  </si>
  <si>
    <t>3537</t>
  </si>
  <si>
    <t>48.43835616</t>
  </si>
  <si>
    <t>3538</t>
  </si>
  <si>
    <t>48.45205479</t>
  </si>
  <si>
    <t>3539</t>
  </si>
  <si>
    <t>48.46575342</t>
  </si>
  <si>
    <t>3540</t>
  </si>
  <si>
    <t>48.47945205</t>
  </si>
  <si>
    <t>3541</t>
  </si>
  <si>
    <t>48.49315068</t>
  </si>
  <si>
    <t>3542</t>
  </si>
  <si>
    <t>48.50684932</t>
  </si>
  <si>
    <t>3543</t>
  </si>
  <si>
    <t>48.52054795</t>
  </si>
  <si>
    <t>3544</t>
  </si>
  <si>
    <t>48.53424658</t>
  </si>
  <si>
    <t>3545</t>
  </si>
  <si>
    <t>48.54794521</t>
  </si>
  <si>
    <t>3546</t>
  </si>
  <si>
    <t>48.56164384</t>
  </si>
  <si>
    <t>3547</t>
  </si>
  <si>
    <t>48.57534247</t>
  </si>
  <si>
    <t>3548</t>
  </si>
  <si>
    <t>48.5890411</t>
  </si>
  <si>
    <t>3549</t>
  </si>
  <si>
    <t>48.60273973</t>
  </si>
  <si>
    <t>3550</t>
  </si>
  <si>
    <t>48.61643836</t>
  </si>
  <si>
    <t>3551</t>
  </si>
  <si>
    <t>48.63013699</t>
  </si>
  <si>
    <t>3552</t>
  </si>
  <si>
    <t>48.64383562</t>
  </si>
  <si>
    <t>3553</t>
  </si>
  <si>
    <t>48.65753425</t>
  </si>
  <si>
    <t>3554</t>
  </si>
  <si>
    <t>48.67123288</t>
  </si>
  <si>
    <t>3555</t>
  </si>
  <si>
    <t>48.68493151</t>
  </si>
  <si>
    <t>3556</t>
  </si>
  <si>
    <t>48.69863014</t>
  </si>
  <si>
    <t>3557</t>
  </si>
  <si>
    <t>48.71232877</t>
  </si>
  <si>
    <t>3558</t>
  </si>
  <si>
    <t>48.7260274</t>
  </si>
  <si>
    <t>3559</t>
  </si>
  <si>
    <t>48.73972603</t>
  </si>
  <si>
    <t>3560</t>
  </si>
  <si>
    <t>48.75342466</t>
  </si>
  <si>
    <t>3561</t>
  </si>
  <si>
    <t>48.76712329</t>
  </si>
  <si>
    <t>3562</t>
  </si>
  <si>
    <t>48.78082192</t>
  </si>
  <si>
    <t>3563</t>
  </si>
  <si>
    <t>48.79452055</t>
  </si>
  <si>
    <t>3564</t>
  </si>
  <si>
    <t>48.80821918</t>
  </si>
  <si>
    <t>3565</t>
  </si>
  <si>
    <t>48.82191781</t>
  </si>
  <si>
    <t>3566</t>
  </si>
  <si>
    <t>48.83561644</t>
  </si>
  <si>
    <t>3567</t>
  </si>
  <si>
    <t>48.84931507</t>
  </si>
  <si>
    <t>3568</t>
  </si>
  <si>
    <t>48.8630137</t>
  </si>
  <si>
    <t>3569</t>
  </si>
  <si>
    <t>48.87671233</t>
  </si>
  <si>
    <t>3570</t>
  </si>
  <si>
    <t>48.89041096</t>
  </si>
  <si>
    <t>3571</t>
  </si>
  <si>
    <t>48.90410959</t>
  </si>
  <si>
    <t>3572</t>
  </si>
  <si>
    <t>48.91780822</t>
  </si>
  <si>
    <t>3573</t>
  </si>
  <si>
    <t>48.93150685</t>
  </si>
  <si>
    <t>3574</t>
  </si>
  <si>
    <t>48.94520548</t>
  </si>
  <si>
    <t>3575</t>
  </si>
  <si>
    <t>48.95890411</t>
  </si>
  <si>
    <t>3576</t>
  </si>
  <si>
    <t>48.97260274</t>
  </si>
  <si>
    <t>3577</t>
  </si>
  <si>
    <t>48.98630137</t>
  </si>
  <si>
    <t>3578</t>
  </si>
  <si>
    <t>49.0</t>
  </si>
  <si>
    <t>3579</t>
  </si>
  <si>
    <t>49.01369863</t>
  </si>
  <si>
    <t>3580</t>
  </si>
  <si>
    <t>49.02739726</t>
  </si>
  <si>
    <t>3581</t>
  </si>
  <si>
    <t>49.04109589</t>
  </si>
  <si>
    <t>3582</t>
  </si>
  <si>
    <t>49.05479452</t>
  </si>
  <si>
    <t>3583</t>
  </si>
  <si>
    <t>49.06849315</t>
  </si>
  <si>
    <t>3584</t>
  </si>
  <si>
    <t>49.08219178</t>
  </si>
  <si>
    <t>3585</t>
  </si>
  <si>
    <t>49.09589041</t>
  </si>
  <si>
    <t>3586</t>
  </si>
  <si>
    <t>49.10958904</t>
  </si>
  <si>
    <t>3587</t>
  </si>
  <si>
    <t>49.12328767</t>
  </si>
  <si>
    <t>3588</t>
  </si>
  <si>
    <t>49.1369863</t>
  </si>
  <si>
    <t>3589</t>
  </si>
  <si>
    <t>49.15068493</t>
  </si>
  <si>
    <t>3590</t>
  </si>
  <si>
    <t>49.16438356</t>
  </si>
  <si>
    <t>3591</t>
  </si>
  <si>
    <t>49.17808219</t>
  </si>
  <si>
    <t>3592</t>
  </si>
  <si>
    <t>49.19178082</t>
  </si>
  <si>
    <t>3593</t>
  </si>
  <si>
    <t>49.20547945</t>
  </si>
  <si>
    <t>3594</t>
  </si>
  <si>
    <t>49.21917808</t>
  </si>
  <si>
    <t>3595</t>
  </si>
  <si>
    <t>49.23287671</t>
  </si>
  <si>
    <t>3596</t>
  </si>
  <si>
    <t>49.24657534</t>
  </si>
  <si>
    <t>3597</t>
  </si>
  <si>
    <t>49.26027397</t>
  </si>
  <si>
    <t>3598</t>
  </si>
  <si>
    <t>49.2739726</t>
  </si>
  <si>
    <t>3599</t>
  </si>
  <si>
    <t>49.28767123</t>
  </si>
  <si>
    <t>3600</t>
  </si>
  <si>
    <t>49.30136986</t>
  </si>
  <si>
    <t>3601</t>
  </si>
  <si>
    <t>49.31506849</t>
  </si>
  <si>
    <t>3602</t>
  </si>
  <si>
    <t>49.32876712</t>
  </si>
  <si>
    <t>3603</t>
  </si>
  <si>
    <t>49.34246575</t>
  </si>
  <si>
    <t>3604</t>
  </si>
  <si>
    <t>49.35616438</t>
  </si>
  <si>
    <t>3605</t>
  </si>
  <si>
    <t>49.36986301</t>
  </si>
  <si>
    <t>3606</t>
  </si>
  <si>
    <t>49.38356164</t>
  </si>
  <si>
    <t>3607</t>
  </si>
  <si>
    <t>49.39726027</t>
  </si>
  <si>
    <t>3608</t>
  </si>
  <si>
    <t>49.4109589</t>
  </si>
  <si>
    <t>3609</t>
  </si>
  <si>
    <t>49.42465753</t>
  </si>
  <si>
    <t>3610</t>
  </si>
  <si>
    <t>49.43835616</t>
  </si>
  <si>
    <t>3611</t>
  </si>
  <si>
    <t>49.45205479</t>
  </si>
  <si>
    <t>3612</t>
  </si>
  <si>
    <t>49.46575342</t>
  </si>
  <si>
    <t>3613</t>
  </si>
  <si>
    <t>49.47945205</t>
  </si>
  <si>
    <t>3614</t>
  </si>
  <si>
    <t>49.49315068</t>
  </si>
  <si>
    <t>3615</t>
  </si>
  <si>
    <t>49.50684932</t>
  </si>
  <si>
    <t>3616</t>
  </si>
  <si>
    <t>49.52054795</t>
  </si>
  <si>
    <t>3617</t>
  </si>
  <si>
    <t>49.53424658</t>
  </si>
  <si>
    <t>3618</t>
  </si>
  <si>
    <t>49.54794521</t>
  </si>
  <si>
    <t>3619</t>
  </si>
  <si>
    <t>49.56164384</t>
  </si>
  <si>
    <t>3620</t>
  </si>
  <si>
    <t>49.57534247</t>
  </si>
  <si>
    <t>3621</t>
  </si>
  <si>
    <t>49.5890411</t>
  </si>
  <si>
    <t>3622</t>
  </si>
  <si>
    <t>49.60273973</t>
  </si>
  <si>
    <t>3623</t>
  </si>
  <si>
    <t>49.61643836</t>
  </si>
  <si>
    <t>3624</t>
  </si>
  <si>
    <t>49.63013699</t>
  </si>
  <si>
    <t>3625</t>
  </si>
  <si>
    <t>49.64383562</t>
  </si>
  <si>
    <t>3626</t>
  </si>
  <si>
    <t>49.65753425</t>
  </si>
  <si>
    <t>3627</t>
  </si>
  <si>
    <t>49.67123288</t>
  </si>
  <si>
    <t>3628</t>
  </si>
  <si>
    <t>49.68493151</t>
  </si>
  <si>
    <t>3629</t>
  </si>
  <si>
    <t>49.69863014</t>
  </si>
  <si>
    <t>3630</t>
  </si>
  <si>
    <t>49.71232877</t>
  </si>
  <si>
    <t>3631</t>
  </si>
  <si>
    <t>49.7260274</t>
  </si>
  <si>
    <t>3632</t>
  </si>
  <si>
    <t>49.73972603</t>
  </si>
  <si>
    <t>3633</t>
  </si>
  <si>
    <t>49.75342466</t>
  </si>
  <si>
    <t>3634</t>
  </si>
  <si>
    <t>49.76712329</t>
  </si>
  <si>
    <t>3635</t>
  </si>
  <si>
    <t>49.78082192</t>
  </si>
  <si>
    <t>3636</t>
  </si>
  <si>
    <t>49.79452055</t>
  </si>
  <si>
    <t>3637</t>
  </si>
  <si>
    <t>49.80821918</t>
  </si>
  <si>
    <t>3638</t>
  </si>
  <si>
    <t>49.82191781</t>
  </si>
  <si>
    <t>3639</t>
  </si>
  <si>
    <t>49.83561644</t>
  </si>
  <si>
    <t>3640</t>
  </si>
  <si>
    <t>49.84931507</t>
  </si>
  <si>
    <t>3641</t>
  </si>
  <si>
    <t>49.8630137</t>
  </si>
  <si>
    <t>3642</t>
  </si>
  <si>
    <t>49.87671233</t>
  </si>
  <si>
    <t>3643</t>
  </si>
  <si>
    <t>49.89041096</t>
  </si>
  <si>
    <t>3644</t>
  </si>
  <si>
    <t>49.90410959</t>
  </si>
  <si>
    <t>3645</t>
  </si>
  <si>
    <t>49.91780822</t>
  </si>
  <si>
    <t>3646</t>
  </si>
  <si>
    <t>49.93150685</t>
  </si>
  <si>
    <t>3647</t>
  </si>
  <si>
    <t>49.94520548</t>
  </si>
  <si>
    <t>3648</t>
  </si>
  <si>
    <t>49.95890411</t>
  </si>
  <si>
    <t>3649</t>
  </si>
  <si>
    <t>49.97260274</t>
  </si>
  <si>
    <t>3650</t>
  </si>
  <si>
    <t>49.98630137</t>
  </si>
  <si>
    <t>3651</t>
  </si>
  <si>
    <t>50.0</t>
  </si>
  <si>
    <t>中债国债收益率曲线</t>
  </si>
  <si>
    <t>资产评估基础情景曲线</t>
  </si>
  <si>
    <t>负债评估基础情景曲线</t>
  </si>
  <si>
    <t>2、溢价调整</t>
  </si>
  <si>
    <t>3、转换远期利率</t>
  </si>
  <si>
    <t>4、调整至终极利率-第一次插值</t>
  </si>
  <si>
    <t>5、调整至终极利率-第二次插值 (远期利率）</t>
  </si>
  <si>
    <t>预测年度</t>
  </si>
  <si>
    <t>1、年度即期利率</t>
  </si>
  <si>
    <t>2、转换远期利率</t>
  </si>
  <si>
    <t>高档</t>
  </si>
  <si>
    <t>中档</t>
  </si>
  <si>
    <t>低档</t>
  </si>
  <si>
    <t>高档溢价</t>
  </si>
  <si>
    <t>中档溢价</t>
  </si>
  <si>
    <t>低档溢价</t>
  </si>
  <si>
    <t>期限</t>
  </si>
  <si>
    <t>资产利率增加的比率</t>
  </si>
  <si>
    <t>准备金750天移动平均国债收益率变化的比率</t>
  </si>
  <si>
    <t>情形三</t>
    <phoneticPr fontId="4" type="noConversion"/>
  </si>
  <si>
    <t>50+</t>
  </si>
  <si>
    <t>资产评估不利情景曲线</t>
  </si>
  <si>
    <t>1、应用压力情景参数</t>
  </si>
  <si>
    <t>利率向上</t>
  </si>
  <si>
    <t>利率向下</t>
  </si>
  <si>
    <t>负债评估溢价假设</t>
  </si>
  <si>
    <t>bp</t>
  </si>
  <si>
    <t>终极利率假设</t>
  </si>
  <si>
    <t>起始年份</t>
  </si>
  <si>
    <t>终止年份</t>
  </si>
  <si>
    <t>权重</t>
  </si>
  <si>
    <t>利率风险压力情景</t>
  </si>
  <si>
    <t>日波动率</t>
  </si>
  <si>
    <t>750日波动率</t>
  </si>
  <si>
    <t>资产利率向上</t>
  </si>
  <si>
    <t>资产利率向下</t>
  </si>
  <si>
    <t>负债利率向上</t>
  </si>
  <si>
    <t>负债利率向下</t>
  </si>
  <si>
    <t>DF</t>
    <phoneticPr fontId="2" type="noConversion"/>
  </si>
  <si>
    <t>标准利率</t>
    <phoneticPr fontId="4" type="noConversion"/>
  </si>
  <si>
    <t>利率上升</t>
    <phoneticPr fontId="4" type="noConversion"/>
  </si>
  <si>
    <t>120201</t>
  </si>
  <si>
    <t>120490</t>
  </si>
  <si>
    <t>04南网（2）</t>
  </si>
  <si>
    <t>127469</t>
  </si>
  <si>
    <t>17首房专</t>
  </si>
  <si>
    <t>2017-03-20</t>
  </si>
  <si>
    <t>2027-03-20</t>
  </si>
  <si>
    <t>136989</t>
  </si>
  <si>
    <t>17锡投Y1</t>
  </si>
  <si>
    <t>2017-03-15</t>
  </si>
  <si>
    <t>2022-03-15</t>
  </si>
  <si>
    <t>111023</t>
  </si>
  <si>
    <t>762021</t>
  </si>
  <si>
    <t>17泰州城投MTN001</t>
  </si>
  <si>
    <t>2017-03-30</t>
  </si>
  <si>
    <t>2022-03-30</t>
  </si>
  <si>
    <t>127492</t>
  </si>
  <si>
    <t>17海盐债</t>
  </si>
  <si>
    <t>2017-06-12</t>
  </si>
  <si>
    <t>2024-06-12</t>
  </si>
  <si>
    <t>168273</t>
  </si>
  <si>
    <t>780106</t>
  </si>
  <si>
    <t>17襄阳高投债</t>
  </si>
  <si>
    <t>110502</t>
  </si>
  <si>
    <t>112003</t>
  </si>
  <si>
    <t>120902</t>
  </si>
  <si>
    <t>121901</t>
  </si>
  <si>
    <t>122023</t>
  </si>
  <si>
    <t>170808</t>
  </si>
  <si>
    <t>17启东城投债</t>
  </si>
  <si>
    <t>2017-08-16</t>
  </si>
  <si>
    <t>2024-08-16</t>
  </si>
  <si>
    <t>780148</t>
  </si>
  <si>
    <t>17丹投绿色债</t>
  </si>
  <si>
    <t>2017-07-18</t>
  </si>
  <si>
    <t>2024-07-18</t>
  </si>
  <si>
    <t>127501</t>
  </si>
  <si>
    <t>17望铜官</t>
  </si>
  <si>
    <t>2017-07-12</t>
  </si>
  <si>
    <t>2027-07-12</t>
  </si>
  <si>
    <t>758047</t>
  </si>
  <si>
    <t>17宁化工MTN002</t>
  </si>
  <si>
    <t>2017-09-15</t>
  </si>
  <si>
    <t>2022-09-15</t>
  </si>
  <si>
    <t>2.53780007</t>
  </si>
  <si>
    <t>2.83924276</t>
  </si>
  <si>
    <t>3.18484994</t>
  </si>
  <si>
    <t>3.53165043</t>
  </si>
  <si>
    <t>3.836673</t>
  </si>
  <si>
    <t>4.05694647</t>
  </si>
  <si>
    <t>4.14949962</t>
  </si>
  <si>
    <t>4.14472105</t>
  </si>
  <si>
    <t>4.12867397</t>
  </si>
  <si>
    <t>4.10532465</t>
  </si>
  <si>
    <t>4.07808711</t>
  </si>
  <si>
    <t>4.05037538</t>
  </si>
  <si>
    <t>4.02199984</t>
  </si>
  <si>
    <t>3.99907743</t>
  </si>
  <si>
    <t>3.96121813</t>
  </si>
  <si>
    <t>3.9185388</t>
  </si>
  <si>
    <t>3.87789306</t>
  </si>
  <si>
    <t>3.84613453</t>
  </si>
  <si>
    <t>3.82937503</t>
  </si>
  <si>
    <t>3.82975607</t>
  </si>
  <si>
    <t>3.83137167</t>
  </si>
  <si>
    <t>3.83411311</t>
  </si>
  <si>
    <t>3.83782772</t>
  </si>
  <si>
    <t>3.84236285</t>
  </si>
  <si>
    <t>3.84756585</t>
  </si>
  <si>
    <t>3.85328407</t>
  </si>
  <si>
    <t>3.85936484</t>
  </si>
  <si>
    <t>3.86565551</t>
  </si>
  <si>
    <t>3.87200342</t>
  </si>
  <si>
    <t>3.87825593</t>
  </si>
  <si>
    <t>3.88426037</t>
  </si>
  <si>
    <t>3.88986409</t>
  </si>
  <si>
    <t>3.89491444</t>
  </si>
  <si>
    <t>3.89925875</t>
  </si>
  <si>
    <t>3.90274438</t>
  </si>
  <si>
    <t>3.90521867</t>
  </si>
  <si>
    <t>3.9066999</t>
  </si>
  <si>
    <t>3.90645358</t>
  </si>
  <si>
    <t>3.9045647</t>
  </si>
  <si>
    <t>3.90099562</t>
  </si>
  <si>
    <t>3.8959641</t>
  </si>
  <si>
    <t>3.88968789</t>
  </si>
  <si>
    <t>3.88238475</t>
  </si>
  <si>
    <t>3.87427243</t>
  </si>
  <si>
    <t>3.86556869</t>
  </si>
  <si>
    <t>3.85649128</t>
  </si>
  <si>
    <t>3.84725796</t>
  </si>
  <si>
    <t>3.83808649</t>
  </si>
  <si>
    <t>3.82919462</t>
  </si>
  <si>
    <t>3.8208001</t>
  </si>
  <si>
    <t>3.81312069</t>
  </si>
  <si>
    <t>3.80637415</t>
  </si>
  <si>
    <t>3.80077823</t>
  </si>
  <si>
    <t>3.79655069</t>
  </si>
  <si>
    <t>3.79310012</t>
  </si>
  <si>
    <t>3.79301095</t>
  </si>
  <si>
    <t>3.79267837</t>
  </si>
  <si>
    <t>3.79238269</t>
  </si>
  <si>
    <t>3.79212175</t>
  </si>
  <si>
    <t>3.79189338</t>
  </si>
  <si>
    <t>3.7916954</t>
  </si>
  <si>
    <t>3.79152564</t>
  </si>
  <si>
    <t>3.79138194</t>
  </si>
  <si>
    <t>3.79126212</t>
  </si>
  <si>
    <t>3.79116401</t>
  </si>
  <si>
    <t>3.79108545</t>
  </si>
  <si>
    <t>3.79102425</t>
  </si>
  <si>
    <t>3.79097826</t>
  </si>
  <si>
    <t>3.7909453</t>
  </si>
  <si>
    <t>3.7909232</t>
  </si>
  <si>
    <t>3.79090979</t>
  </si>
  <si>
    <t>3.7909029</t>
  </si>
  <si>
    <t>3.79090036</t>
  </si>
  <si>
    <t>3.79089999</t>
  </si>
  <si>
    <t>3.79097533</t>
  </si>
  <si>
    <t>3.79119574</t>
  </si>
  <si>
    <t>3.79155282</t>
  </si>
  <si>
    <t>3.79203815</t>
  </si>
  <si>
    <t>3.79264332</t>
  </si>
  <si>
    <t>3.79335992</t>
  </si>
  <si>
    <t>3.79417955</t>
  </si>
  <si>
    <t>3.79509379</t>
  </si>
  <si>
    <t>3.79609423</t>
  </si>
  <si>
    <t>3.79717246</t>
  </si>
  <si>
    <t>3.79832008</t>
  </si>
  <si>
    <t>3.79952867</t>
  </si>
  <si>
    <t>3.80078982</t>
  </si>
  <si>
    <t>3.80209513</t>
  </si>
  <si>
    <t>3.80343618</t>
  </si>
  <si>
    <t>3.80480456</t>
  </si>
  <si>
    <t>3.80619186</t>
  </si>
  <si>
    <t>3.80758967</t>
  </si>
  <si>
    <t>3.80898959</t>
  </si>
  <si>
    <t>3.8103832</t>
  </si>
  <si>
    <t>3.8117621</t>
  </si>
  <si>
    <t>3.81311786</t>
  </si>
  <si>
    <t>3.81444209</t>
  </si>
  <si>
    <t>3.81572637</t>
  </si>
  <si>
    <t>3.81696229</t>
  </si>
  <si>
    <t>3.81814145</t>
  </si>
  <si>
    <t>3.81925542</t>
  </si>
  <si>
    <t>3.82029581</t>
  </si>
  <si>
    <t>3.8212542</t>
  </si>
  <si>
    <t>3.82212219</t>
  </si>
  <si>
    <t>3.82289135</t>
  </si>
  <si>
    <t>3.82355329</t>
  </si>
  <si>
    <t>3.82409959</t>
  </si>
  <si>
    <t>3.82452185</t>
  </si>
  <si>
    <t>3.82481164</t>
  </si>
  <si>
    <t>3.82496057</t>
  </si>
  <si>
    <t>3.82497824</t>
  </si>
  <si>
    <t>3.82496767</t>
  </si>
  <si>
    <t>3.82494697</t>
  </si>
  <si>
    <t>3.82491656</t>
  </si>
  <si>
    <t>3.82487691</t>
  </si>
  <si>
    <t>3.82482845</t>
  </si>
  <si>
    <t>3.82477162</t>
  </si>
  <si>
    <t>3.82470688</t>
  </si>
  <si>
    <t>3.82463466</t>
  </si>
  <si>
    <t>3.8245554</t>
  </si>
  <si>
    <t>3.82446956</t>
  </si>
  <si>
    <t>3.82437758</t>
  </si>
  <si>
    <t>3.8242799</t>
  </si>
  <si>
    <t>3.82417696</t>
  </si>
  <si>
    <t>3.82406921</t>
  </si>
  <si>
    <t>3.8239571</t>
  </si>
  <si>
    <t>3.82384106</t>
  </si>
  <si>
    <t>3.82372154</t>
  </si>
  <si>
    <t>3.82359899</t>
  </si>
  <si>
    <t>3.82347385</t>
  </si>
  <si>
    <t>3.82334656</t>
  </si>
  <si>
    <t>3.82321757</t>
  </si>
  <si>
    <t>3.82308732</t>
  </si>
  <si>
    <t>3.82295625</t>
  </si>
  <si>
    <t>3.82282482</t>
  </si>
  <si>
    <t>3.82269346</t>
  </si>
  <si>
    <t>3.82256262</t>
  </si>
  <si>
    <t>3.82243274</t>
  </si>
  <si>
    <t>3.82230427</t>
  </si>
  <si>
    <t>3.82217764</t>
  </si>
  <si>
    <t>3.82205332</t>
  </si>
  <si>
    <t>3.82193173</t>
  </si>
  <si>
    <t>3.82181332</t>
  </si>
  <si>
    <t>3.82169854</t>
  </si>
  <si>
    <t>3.82158783</t>
  </si>
  <si>
    <t>3.82148164</t>
  </si>
  <si>
    <t>3.8213804</t>
  </si>
  <si>
    <t>3.82128186</t>
  </si>
  <si>
    <t>3.82118344</t>
  </si>
  <si>
    <t>3.82108515</t>
  </si>
  <si>
    <t>3.82098697</t>
  </si>
  <si>
    <t>3.82088891</t>
  </si>
  <si>
    <t>3.82079095</t>
  </si>
  <si>
    <t>3.82069309</t>
  </si>
  <si>
    <t>3.82059532</t>
  </si>
  <si>
    <t>3.82049764</t>
  </si>
  <si>
    <t>3.82040005</t>
  </si>
  <si>
    <t>3.82030253</t>
  </si>
  <si>
    <t>3.82020509</t>
  </si>
  <si>
    <t>3.82010772</t>
  </si>
  <si>
    <t>3.8200104</t>
  </si>
  <si>
    <t>3.81991314</t>
  </si>
  <si>
    <t>3.81981594</t>
  </si>
  <si>
    <t>3.81971878</t>
  </si>
  <si>
    <t>3.81962166</t>
  </si>
  <si>
    <t>3.81952457</t>
  </si>
  <si>
    <t>3.81942751</t>
  </si>
  <si>
    <t>3.81933048</t>
  </si>
  <si>
    <t>3.81923346</t>
  </si>
  <si>
    <t>3.81913646</t>
  </si>
  <si>
    <t>3.81903947</t>
  </si>
  <si>
    <t>3.81894247</t>
  </si>
  <si>
    <t>3.81884547</t>
  </si>
  <si>
    <t>3.81874847</t>
  </si>
  <si>
    <t>3.81865145</t>
  </si>
  <si>
    <t>3.81855441</t>
  </si>
  <si>
    <t>3.81845734</t>
  </si>
  <si>
    <t>3.81836024</t>
  </si>
  <si>
    <t>3.81826311</t>
  </si>
  <si>
    <t>3.81816593</t>
  </si>
  <si>
    <t>3.81806871</t>
  </si>
  <si>
    <t>3.81797143</t>
  </si>
  <si>
    <t>3.8178741</t>
  </si>
  <si>
    <t>3.81777715</t>
  </si>
  <si>
    <t>3.81768324</t>
  </si>
  <si>
    <t>3.81759278</t>
  </si>
  <si>
    <t>3.81750572</t>
  </si>
  <si>
    <t>3.817422</t>
  </si>
  <si>
    <t>3.8173416</t>
  </si>
  <si>
    <t>3.81726445</t>
  </si>
  <si>
    <t>3.81719052</t>
  </si>
  <si>
    <t>3.81711976</t>
  </si>
  <si>
    <t>3.81705211</t>
  </si>
  <si>
    <t>3.81698754</t>
  </si>
  <si>
    <t>3.816926</t>
  </si>
  <si>
    <t>3.81686744</t>
  </si>
  <si>
    <t>3.81681181</t>
  </si>
  <si>
    <t>3.81675907</t>
  </si>
  <si>
    <t>3.81670918</t>
  </si>
  <si>
    <t>3.81666208</t>
  </si>
  <si>
    <t>3.81661773</t>
  </si>
  <si>
    <t>3.81657608</t>
  </si>
  <si>
    <t>3.81653709</t>
  </si>
  <si>
    <t>3.81650071</t>
  </si>
  <si>
    <t>3.81646689</t>
  </si>
  <si>
    <t>3.8164356</t>
  </si>
  <si>
    <t>3.81640677</t>
  </si>
  <si>
    <t>3.81638037</t>
  </si>
  <si>
    <t>3.81635635</t>
  </si>
  <si>
    <t>3.81633466</t>
  </si>
  <si>
    <t>3.81631525</t>
  </si>
  <si>
    <t>3.81629809</t>
  </si>
  <si>
    <t>3.81628311</t>
  </si>
  <si>
    <t>3.81627029</t>
  </si>
  <si>
    <t>3.81625956</t>
  </si>
  <si>
    <t>3.81625089</t>
  </si>
  <si>
    <t>3.81624423</t>
  </si>
  <si>
    <t>3.81623953</t>
  </si>
  <si>
    <t>3.81623674</t>
  </si>
  <si>
    <t>3.81623582</t>
  </si>
  <si>
    <t>3.81624701</t>
  </si>
  <si>
    <t>3.81627996</t>
  </si>
  <si>
    <t>3.81633374</t>
  </si>
  <si>
    <t>3.81640741</t>
  </si>
  <si>
    <t>3.81650004</t>
  </si>
  <si>
    <t>3.8166107</t>
  </si>
  <si>
    <t>3.81673846</t>
  </si>
  <si>
    <t>3.81688238</t>
  </si>
  <si>
    <t>3.81704153</t>
  </si>
  <si>
    <t>3.81721498</t>
  </si>
  <si>
    <t>3.8174018</t>
  </si>
  <si>
    <t>3.81760105</t>
  </si>
  <si>
    <t>3.8178118</t>
  </si>
  <si>
    <t>3.81803312</t>
  </si>
  <si>
    <t>3.81826408</t>
  </si>
  <si>
    <t>3.81850374</t>
  </si>
  <si>
    <t>3.81875117</t>
  </si>
  <si>
    <t>3.81900545</t>
  </si>
  <si>
    <t>3.81926562</t>
  </si>
  <si>
    <t>3.81953077</t>
  </si>
  <si>
    <t>3.81979996</t>
  </si>
  <si>
    <t>3.82007226</t>
  </si>
  <si>
    <t>3.82034674</t>
  </si>
  <si>
    <t>3.82062246</t>
  </si>
  <si>
    <t>3.82089849</t>
  </si>
  <si>
    <t>3.8211739</t>
  </si>
  <si>
    <t>3.82144775</t>
  </si>
  <si>
    <t>3.82171912</t>
  </si>
  <si>
    <t>3.82198707</t>
  </si>
  <si>
    <t>3.82225066</t>
  </si>
  <si>
    <t>3.82250898</t>
  </si>
  <si>
    <t>3.82276107</t>
  </si>
  <si>
    <t>3.82300602</t>
  </si>
  <si>
    <t>3.82324288</t>
  </si>
  <si>
    <t>3.82347073</t>
  </si>
  <si>
    <t>3.82368863</t>
  </si>
  <si>
    <t>3.82390114</t>
  </si>
  <si>
    <t>3.82414007</t>
  </si>
  <si>
    <t>3.8244096</t>
  </si>
  <si>
    <t>3.82470837</t>
  </si>
  <si>
    <t>3.82503506</t>
  </si>
  <si>
    <t>3.82538832</t>
  </si>
  <si>
    <t>3.82576681</t>
  </si>
  <si>
    <t>3.82616919</t>
  </si>
  <si>
    <t>3.82659412</t>
  </si>
  <si>
    <t>3.82704027</t>
  </si>
  <si>
    <t>3.82750628</t>
  </si>
  <si>
    <t>3.82799083</t>
  </si>
  <si>
    <t>3.82849258</t>
  </si>
  <si>
    <t>3.82901017</t>
  </si>
  <si>
    <t>3.82954228</t>
  </si>
  <si>
    <t>3.83008757</t>
  </si>
  <si>
    <t>3.83064468</t>
  </si>
  <si>
    <t>3.8312123</t>
  </si>
  <si>
    <t>3.83178906</t>
  </si>
  <si>
    <t>3.83237364</t>
  </si>
  <si>
    <t>3.8329647</t>
  </si>
  <si>
    <t>3.8335609</t>
  </si>
  <si>
    <t>3.83416088</t>
  </si>
  <si>
    <t>3.83476333</t>
  </si>
  <si>
    <t>3.83536689</t>
  </si>
  <si>
    <t>3.83597023</t>
  </si>
  <si>
    <t>3.836572</t>
  </si>
  <si>
    <t>3.83717087</t>
  </si>
  <si>
    <t>3.8377655</t>
  </si>
  <si>
    <t>3.83835455</t>
  </si>
  <si>
    <t>3.83893668</t>
  </si>
  <si>
    <t>3.83951054</t>
  </si>
  <si>
    <t>3.84007481</t>
  </si>
  <si>
    <t>3.84062813</t>
  </si>
  <si>
    <t>3.84116917</t>
  </si>
  <si>
    <t>3.84169659</t>
  </si>
  <si>
    <t>3.84220905</t>
  </si>
  <si>
    <t>3.84272017</t>
  </si>
  <si>
    <t>3.84324411</t>
  </si>
  <si>
    <t>3.8437803</t>
  </si>
  <si>
    <t>3.84432821</t>
  </si>
  <si>
    <t>3.84488729</t>
  </si>
  <si>
    <t>3.84545698</t>
  </si>
  <si>
    <t>3.84603673</t>
  </si>
  <si>
    <t>3.84662601</t>
  </si>
  <si>
    <t>3.84722425</t>
  </si>
  <si>
    <t>3.84783091</t>
  </si>
  <si>
    <t>3.84844544</t>
  </si>
  <si>
    <t>3.84906729</t>
  </si>
  <si>
    <t>3.84969591</t>
  </si>
  <si>
    <t>3.85033076</t>
  </si>
  <si>
    <t>3.85097127</t>
  </si>
  <si>
    <t>3.85161692</t>
  </si>
  <si>
    <t>3.85226714</t>
  </si>
  <si>
    <t>3.85292138</t>
  </si>
  <si>
    <t>3.8535791</t>
  </si>
  <si>
    <t>3.85423976</t>
  </si>
  <si>
    <t>3.85490279</t>
  </si>
  <si>
    <t>3.85556765</t>
  </si>
  <si>
    <t>3.85623379</t>
  </si>
  <si>
    <t>3.85690066</t>
  </si>
  <si>
    <t>3.85756772</t>
  </si>
  <si>
    <t>3.85823441</t>
  </si>
  <si>
    <t>3.85890019</t>
  </si>
  <si>
    <t>3.8595645</t>
  </si>
  <si>
    <t>3.8602268</t>
  </si>
  <si>
    <t>3.86088653</t>
  </si>
  <si>
    <t>3.86154316</t>
  </si>
  <si>
    <t>3.86219612</t>
  </si>
  <si>
    <t>3.86284488</t>
  </si>
  <si>
    <t>3.86348887</t>
  </si>
  <si>
    <t>3.86412756</t>
  </si>
  <si>
    <t>3.86476039</t>
  </si>
  <si>
    <t>3.86538688</t>
  </si>
  <si>
    <t>3.86600713</t>
  </si>
  <si>
    <t>3.86662145</t>
  </si>
  <si>
    <t>3.86723008</t>
  </si>
  <si>
    <t>3.86783329</t>
  </si>
  <si>
    <t>3.86843133</t>
  </si>
  <si>
    <t>3.86902448</t>
  </si>
  <si>
    <t>3.86961298</t>
  </si>
  <si>
    <t>3.8701971</t>
  </si>
  <si>
    <t>3.8707771</t>
  </si>
  <si>
    <t>3.87135324</t>
  </si>
  <si>
    <t>3.87192578</t>
  </si>
  <si>
    <t>3.87249498</t>
  </si>
  <si>
    <t>3.8730611</t>
  </si>
  <si>
    <t>3.8736244</t>
  </si>
  <si>
    <t>3.87418514</t>
  </si>
  <si>
    <t>3.87474358</t>
  </si>
  <si>
    <t>3.87529998</t>
  </si>
  <si>
    <t>3.8758546</t>
  </si>
  <si>
    <t>3.87640771</t>
  </si>
  <si>
    <t>3.87695956</t>
  </si>
  <si>
    <t>3.87751041</t>
  </si>
  <si>
    <t>3.87806052</t>
  </si>
  <si>
    <t>3.87861015</t>
  </si>
  <si>
    <t>3.87915957</t>
  </si>
  <si>
    <t>3.87970903</t>
  </si>
  <si>
    <t>3.8802588</t>
  </si>
  <si>
    <t>3.88080913</t>
  </si>
  <si>
    <t>3.88136028</t>
  </si>
  <si>
    <t>3.88191252</t>
  </si>
  <si>
    <t>3.8824661</t>
  </si>
  <si>
    <t>3.88302129</t>
  </si>
  <si>
    <t>3.88357834</t>
  </si>
  <si>
    <t>3.88413752</t>
  </si>
  <si>
    <t>3.88469908</t>
  </si>
  <si>
    <t>3.88526329</t>
  </si>
  <si>
    <t>3.88583041</t>
  </si>
  <si>
    <t>3.88639706</t>
  </si>
  <si>
    <t>3.8869598</t>
  </si>
  <si>
    <t>3.8875188</t>
  </si>
  <si>
    <t>3.88807423</t>
  </si>
  <si>
    <t>3.88862626</t>
  </si>
  <si>
    <t>3.88917505</t>
  </si>
  <si>
    <t>3.88972077</t>
  </si>
  <si>
    <t>3.89026359</t>
  </si>
  <si>
    <t>3.89080368</t>
  </si>
  <si>
    <t>3.8913412</t>
  </si>
  <si>
    <t>3.89187632</t>
  </si>
  <si>
    <t>3.8924092</t>
  </si>
  <si>
    <t>3.89294002</t>
  </si>
  <si>
    <t>3.89346895</t>
  </si>
  <si>
    <t>3.89399614</t>
  </si>
  <si>
    <t>3.89452177</t>
  </si>
  <si>
    <t>3.89504601</t>
  </si>
  <si>
    <t>3.89556902</t>
  </si>
  <si>
    <t>3.89609097</t>
  </si>
  <si>
    <t>3.89661202</t>
  </si>
  <si>
    <t>3.89713236</t>
  </si>
  <si>
    <t>3.89765213</t>
  </si>
  <si>
    <t>3.89817151</t>
  </si>
  <si>
    <t>3.89869067</t>
  </si>
  <si>
    <t>3.89920977</t>
  </si>
  <si>
    <t>3.89972899</t>
  </si>
  <si>
    <t>3.90024848</t>
  </si>
  <si>
    <t>3.90076842</t>
  </si>
  <si>
    <t>3.90128897</t>
  </si>
  <si>
    <t>3.90181031</t>
  </si>
  <si>
    <t>3.90233259</t>
  </si>
  <si>
    <t>3.90285599</t>
  </si>
  <si>
    <t>3.90338067</t>
  </si>
  <si>
    <t>3.90390681</t>
  </si>
  <si>
    <t>3.90443456</t>
  </si>
  <si>
    <t>3.9049641</t>
  </si>
  <si>
    <t>3.90549556</t>
  </si>
  <si>
    <t>3.90602881</t>
  </si>
  <si>
    <t>3.90656375</t>
  </si>
  <si>
    <t>3.90710032</t>
  </si>
  <si>
    <t>3.90763843</t>
  </si>
  <si>
    <t>3.90817801</t>
  </si>
  <si>
    <t>3.90871899</t>
  </si>
  <si>
    <t>3.9092613</t>
  </si>
  <si>
    <t>3.90980485</t>
  </si>
  <si>
    <t>3.91034958</t>
  </si>
  <si>
    <t>3.91089541</t>
  </si>
  <si>
    <t>3.91144226</t>
  </si>
  <si>
    <t>3.91199007</t>
  </si>
  <si>
    <t>3.91253876</t>
  </si>
  <si>
    <t>3.91308825</t>
  </si>
  <si>
    <t>3.91363847</t>
  </si>
  <si>
    <t>3.91418935</t>
  </si>
  <si>
    <t>3.91474081</t>
  </si>
  <si>
    <t>3.91529277</t>
  </si>
  <si>
    <t>3.91584517</t>
  </si>
  <si>
    <t>3.91639793</t>
  </si>
  <si>
    <t>3.91695097</t>
  </si>
  <si>
    <t>3.91750422</t>
  </si>
  <si>
    <t>3.9180576</t>
  </si>
  <si>
    <t>3.91861105</t>
  </si>
  <si>
    <t>3.91916449</t>
  </si>
  <si>
    <t>3.91971784</t>
  </si>
  <si>
    <t>3.92027103</t>
  </si>
  <si>
    <t>3.92082398</t>
  </si>
  <si>
    <t>3.92137663</t>
  </si>
  <si>
    <t>3.92192889</t>
  </si>
  <si>
    <t>3.92248069</t>
  </si>
  <si>
    <t>3.92303197</t>
  </si>
  <si>
    <t>3.92358263</t>
  </si>
  <si>
    <t>3.92413262</t>
  </si>
  <si>
    <t>3.92468185</t>
  </si>
  <si>
    <t>3.92523025</t>
  </si>
  <si>
    <t>3.92577164</t>
  </si>
  <si>
    <t>3.92630024</t>
  </si>
  <si>
    <t>3.92681661</t>
  </si>
  <si>
    <t>3.92732129</t>
  </si>
  <si>
    <t>3.92781482</t>
  </si>
  <si>
    <t>3.92829777</t>
  </si>
  <si>
    <t>3.92877066</t>
  </si>
  <si>
    <t>3.92923407</t>
  </si>
  <si>
    <t>3.92968852</t>
  </si>
  <si>
    <t>3.93013457</t>
  </si>
  <si>
    <t>3.93057276</t>
  </si>
  <si>
    <t>3.93100366</t>
  </si>
  <si>
    <t>3.93142779</t>
  </si>
  <si>
    <t>3.93184571</t>
  </si>
  <si>
    <t>3.93225798</t>
  </si>
  <si>
    <t>3.93266512</t>
  </si>
  <si>
    <t>3.93306771</t>
  </si>
  <si>
    <t>3.93346627</t>
  </si>
  <si>
    <t>3.93386137</t>
  </si>
  <si>
    <t>3.93425354</t>
  </si>
  <si>
    <t>3.93464334</t>
  </si>
  <si>
    <t>3.93503131</t>
  </si>
  <si>
    <t>3.935418</t>
  </si>
  <si>
    <t>3.93580396</t>
  </si>
  <si>
    <t>3.93618974</t>
  </si>
  <si>
    <t>3.93657589</t>
  </si>
  <si>
    <t>3.93696295</t>
  </si>
  <si>
    <t>3.93735147</t>
  </si>
  <si>
    <t>3.93774199</t>
  </si>
  <si>
    <t>3.93813508</t>
  </si>
  <si>
    <t>3.93853127</t>
  </si>
  <si>
    <t>3.93893111</t>
  </si>
  <si>
    <t>3.93933516</t>
  </si>
  <si>
    <t>3.93974395</t>
  </si>
  <si>
    <t>3.94015804</t>
  </si>
  <si>
    <t>3.94057797</t>
  </si>
  <si>
    <t>3.94100097</t>
  </si>
  <si>
    <t>3.94140759</t>
  </si>
  <si>
    <t>3.94179495</t>
  </si>
  <si>
    <t>3.94216351</t>
  </si>
  <si>
    <t>3.94251372</t>
  </si>
  <si>
    <t>3.94284603</t>
  </si>
  <si>
    <t>3.9431609</t>
  </si>
  <si>
    <t>3.94345878</t>
  </si>
  <si>
    <t>3.94374011</t>
  </si>
  <si>
    <t>3.94400536</t>
  </si>
  <si>
    <t>3.94425497</t>
  </si>
  <si>
    <t>3.94448939</t>
  </si>
  <si>
    <t>3.94470909</t>
  </si>
  <si>
    <t>3.9449145</t>
  </si>
  <si>
    <t>3.94510609</t>
  </si>
  <si>
    <t>3.9452843</t>
  </si>
  <si>
    <t>3.94544959</t>
  </si>
  <si>
    <t>3.94560241</t>
  </si>
  <si>
    <t>3.94574321</t>
  </si>
  <si>
    <t>3.94587244</t>
  </si>
  <si>
    <t>3.94599056</t>
  </si>
  <si>
    <t>3.94609802</t>
  </si>
  <si>
    <t>3.94619526</t>
  </si>
  <si>
    <t>3.94628275</t>
  </si>
  <si>
    <t>3.94636094</t>
  </si>
  <si>
    <t>3.94643027</t>
  </si>
  <si>
    <t>3.9464912</t>
  </si>
  <si>
    <t>3.94654418</t>
  </si>
  <si>
    <t>3.94658966</t>
  </si>
  <si>
    <t>3.9466281</t>
  </si>
  <si>
    <t>3.94665995</t>
  </si>
  <si>
    <t>3.94668565</t>
  </si>
  <si>
    <t>3.94670567</t>
  </si>
  <si>
    <t>3.94672045</t>
  </si>
  <si>
    <t>3.94673045</t>
  </si>
  <si>
    <t>3.94673612</t>
  </si>
  <si>
    <t>3.94673791</t>
  </si>
  <si>
    <t>3.94673457</t>
  </si>
  <si>
    <t>3.94672474</t>
  </si>
  <si>
    <t>3.94670869</t>
  </si>
  <si>
    <t>3.94668671</t>
  </si>
  <si>
    <t>3.94665906</t>
  </si>
  <si>
    <t>3.94662604</t>
  </si>
  <si>
    <t>3.94658791</t>
  </si>
  <si>
    <t>3.94654496</t>
  </si>
  <si>
    <t>3.94649747</t>
  </si>
  <si>
    <t>3.94644571</t>
  </si>
  <si>
    <t>3.94638996</t>
  </si>
  <si>
    <t>3.9463305</t>
  </si>
  <si>
    <t>3.9462676</t>
  </si>
  <si>
    <t>3.94620156</t>
  </si>
  <si>
    <t>3.94613263</t>
  </si>
  <si>
    <t>3.94606111</t>
  </si>
  <si>
    <t>3.94598727</t>
  </si>
  <si>
    <t>3.94591139</t>
  </si>
  <si>
    <t>3.94583375</t>
  </si>
  <si>
    <t>3.94575463</t>
  </si>
  <si>
    <t>3.94567429</t>
  </si>
  <si>
    <t>3.94559303</t>
  </si>
  <si>
    <t>3.94551112</t>
  </si>
  <si>
    <t>3.94542884</t>
  </si>
  <si>
    <t>3.94534647</t>
  </si>
  <si>
    <t>3.94526428</t>
  </si>
  <si>
    <t>3.94518256</t>
  </si>
  <si>
    <t>3.94510158</t>
  </si>
  <si>
    <t>3.94502162</t>
  </si>
  <si>
    <t>3.94494295</t>
  </si>
  <si>
    <t>3.94486587</t>
  </si>
  <si>
    <t>3.94479064</t>
  </si>
  <si>
    <t>3.94471754</t>
  </si>
  <si>
    <t>3.94464685</t>
  </si>
  <si>
    <t>3.94457886</t>
  </si>
  <si>
    <t>3.94451383</t>
  </si>
  <si>
    <t>3.94445071</t>
  </si>
  <si>
    <t>3.94438175</t>
  </si>
  <si>
    <t>3.94430589</t>
  </si>
  <si>
    <t>3.94422346</t>
  </si>
  <si>
    <t>3.94413474</t>
  </si>
  <si>
    <t>3.94404003</t>
  </si>
  <si>
    <t>3.94393965</t>
  </si>
  <si>
    <t>3.94383389</t>
  </si>
  <si>
    <t>3.94372306</t>
  </si>
  <si>
    <t>3.94360744</t>
  </si>
  <si>
    <t>3.94348736</t>
  </si>
  <si>
    <t>3.9433631</t>
  </si>
  <si>
    <t>3.94323497</t>
  </si>
  <si>
    <t>3.94310328</t>
  </si>
  <si>
    <t>3.94296831</t>
  </si>
  <si>
    <t>3.94283038</t>
  </si>
  <si>
    <t>3.94268979</t>
  </si>
  <si>
    <t>3.94254684</t>
  </si>
  <si>
    <t>3.94240182</t>
  </si>
  <si>
    <t>3.94225504</t>
  </si>
  <si>
    <t>3.94210681</t>
  </si>
  <si>
    <t>3.94195742</t>
  </si>
  <si>
    <t>3.94180718</t>
  </si>
  <si>
    <t>3.94165638</t>
  </si>
  <si>
    <t>3.94150533</t>
  </si>
  <si>
    <t>3.94135434</t>
  </si>
  <si>
    <t>3.94120369</t>
  </si>
  <si>
    <t>3.9410537</t>
  </si>
  <si>
    <t>3.94090466</t>
  </si>
  <si>
    <t>3.94075688</t>
  </si>
  <si>
    <t>3.94061066</t>
  </si>
  <si>
    <t>3.94046629</t>
  </si>
  <si>
    <t>3.94032409</t>
  </si>
  <si>
    <t>3.94018435</t>
  </si>
  <si>
    <t>3.94004738</t>
  </si>
  <si>
    <t>3.93991347</t>
  </si>
  <si>
    <t>3.93978293</t>
  </si>
  <si>
    <t>3.93965237</t>
  </si>
  <si>
    <t>3.93951831</t>
  </si>
  <si>
    <t>3.9393809</t>
  </si>
  <si>
    <t>3.93924028</t>
  </si>
  <si>
    <t>3.93909661</t>
  </si>
  <si>
    <t>3.93895004</t>
  </si>
  <si>
    <t>3.93880072</t>
  </si>
  <si>
    <t>3.9386488</t>
  </si>
  <si>
    <t>3.93849442</t>
  </si>
  <si>
    <t>3.93833774</t>
  </si>
  <si>
    <t>3.93817891</t>
  </si>
  <si>
    <t>3.93801808</t>
  </si>
  <si>
    <t>3.93785539</t>
  </si>
  <si>
    <t>3.93769101</t>
  </si>
  <si>
    <t>3.93752507</t>
  </si>
  <si>
    <t>3.93735773</t>
  </si>
  <si>
    <t>3.93718914</t>
  </si>
  <si>
    <t>3.93701945</t>
  </si>
  <si>
    <t>3.93684881</t>
  </si>
  <si>
    <t>3.93667737</t>
  </si>
  <si>
    <t>3.93650528</t>
  </si>
  <si>
    <t>3.93633269</t>
  </si>
  <si>
    <t>3.93615974</t>
  </si>
  <si>
    <t>3.9359866</t>
  </si>
  <si>
    <t>3.93581341</t>
  </si>
  <si>
    <t>3.93564031</t>
  </si>
  <si>
    <t>3.93546747</t>
  </si>
  <si>
    <t>3.93529503</t>
  </si>
  <si>
    <t>3.93512314</t>
  </si>
  <si>
    <t>3.93495195</t>
  </si>
  <si>
    <t>3.93478161</t>
  </si>
  <si>
    <t>3.93461227</t>
  </si>
  <si>
    <t>3.93444408</t>
  </si>
  <si>
    <t>3.93427719</t>
  </si>
  <si>
    <t>3.93411175</t>
  </si>
  <si>
    <t>3.93394792</t>
  </si>
  <si>
    <t>3.93378562</t>
  </si>
  <si>
    <t>3.93362364</t>
  </si>
  <si>
    <t>3.93346177</t>
  </si>
  <si>
    <t>3.9333</t>
  </si>
  <si>
    <t>3.93313833</t>
  </si>
  <si>
    <t>3.93297675</t>
  </si>
  <si>
    <t>3.93281526</t>
  </si>
  <si>
    <t>3.93265386</t>
  </si>
  <si>
    <t>3.93249253</t>
  </si>
  <si>
    <t>3.93233128</t>
  </si>
  <si>
    <t>3.93217009</t>
  </si>
  <si>
    <t>3.93200897</t>
  </si>
  <si>
    <t>3.93184792</t>
  </si>
  <si>
    <t>3.93168691</t>
  </si>
  <si>
    <t>3.93152596</t>
  </si>
  <si>
    <t>3.93136505</t>
  </si>
  <si>
    <t>3.93120419</t>
  </si>
  <si>
    <t>3.93104336</t>
  </si>
  <si>
    <t>3.93088257</t>
  </si>
  <si>
    <t>3.9307218</t>
  </si>
  <si>
    <t>3.93056105</t>
  </si>
  <si>
    <t>3.93040032</t>
  </si>
  <si>
    <t>3.93023961</t>
  </si>
  <si>
    <t>3.9300789</t>
  </si>
  <si>
    <t>3.9299182</t>
  </si>
  <si>
    <t>3.9297575</t>
  </si>
  <si>
    <t>3.92959679</t>
  </si>
  <si>
    <t>3.92943607</t>
  </si>
  <si>
    <t>3.92927534</t>
  </si>
  <si>
    <t>3.92911458</t>
  </si>
  <si>
    <t>3.92895381</t>
  </si>
  <si>
    <t>3.928793</t>
  </si>
  <si>
    <t>3.92863216</t>
  </si>
  <si>
    <t>3.92847128</t>
  </si>
  <si>
    <t>3.92831036</t>
  </si>
  <si>
    <t>3.92814939</t>
  </si>
  <si>
    <t>3.92798837</t>
  </si>
  <si>
    <t>3.92782928</t>
  </si>
  <si>
    <t>3.92767398</t>
  </si>
  <si>
    <t>3.92752233</t>
  </si>
  <si>
    <t>3.92737415</t>
  </si>
  <si>
    <t>3.92722929</t>
  </si>
  <si>
    <t>3.92708757</t>
  </si>
  <si>
    <t>3.92694884</t>
  </si>
  <si>
    <t>3.92681294</t>
  </si>
  <si>
    <t>3.92667969</t>
  </si>
  <si>
    <t>3.92654895</t>
  </si>
  <si>
    <t>3.92642054</t>
  </si>
  <si>
    <t>3.9262943</t>
  </si>
  <si>
    <t>3.92617007</t>
  </si>
  <si>
    <t>3.92604769</t>
  </si>
  <si>
    <t>3.92592699</t>
  </si>
  <si>
    <t>3.92580781</t>
  </si>
  <si>
    <t>3.92568999</t>
  </si>
  <si>
    <t>3.92557336</t>
  </si>
  <si>
    <t>3.92545777</t>
  </si>
  <si>
    <t>3.92534304</t>
  </si>
  <si>
    <t>3.92522902</t>
  </si>
  <si>
    <t>3.92511554</t>
  </si>
  <si>
    <t>3.92500245</t>
  </si>
  <si>
    <t>3.92488957</t>
  </si>
  <si>
    <t>3.92477674</t>
  </si>
  <si>
    <t>3.92466381</t>
  </si>
  <si>
    <t>3.92455061</t>
  </si>
  <si>
    <t>3.92443697</t>
  </si>
  <si>
    <t>3.92432273</t>
  </si>
  <si>
    <t>3.92420773</t>
  </si>
  <si>
    <t>3.92409181</t>
  </si>
  <si>
    <t>3.92397481</t>
  </si>
  <si>
    <t>3.92385655</t>
  </si>
  <si>
    <t>3.92373688</t>
  </si>
  <si>
    <t>3.92361564</t>
  </si>
  <si>
    <t>3.92349266</t>
  </si>
  <si>
    <t>3.92336866</t>
  </si>
  <si>
    <t>3.92324875</t>
  </si>
  <si>
    <t>3.92313372</t>
  </si>
  <si>
    <t>3.92302349</t>
  </si>
  <si>
    <t>3.92291797</t>
  </si>
  <si>
    <t>3.92281706</t>
  </si>
  <si>
    <t>3.92272069</t>
  </si>
  <si>
    <t>3.92262877</t>
  </si>
  <si>
    <t>3.9225412</t>
  </si>
  <si>
    <t>3.92245791</t>
  </si>
  <si>
    <t>3.92237879</t>
  </si>
  <si>
    <t>3.92230378</t>
  </si>
  <si>
    <t>3.92223278</t>
  </si>
  <si>
    <t>3.9221657</t>
  </si>
  <si>
    <t>3.92210245</t>
  </si>
  <si>
    <t>3.92204295</t>
  </si>
  <si>
    <t>3.92198712</t>
  </si>
  <si>
    <t>3.92193485</t>
  </si>
  <si>
    <t>3.92188608</t>
  </si>
  <si>
    <t>3.9218407</t>
  </si>
  <si>
    <t>3.92179863</t>
  </si>
  <si>
    <t>3.9217598</t>
  </si>
  <si>
    <t>3.92172409</t>
  </si>
  <si>
    <t>3.92169144</t>
  </si>
  <si>
    <t>3.92166175</t>
  </si>
  <si>
    <t>3.92163494</t>
  </si>
  <si>
    <t>3.92161092</t>
  </si>
  <si>
    <t>3.9215896</t>
  </si>
  <si>
    <t>3.92157089</t>
  </si>
  <si>
    <t>3.92155471</t>
  </si>
  <si>
    <t>3.92154097</t>
  </si>
  <si>
    <t>3.92152959</t>
  </si>
  <si>
    <t>3.92152047</t>
  </si>
  <si>
    <t>3.92151353</t>
  </si>
  <si>
    <t>3.92150868</t>
  </si>
  <si>
    <t>3.92150583</t>
  </si>
  <si>
    <t>3.9215049</t>
  </si>
  <si>
    <t>3.92151807</t>
  </si>
  <si>
    <t>3.92155684</t>
  </si>
  <si>
    <t>3.92162011</t>
  </si>
  <si>
    <t>3.9217068</t>
  </si>
  <si>
    <t>3.92181579</t>
  </si>
  <si>
    <t>3.92194601</t>
  </si>
  <si>
    <t>3.92209633</t>
  </si>
  <si>
    <t>3.92226568</t>
  </si>
  <si>
    <t>3.92245295</t>
  </si>
  <si>
    <t>3.92265704</t>
  </si>
  <si>
    <t>3.92287686</t>
  </si>
  <si>
    <t>3.92311131</t>
  </si>
  <si>
    <t>3.9233593</t>
  </si>
  <si>
    <t>3.92361972</t>
  </si>
  <si>
    <t>3.92389148</t>
  </si>
  <si>
    <t>3.92417348</t>
  </si>
  <si>
    <t>3.92446462</t>
  </si>
  <si>
    <t>3.92476381</t>
  </si>
  <si>
    <t>3.92506995</t>
  </si>
  <si>
    <t>3.92538194</t>
  </si>
  <si>
    <t>3.92569869</t>
  </si>
  <si>
    <t>3.92601909</t>
  </si>
  <si>
    <t>3.92634206</t>
  </si>
  <si>
    <t>3.92666649</t>
  </si>
  <si>
    <t>3.92699128</t>
  </si>
  <si>
    <t>3.92731534</t>
  </si>
  <si>
    <t>3.92763758</t>
  </si>
  <si>
    <t>3.92795688</t>
  </si>
  <si>
    <t>3.92827217</t>
  </si>
  <si>
    <t>3.92858233</t>
  </si>
  <si>
    <t>3.92888628</t>
  </si>
  <si>
    <t>3.92918291</t>
  </si>
  <si>
    <t>3.92947113</t>
  </si>
  <si>
    <t>3.92974984</t>
  </si>
  <si>
    <t>3.93001794</t>
  </si>
  <si>
    <t>3.93027433</t>
  </si>
  <si>
    <t>3.93052556</t>
  </si>
  <si>
    <t>3.93081602</t>
  </si>
  <si>
    <t>3.9311514</t>
  </si>
  <si>
    <t>3.93152975</t>
  </si>
  <si>
    <t>3.93194908</t>
  </si>
  <si>
    <t>3.93240745</t>
  </si>
  <si>
    <t>3.93290287</t>
  </si>
  <si>
    <t>3.93343338</t>
  </si>
  <si>
    <t>3.93399701</t>
  </si>
  <si>
    <t>3.93459179</t>
  </si>
  <si>
    <t>3.93521577</t>
  </si>
  <si>
    <t>3.93586696</t>
  </si>
  <si>
    <t>3.93654341</t>
  </si>
  <si>
    <t>3.93724313</t>
  </si>
  <si>
    <t>3.93796418</t>
  </si>
  <si>
    <t>3.93870457</t>
  </si>
  <si>
    <t>3.93946235</t>
  </si>
  <si>
    <t>3.94023553</t>
  </si>
  <si>
    <t>3.94102217</t>
  </si>
  <si>
    <t>3.94182028</t>
  </si>
  <si>
    <t>3.9426279</t>
  </si>
  <si>
    <t>3.94344307</t>
  </si>
  <si>
    <t>3.94426381</t>
  </si>
  <si>
    <t>3.94508815</t>
  </si>
  <si>
    <t>3.94591414</t>
  </si>
  <si>
    <t>3.9467398</t>
  </si>
  <si>
    <t>3.94756316</t>
  </si>
  <si>
    <t>3.94838226</t>
  </si>
  <si>
    <t>3.94919513</t>
  </si>
  <si>
    <t>3.9499998</t>
  </si>
  <si>
    <t>3.9507943</t>
  </si>
  <si>
    <t>3.95157667</t>
  </si>
  <si>
    <t>3.95234494</t>
  </si>
  <si>
    <t>3.95309714</t>
  </si>
  <si>
    <t>3.95383131</t>
  </si>
  <si>
    <t>3.95454546</t>
  </si>
  <si>
    <t>3.95523765</t>
  </si>
  <si>
    <t>3.95593687</t>
  </si>
  <si>
    <t>3.95667241</t>
  </si>
  <si>
    <t>3.95744271</t>
  </si>
  <si>
    <t>3.95824622</t>
  </si>
  <si>
    <t>3.95908137</t>
  </si>
  <si>
    <t>3.95994662</t>
  </si>
  <si>
    <t>3.9608404</t>
  </si>
  <si>
    <t>3.96176116</t>
  </si>
  <si>
    <t>3.96270734</t>
  </si>
  <si>
    <t>3.96367739</t>
  </si>
  <si>
    <t>3.96466975</t>
  </si>
  <si>
    <t>3.96568286</t>
  </si>
  <si>
    <t>3.96671517</t>
  </si>
  <si>
    <t>3.96776512</t>
  </si>
  <si>
    <t>3.96883115</t>
  </si>
  <si>
    <t>3.96991171</t>
  </si>
  <si>
    <t>3.97100524</t>
  </si>
  <si>
    <t>3.97211018</t>
  </si>
  <si>
    <t>3.97322498</t>
  </si>
  <si>
    <t>3.97434808</t>
  </si>
  <si>
    <t>3.97547793</t>
  </si>
  <si>
    <t>3.97661297</t>
  </si>
  <si>
    <t>3.97775163</t>
  </si>
  <si>
    <t>3.97889238</t>
  </si>
  <si>
    <t>3.98003364</t>
  </si>
  <si>
    <t>3.98117386</t>
  </si>
  <si>
    <t>3.98231149</t>
  </si>
  <si>
    <t>3.98344497</t>
  </si>
  <si>
    <t>3.98457274</t>
  </si>
  <si>
    <t>3.98569325</t>
  </si>
  <si>
    <t>3.98680494</t>
  </si>
  <si>
    <t>3.98790625</t>
  </si>
  <si>
    <t>3.98899563</t>
  </si>
  <si>
    <t>3.99007152</t>
  </si>
  <si>
    <t>3.99113236</t>
  </si>
  <si>
    <t>3.9921766</t>
  </si>
  <si>
    <t>3.99320852</t>
  </si>
  <si>
    <t>3.99426176</t>
  </si>
  <si>
    <t>3.99534099</t>
  </si>
  <si>
    <t>3.99644507</t>
  </si>
  <si>
    <t>3.99757288</t>
  </si>
  <si>
    <t>3.99872327</t>
  </si>
  <si>
    <t>3.99989509</t>
  </si>
  <si>
    <t>4.00108723</t>
  </si>
  <si>
    <t>4.00229852</t>
  </si>
  <si>
    <t>4.00352784</t>
  </si>
  <si>
    <t>4.00477406</t>
  </si>
  <si>
    <t>4.00603602</t>
  </si>
  <si>
    <t>4.00731259</t>
  </si>
  <si>
    <t>4.00860263</t>
  </si>
  <si>
    <t>4.00990501</t>
  </si>
  <si>
    <t>4.01121858</t>
  </si>
  <si>
    <t>4.01254221</t>
  </si>
  <si>
    <t>4.01387476</t>
  </si>
  <si>
    <t>4.01521508</t>
  </si>
  <si>
    <t>4.01656205</t>
  </si>
  <si>
    <t>4.01791452</t>
  </si>
  <si>
    <t>4.01927136</t>
  </si>
  <si>
    <t>4.02063142</t>
  </si>
  <si>
    <t>4.02199357</t>
  </si>
  <si>
    <t>4.02335667</t>
  </si>
  <si>
    <t>4.02471957</t>
  </si>
  <si>
    <t>4.02608115</t>
  </si>
  <si>
    <t>4.02744027</t>
  </si>
  <si>
    <t>4.02879577</t>
  </si>
  <si>
    <t>4.03014654</t>
  </si>
  <si>
    <t>4.03149142</t>
  </si>
  <si>
    <t>4.03282928</t>
  </si>
  <si>
    <t>4.03415898</t>
  </si>
  <si>
    <t>4.03547938</t>
  </si>
  <si>
    <t>4.03678935</t>
  </si>
  <si>
    <t>4.03808774</t>
  </si>
  <si>
    <t>4.03937342</t>
  </si>
  <si>
    <t>4.04066085</t>
  </si>
  <si>
    <t>4.0419648</t>
  </si>
  <si>
    <t>4.04328454</t>
  </si>
  <si>
    <t>4.04461938</t>
  </si>
  <si>
    <t>4.0459686</t>
  </si>
  <si>
    <t>4.0473315</t>
  </si>
  <si>
    <t>4.04870738</t>
  </si>
  <si>
    <t>4.05009552</t>
  </si>
  <si>
    <t>4.05149521</t>
  </si>
  <si>
    <t>4.05290575</t>
  </si>
  <si>
    <t>4.05432644</t>
  </si>
  <si>
    <t>4.05575656</t>
  </si>
  <si>
    <t>4.0571954</t>
  </si>
  <si>
    <t>4.05864227</t>
  </si>
  <si>
    <t>4.06009644</t>
  </si>
  <si>
    <t>4.06155722</t>
  </si>
  <si>
    <t>4.06302389</t>
  </si>
  <si>
    <t>4.06449576</t>
  </si>
  <si>
    <t>4.0659721</t>
  </si>
  <si>
    <t>4.06745222</t>
  </si>
  <si>
    <t>4.0689354</t>
  </si>
  <si>
    <t>4.07042094</t>
  </si>
  <si>
    <t>4.07190813</t>
  </si>
  <si>
    <t>4.07339627</t>
  </si>
  <si>
    <t>4.07488464</t>
  </si>
  <si>
    <t>4.07637254</t>
  </si>
  <si>
    <t>4.07785926</t>
  </si>
  <si>
    <t>4.0793441</t>
  </si>
  <si>
    <t>4.08082634</t>
  </si>
  <si>
    <t>4.08230528</t>
  </si>
  <si>
    <t>4.08378021</t>
  </si>
  <si>
    <t>4.08525042</t>
  </si>
  <si>
    <t>4.08671521</t>
  </si>
  <si>
    <t>4.08817386</t>
  </si>
  <si>
    <t>4.08962568</t>
  </si>
  <si>
    <t>4.09106995</t>
  </si>
  <si>
    <t>4.09250783</t>
  </si>
  <si>
    <t>4.09395002</t>
  </si>
  <si>
    <t>4.0953981</t>
  </si>
  <si>
    <t>4.09685182</t>
  </si>
  <si>
    <t>4.09831092</t>
  </si>
  <si>
    <t>4.09977514</t>
  </si>
  <si>
    <t>4.10124422</t>
  </si>
  <si>
    <t>4.1027179</t>
  </si>
  <si>
    <t>4.10419593</t>
  </si>
  <si>
    <t>4.10567805</t>
  </si>
  <si>
    <t>4.107164</t>
  </si>
  <si>
    <t>4.10865352</t>
  </si>
  <si>
    <t>4.11014635</t>
  </si>
  <si>
    <t>4.11164224</t>
  </si>
  <si>
    <t>4.11314093</t>
  </si>
  <si>
    <t>4.11464215</t>
  </si>
  <si>
    <t>4.11614566</t>
  </si>
  <si>
    <t>4.11765118</t>
  </si>
  <si>
    <t>4.11915848</t>
  </si>
  <si>
    <t>4.12066727</t>
  </si>
  <si>
    <t>4.12217732</t>
  </si>
  <si>
    <t>4.12368835</t>
  </si>
  <si>
    <t>4.12520012</t>
  </si>
  <si>
    <t>4.12671236</t>
  </si>
  <si>
    <t>4.12822482</t>
  </si>
  <si>
    <t>4.12973723</t>
  </si>
  <si>
    <t>4.13124934</t>
  </si>
  <si>
    <t>4.13276089</t>
  </si>
  <si>
    <t>4.13427162</t>
  </si>
  <si>
    <t>4.13578128</t>
  </si>
  <si>
    <t>4.13728961</t>
  </si>
  <si>
    <t>4.13879634</t>
  </si>
  <si>
    <t>4.14030122</t>
  </si>
  <si>
    <t>4.14180399</t>
  </si>
  <si>
    <t>4.1433044</t>
  </si>
  <si>
    <t>4.14480218</t>
  </si>
  <si>
    <t>4.14629708</t>
  </si>
  <si>
    <t>4.14778789</t>
  </si>
  <si>
    <t>4.14927371</t>
  </si>
  <si>
    <t>4.15075476</t>
  </si>
  <si>
    <t>4.15223124</t>
  </si>
  <si>
    <t>4.15370339</t>
  </si>
  <si>
    <t>4.1551714</t>
  </si>
  <si>
    <t>4.1566355</t>
  </si>
  <si>
    <t>4.15809589</t>
  </si>
  <si>
    <t>4.15955279</t>
  </si>
  <si>
    <t>4.16100641</t>
  </si>
  <si>
    <t>4.16245697</t>
  </si>
  <si>
    <t>4.16390468</t>
  </si>
  <si>
    <t>4.16534976</t>
  </si>
  <si>
    <t>4.16679242</t>
  </si>
  <si>
    <t>4.16823286</t>
  </si>
  <si>
    <t>4.16967131</t>
  </si>
  <si>
    <t>4.17110798</t>
  </si>
  <si>
    <t>4.17254309</t>
  </si>
  <si>
    <t>4.17397684</t>
  </si>
  <si>
    <t>4.17540945</t>
  </si>
  <si>
    <t>4.17684113</t>
  </si>
  <si>
    <t>4.17827211</t>
  </si>
  <si>
    <t>4.17970258</t>
  </si>
  <si>
    <t>4.18113277</t>
  </si>
  <si>
    <t>4.18256289</t>
  </si>
  <si>
    <t>4.18399315</t>
  </si>
  <si>
    <t>4.18542376</t>
  </si>
  <si>
    <t>4.18685495</t>
  </si>
  <si>
    <t>4.18828692</t>
  </si>
  <si>
    <t>4.18971989</t>
  </si>
  <si>
    <t>4.19115407</t>
  </si>
  <si>
    <t>4.19258967</t>
  </si>
  <si>
    <t>4.19402691</t>
  </si>
  <si>
    <t>4.195466</t>
  </si>
  <si>
    <t>4.19690716</t>
  </si>
  <si>
    <t>4.1983506</t>
  </si>
  <si>
    <t>4.19979406</t>
  </si>
  <si>
    <t>4.20122307</t>
  </si>
  <si>
    <t>4.20263587</t>
  </si>
  <si>
    <t>4.20403316</t>
  </si>
  <si>
    <t>4.20541564</t>
  </si>
  <si>
    <t>4.20678404</t>
  </si>
  <si>
    <t>4.20813905</t>
  </si>
  <si>
    <t>4.2094814</t>
  </si>
  <si>
    <t>4.21081178</t>
  </si>
  <si>
    <t>4.21213092</t>
  </si>
  <si>
    <t>4.21343952</t>
  </si>
  <si>
    <t>4.21473829</t>
  </si>
  <si>
    <t>4.21602794</t>
  </si>
  <si>
    <t>4.21730919</t>
  </si>
  <si>
    <t>4.21858274</t>
  </si>
  <si>
    <t>4.2198493</t>
  </si>
  <si>
    <t>4.22110959</t>
  </si>
  <si>
    <t>4.22236431</t>
  </si>
  <si>
    <t>4.22361418</t>
  </si>
  <si>
    <t>4.2248599</t>
  </si>
  <si>
    <t>4.22610219</t>
  </si>
  <si>
    <t>4.22734176</t>
  </si>
  <si>
    <t>4.22857931</t>
  </si>
  <si>
    <t>4.22981556</t>
  </si>
  <si>
    <t>4.23105122</t>
  </si>
  <si>
    <t>4.232287</t>
  </si>
  <si>
    <t>4.2335236</t>
  </si>
  <si>
    <t>4.23476175</t>
  </si>
  <si>
    <t>4.23600214</t>
  </si>
  <si>
    <t>4.2372455</t>
  </si>
  <si>
    <t>4.23849253</t>
  </si>
  <si>
    <t>4.23974393</t>
  </si>
  <si>
    <t>4.24100043</t>
  </si>
  <si>
    <t>4.24226273</t>
  </si>
  <si>
    <t>4.24353154</t>
  </si>
  <si>
    <t>4.24480758</t>
  </si>
  <si>
    <t>4.24609155</t>
  </si>
  <si>
    <t>4.24736494</t>
  </si>
  <si>
    <t>4.24860959</t>
  </si>
  <si>
    <t>4.24982672</t>
  </si>
  <si>
    <t>4.25101757</t>
  </si>
  <si>
    <t>4.25218338</t>
  </si>
  <si>
    <t>4.25332536</t>
  </si>
  <si>
    <t>4.25444477</t>
  </si>
  <si>
    <t>4.25554281</t>
  </si>
  <si>
    <t>4.25662074</t>
  </si>
  <si>
    <t>4.25767978</t>
  </si>
  <si>
    <t>4.25872116</t>
  </si>
  <si>
    <t>4.25974612</t>
  </si>
  <si>
    <t>4.26075588</t>
  </si>
  <si>
    <t>4.26175169</t>
  </si>
  <si>
    <t>4.26273476</t>
  </si>
  <si>
    <t>4.26370633</t>
  </si>
  <si>
    <t>4.26466764</t>
  </si>
  <si>
    <t>4.26561991</t>
  </si>
  <si>
    <t>4.26656439</t>
  </si>
  <si>
    <t>4.26750229</t>
  </si>
  <si>
    <t>4.26843485</t>
  </si>
  <si>
    <t>4.26936331</t>
  </si>
  <si>
    <t>4.27028889</t>
  </si>
  <si>
    <t>4.27121283</t>
  </si>
  <si>
    <t>4.27213636</t>
  </si>
  <si>
    <t>4.27306072</t>
  </si>
  <si>
    <t>4.27398712</t>
  </si>
  <si>
    <t>4.27491681</t>
  </si>
  <si>
    <t>4.27585102</t>
  </si>
  <si>
    <t>4.27679097</t>
  </si>
  <si>
    <t>4.27773791</t>
  </si>
  <si>
    <t>4.27869306</t>
  </si>
  <si>
    <t>4.27965765</t>
  </si>
  <si>
    <t>4.28063292</t>
  </si>
  <si>
    <t>4.2816201</t>
  </si>
  <si>
    <t>4.28262042</t>
  </si>
  <si>
    <t>4.28362785</t>
  </si>
  <si>
    <t>4.28460027</t>
  </si>
  <si>
    <t>4.28553218</t>
  </si>
  <si>
    <t>4.28642535</t>
  </si>
  <si>
    <t>4.28728155</t>
  </si>
  <si>
    <t>4.28810256</t>
  </si>
  <si>
    <t>4.28889016</t>
  </si>
  <si>
    <t>4.28964611</t>
  </si>
  <si>
    <t>4.29037219</t>
  </si>
  <si>
    <t>4.29107018</t>
  </si>
  <si>
    <t>4.29174184</t>
  </si>
  <si>
    <t>4.29238896</t>
  </si>
  <si>
    <t>4.29301331</t>
  </si>
  <si>
    <t>4.29361667</t>
  </si>
  <si>
    <t>4.2942008</t>
  </si>
  <si>
    <t>4.29476748</t>
  </si>
  <si>
    <t>4.29531849</t>
  </si>
  <si>
    <t>4.2958556</t>
  </si>
  <si>
    <t>4.29638058</t>
  </si>
  <si>
    <t>4.29689522</t>
  </si>
  <si>
    <t>4.29740128</t>
  </si>
  <si>
    <t>4.29790053</t>
  </si>
  <si>
    <t>4.29839476</t>
  </si>
  <si>
    <t>4.29888574</t>
  </si>
  <si>
    <t>4.29937524</t>
  </si>
  <si>
    <t>4.29986503</t>
  </si>
  <si>
    <t>4.30035689</t>
  </si>
  <si>
    <t>4.3008526</t>
  </si>
  <si>
    <t>4.30135393</t>
  </si>
  <si>
    <t>4.30186264</t>
  </si>
  <si>
    <t>4.30238053</t>
  </si>
  <si>
    <t>4.30290936</t>
  </si>
  <si>
    <t>4.30345091</t>
  </si>
  <si>
    <t>4.30400694</t>
  </si>
  <si>
    <t>4.30457924</t>
  </si>
  <si>
    <t>4.30516959</t>
  </si>
  <si>
    <t>4.30577974</t>
  </si>
  <si>
    <t>4.30638498</t>
  </si>
  <si>
    <t>4.30696026</t>
  </si>
  <si>
    <t>4.30750685</t>
  </si>
  <si>
    <t>4.30802605</t>
  </si>
  <si>
    <t>4.30851914</t>
  </si>
  <si>
    <t>4.30898739</t>
  </si>
  <si>
    <t>4.3094321</t>
  </si>
  <si>
    <t>4.30985455</t>
  </si>
  <si>
    <t>4.31025603</t>
  </si>
  <si>
    <t>4.31063781</t>
  </si>
  <si>
    <t>4.31100119</t>
  </si>
  <si>
    <t>4.31134744</t>
  </si>
  <si>
    <t>4.31167785</t>
  </si>
  <si>
    <t>4.31199371</t>
  </si>
  <si>
    <t>4.3122963</t>
  </si>
  <si>
    <t>4.3125869</t>
  </si>
  <si>
    <t>4.3128668</t>
  </si>
  <si>
    <t>4.31313728</t>
  </si>
  <si>
    <t>4.31339963</t>
  </si>
  <si>
    <t>4.31365513</t>
  </si>
  <si>
    <t>4.31390507</t>
  </si>
  <si>
    <t>4.31415072</t>
  </si>
  <si>
    <t>4.31439338</t>
  </si>
  <si>
    <t>4.31463432</t>
  </si>
  <si>
    <t>4.31487484</t>
  </si>
  <si>
    <t>4.31511621</t>
  </si>
  <si>
    <t>4.31535972</t>
  </si>
  <si>
    <t>4.31560666</t>
  </si>
  <si>
    <t>4.31585831</t>
  </si>
  <si>
    <t>4.31611595</t>
  </si>
  <si>
    <t>4.31638086</t>
  </si>
  <si>
    <t>4.31665434</t>
  </si>
  <si>
    <t>4.31693767</t>
  </si>
  <si>
    <t>4.31723212</t>
  </si>
  <si>
    <t>4.31753899</t>
  </si>
  <si>
    <t>4.31785956</t>
  </si>
  <si>
    <t>4.31819196</t>
  </si>
  <si>
    <t>4.31851829</t>
  </si>
  <si>
    <t>4.3188358</t>
  </si>
  <si>
    <t>4.3191449</t>
  </si>
  <si>
    <t>4.31944597</t>
  </si>
  <si>
    <t>4.31973938</t>
  </si>
  <si>
    <t>4.32002554</t>
  </si>
  <si>
    <t>4.32030482</t>
  </si>
  <si>
    <t>4.3205776</t>
  </si>
  <si>
    <t>4.32084429</t>
  </si>
  <si>
    <t>4.32110525</t>
  </si>
  <si>
    <t>4.32136087</t>
  </si>
  <si>
    <t>4.32161155</t>
  </si>
  <si>
    <t>4.32185767</t>
  </si>
  <si>
    <t>4.3220996</t>
  </si>
  <si>
    <t>4.32233775</t>
  </si>
  <si>
    <t>4.32257249</t>
  </si>
  <si>
    <t>4.32280421</t>
  </si>
  <si>
    <t>4.32303329</t>
  </si>
  <si>
    <t>4.32326013</t>
  </si>
  <si>
    <t>4.3234851</t>
  </si>
  <si>
    <t>4.32370859</t>
  </si>
  <si>
    <t>4.32393099</t>
  </si>
  <si>
    <t>4.32415268</t>
  </si>
  <si>
    <t>4.32437405</t>
  </si>
  <si>
    <t>4.32459549</t>
  </si>
  <si>
    <t>4.32481737</t>
  </si>
  <si>
    <t>4.3250401</t>
  </si>
  <si>
    <t>4.32526404</t>
  </si>
  <si>
    <t>4.32548959</t>
  </si>
  <si>
    <t>4.32571713</t>
  </si>
  <si>
    <t>4.32594705</t>
  </si>
  <si>
    <t>4.32617973</t>
  </si>
  <si>
    <t>4.32641556</t>
  </si>
  <si>
    <t>4.32665493</t>
  </si>
  <si>
    <t>4.32689822</t>
  </si>
  <si>
    <t>4.32714581</t>
  </si>
  <si>
    <t>4.32739166</t>
  </si>
  <si>
    <t>4.3276297</t>
  </si>
  <si>
    <t>4.32786025</t>
  </si>
  <si>
    <t>4.32808364</t>
  </si>
  <si>
    <t>4.32830023</t>
  </si>
  <si>
    <t>4.32851034</t>
  </si>
  <si>
    <t>4.3287143</t>
  </si>
  <si>
    <t>4.32891245</t>
  </si>
  <si>
    <t>4.32910513</t>
  </si>
  <si>
    <t>4.32929267</t>
  </si>
  <si>
    <t>4.32947541</t>
  </si>
  <si>
    <t>4.32965367</t>
  </si>
  <si>
    <t>4.32982781</t>
  </si>
  <si>
    <t>4.32999815</t>
  </si>
  <si>
    <t>4.33016502</t>
  </si>
  <si>
    <t>4.33032877</t>
  </si>
  <si>
    <t>4.33048972</t>
  </si>
  <si>
    <t>4.33064822</t>
  </si>
  <si>
    <t>4.33080459</t>
  </si>
  <si>
    <t>4.33095917</t>
  </si>
  <si>
    <t>4.33111231</t>
  </si>
  <si>
    <t>4.33126432</t>
  </si>
  <si>
    <t>4.33141556</t>
  </si>
  <si>
    <t>4.33156635</t>
  </si>
  <si>
    <t>4.33171702</t>
  </si>
  <si>
    <t>4.33186792</t>
  </si>
  <si>
    <t>4.33201938</t>
  </si>
  <si>
    <t>4.33217173</t>
  </si>
  <si>
    <t>4.33232531</t>
  </si>
  <si>
    <t>4.33248046</t>
  </si>
  <si>
    <t>4.3326375</t>
  </si>
  <si>
    <t>4.33279678</t>
  </si>
  <si>
    <t>4.33295862</t>
  </si>
  <si>
    <t>4.33312337</t>
  </si>
  <si>
    <t>4.33329137</t>
  </si>
  <si>
    <t>4.33346293</t>
  </si>
  <si>
    <t>4.33363704</t>
  </si>
  <si>
    <t>4.33380577</t>
  </si>
  <si>
    <t>4.33396805</t>
  </si>
  <si>
    <t>4.33412415</t>
  </si>
  <si>
    <t>4.33427436</t>
  </si>
  <si>
    <t>4.33441896</t>
  </si>
  <si>
    <t>4.33455823</t>
  </si>
  <si>
    <t>4.33469246</t>
  </si>
  <si>
    <t>4.33482193</t>
  </si>
  <si>
    <t>4.33494693</t>
  </si>
  <si>
    <t>4.33506772</t>
  </si>
  <si>
    <t>4.33518461</t>
  </si>
  <si>
    <t>4.33529787</t>
  </si>
  <si>
    <t>4.33540778</t>
  </si>
  <si>
    <t>4.33551462</t>
  </si>
  <si>
    <t>4.33561869</t>
  </si>
  <si>
    <t>4.33572025</t>
  </si>
  <si>
    <t>4.33581961</t>
  </si>
  <si>
    <t>4.33591703</t>
  </si>
  <si>
    <t>4.3360128</t>
  </si>
  <si>
    <t>4.3361072</t>
  </si>
  <si>
    <t>4.33620052</t>
  </si>
  <si>
    <t>4.33629303</t>
  </si>
  <si>
    <t>4.33638503</t>
  </si>
  <si>
    <t>4.3364768</t>
  </si>
  <si>
    <t>4.33656861</t>
  </si>
  <si>
    <t>4.33666075</t>
  </si>
  <si>
    <t>4.3367535</t>
  </si>
  <si>
    <t>4.33684715</t>
  </si>
  <si>
    <t>4.33694197</t>
  </si>
  <si>
    <t>4.33703826</t>
  </si>
  <si>
    <t>4.33713629</t>
  </si>
  <si>
    <t>4.33723635</t>
  </si>
  <si>
    <t>4.33733872</t>
  </si>
  <si>
    <t>4.33744368</t>
  </si>
  <si>
    <t>4.33755152</t>
  </si>
  <si>
    <t>4.33766251</t>
  </si>
  <si>
    <t>4.33777243</t>
  </si>
  <si>
    <t>4.33787702</t>
  </si>
  <si>
    <t>4.3379765</t>
  </si>
  <si>
    <t>4.3380711</t>
  </si>
  <si>
    <t>4.33816104</t>
  </si>
  <si>
    <t>4.33824657</t>
  </si>
  <si>
    <t>4.3383279</t>
  </si>
  <si>
    <t>4.33840527</t>
  </si>
  <si>
    <t>4.33847891</t>
  </si>
  <si>
    <t>4.33854904</t>
  </si>
  <si>
    <t>4.33861589</t>
  </si>
  <si>
    <t>4.33867969</t>
  </si>
  <si>
    <t>4.33874066</t>
  </si>
  <si>
    <t>4.33879905</t>
  </si>
  <si>
    <t>4.33885508</t>
  </si>
  <si>
    <t>4.33890896</t>
  </si>
  <si>
    <t>4.33896095</t>
  </si>
  <si>
    <t>4.33901125</t>
  </si>
  <si>
    <t>4.33906011</t>
  </si>
  <si>
    <t>4.33910775</t>
  </si>
  <si>
    <t>4.3391544</t>
  </si>
  <si>
    <t>4.33920028</t>
  </si>
  <si>
    <t>4.33924563</t>
  </si>
  <si>
    <t>4.33929068</t>
  </si>
  <si>
    <t>4.33933565</t>
  </si>
  <si>
    <t>4.33938077</t>
  </si>
  <si>
    <t>4.33942627</t>
  </si>
  <si>
    <t>4.33947239</t>
  </si>
  <si>
    <t>4.33951934</t>
  </si>
  <si>
    <t>4.33956736</t>
  </si>
  <si>
    <t>4.33961667</t>
  </si>
  <si>
    <t>4.33966751</t>
  </si>
  <si>
    <t>4.3397201</t>
  </si>
  <si>
    <t>4.33977468</t>
  </si>
  <si>
    <t>4.33983147</t>
  </si>
  <si>
    <t>4.33989069</t>
  </si>
  <si>
    <t>4.33995187</t>
  </si>
  <si>
    <t>4.34001087</t>
  </si>
  <si>
    <t>4.34006705</t>
  </si>
  <si>
    <t>4.34012048</t>
  </si>
  <si>
    <t>4.34017123</t>
  </si>
  <si>
    <t>4.34021936</t>
  </si>
  <si>
    <t>4.34026493</t>
  </si>
  <si>
    <t>4.34030803</t>
  </si>
  <si>
    <t>4.3403487</t>
  </si>
  <si>
    <t>4.34038703</t>
  </si>
  <si>
    <t>4.34042307</t>
  </si>
  <si>
    <t>4.3404569</t>
  </si>
  <si>
    <t>4.34048859</t>
  </si>
  <si>
    <t>4.34051819</t>
  </si>
  <si>
    <t>4.34054577</t>
  </si>
  <si>
    <t>4.34057141</t>
  </si>
  <si>
    <t>4.34059517</t>
  </si>
  <si>
    <t>4.34061712</t>
  </si>
  <si>
    <t>4.34063732</t>
  </si>
  <si>
    <t>4.34065584</t>
  </si>
  <si>
    <t>4.34067275</t>
  </si>
  <si>
    <t>4.34068812</t>
  </si>
  <si>
    <t>4.340702</t>
  </si>
  <si>
    <t>4.34071448</t>
  </si>
  <si>
    <t>4.34072562</t>
  </si>
  <si>
    <t>4.34073548</t>
  </si>
  <si>
    <t>4.34074412</t>
  </si>
  <si>
    <t>4.34075163</t>
  </si>
  <si>
    <t>4.34075806</t>
  </si>
  <si>
    <t>4.34076349</t>
  </si>
  <si>
    <t>4.34076797</t>
  </si>
  <si>
    <t>4.34077158</t>
  </si>
  <si>
    <t>4.34077438</t>
  </si>
  <si>
    <t>4.34077645</t>
  </si>
  <si>
    <t>4.34077784</t>
  </si>
  <si>
    <t>4.34077862</t>
  </si>
  <si>
    <t>4.34077887</t>
  </si>
  <si>
    <t>4.34077875</t>
  </si>
  <si>
    <t>4.34077842</t>
  </si>
  <si>
    <t>4.34077786</t>
  </si>
  <si>
    <t>4.34077711</t>
  </si>
  <si>
    <t>4.34077615</t>
  </si>
  <si>
    <t>4.34077501</t>
  </si>
  <si>
    <t>4.3407737</t>
  </si>
  <si>
    <t>4.34077222</t>
  </si>
  <si>
    <t>4.34077058</t>
  </si>
  <si>
    <t>4.3407688</t>
  </si>
  <si>
    <t>4.34076688</t>
  </si>
  <si>
    <t>4.34076483</t>
  </si>
  <si>
    <t>4.34076266</t>
  </si>
  <si>
    <t>4.34076039</t>
  </si>
  <si>
    <t>4.34075801</t>
  </si>
  <si>
    <t>4.34075555</t>
  </si>
  <si>
    <t>4.340753</t>
  </si>
  <si>
    <t>4.34075039</t>
  </si>
  <si>
    <t>4.34074771</t>
  </si>
  <si>
    <t>4.34074499</t>
  </si>
  <si>
    <t>4.34074222</t>
  </si>
  <si>
    <t>4.34073942</t>
  </si>
  <si>
    <t>4.3407366</t>
  </si>
  <si>
    <t>4.34073376</t>
  </si>
  <si>
    <t>4.34073092</t>
  </si>
  <si>
    <t>4.34072809</t>
  </si>
  <si>
    <t>4.34072527</t>
  </si>
  <si>
    <t>4.34072248</t>
  </si>
  <si>
    <t>4.34071973</t>
  </si>
  <si>
    <t>4.34071702</t>
  </si>
  <si>
    <t>4.34071436</t>
  </si>
  <si>
    <t>4.34071177</t>
  </si>
  <si>
    <t>4.34070925</t>
  </si>
  <si>
    <t>4.34070681</t>
  </si>
  <si>
    <t>4.34070447</t>
  </si>
  <si>
    <t>4.34070223</t>
  </si>
  <si>
    <t>4.34069992</t>
  </si>
  <si>
    <t>4.34069645</t>
  </si>
  <si>
    <t>4.34069169</t>
  </si>
  <si>
    <t>4.34068571</t>
  </si>
  <si>
    <t>4.34067856</t>
  </si>
  <si>
    <t>4.34067029</t>
  </si>
  <si>
    <t>4.34066096</t>
  </si>
  <si>
    <t>4.34065062</t>
  </si>
  <si>
    <t>4.34063934</t>
  </si>
  <si>
    <t>4.34062717</t>
  </si>
  <si>
    <t>4.34061416</t>
  </si>
  <si>
    <t>4.34060038</t>
  </si>
  <si>
    <t>4.34058587</t>
  </si>
  <si>
    <t>4.3405707</t>
  </si>
  <si>
    <t>4.34055491</t>
  </si>
  <si>
    <t>4.34053858</t>
  </si>
  <si>
    <t>4.34052174</t>
  </si>
  <si>
    <t>4.34050447</t>
  </si>
  <si>
    <t>4.34048681</t>
  </si>
  <si>
    <t>4.34046882</t>
  </si>
  <si>
    <t>4.34045057</t>
  </si>
  <si>
    <t>4.34043209</t>
  </si>
  <si>
    <t>4.34041346</t>
  </si>
  <si>
    <t>4.34039472</t>
  </si>
  <si>
    <t>4.34037593</t>
  </si>
  <si>
    <t>4.34035716</t>
  </si>
  <si>
    <t>4.34033845</t>
  </si>
  <si>
    <t>4.34031986</t>
  </si>
  <si>
    <t>4.34030145</t>
  </si>
  <si>
    <t>4.34028328</t>
  </si>
  <si>
    <t>4.3402654</t>
  </si>
  <si>
    <t>4.34024786</t>
  </si>
  <si>
    <t>4.34023073</t>
  </si>
  <si>
    <t>4.34021405</t>
  </si>
  <si>
    <t>4.34019789</t>
  </si>
  <si>
    <t>4.34018231</t>
  </si>
  <si>
    <t>4.34016735</t>
  </si>
  <si>
    <t>4.34015242</t>
  </si>
  <si>
    <t>4.3401369</t>
  </si>
  <si>
    <t>4.34012087</t>
  </si>
  <si>
    <t>4.34010437</t>
  </si>
  <si>
    <t>4.34008745</t>
  </si>
  <si>
    <t>4.34007019</t>
  </si>
  <si>
    <t>4.34005263</t>
  </si>
  <si>
    <t>4.34003483</t>
  </si>
  <si>
    <t>4.34001685</t>
  </si>
  <si>
    <t>4.33999875</t>
  </si>
  <si>
    <t>4.33998057</t>
  </si>
  <si>
    <t>4.33996239</t>
  </si>
  <si>
    <t>4.33994425</t>
  </si>
  <si>
    <t>4.33992621</t>
  </si>
  <si>
    <t>4.33990833</t>
  </si>
  <si>
    <t>4.33989067</t>
  </si>
  <si>
    <t>4.33987328</t>
  </si>
  <si>
    <t>4.33985622</t>
  </si>
  <si>
    <t>4.33983955</t>
  </si>
  <si>
    <t>4.33982332</t>
  </si>
  <si>
    <t>4.33980759</t>
  </si>
  <si>
    <t>4.33979242</t>
  </si>
  <si>
    <t>4.33977786</t>
  </si>
  <si>
    <t>4.33976397</t>
  </si>
  <si>
    <t>4.33975081</t>
  </si>
  <si>
    <t>4.33973843</t>
  </si>
  <si>
    <t>4.3397269</t>
  </si>
  <si>
    <t>4.33971626</t>
  </si>
  <si>
    <t>4.33970658</t>
  </si>
  <si>
    <t>4.33969791</t>
  </si>
  <si>
    <t>4.3396903</t>
  </si>
  <si>
    <t>4.33968383</t>
  </si>
  <si>
    <t>4.33967853</t>
  </si>
  <si>
    <t>4.33967448</t>
  </si>
  <si>
    <t>4.33967172</t>
  </si>
  <si>
    <t>4.33967031</t>
  </si>
  <si>
    <t>4.33967015</t>
  </si>
  <si>
    <t>4.33967028</t>
  </si>
  <si>
    <t>4.33967055</t>
  </si>
  <si>
    <t>4.33967093</t>
  </si>
  <si>
    <t>4.33967144</t>
  </si>
  <si>
    <t>4.33967206</t>
  </si>
  <si>
    <t>4.33967278</t>
  </si>
  <si>
    <t>4.33967361</t>
  </si>
  <si>
    <t>4.33967453</t>
  </si>
  <si>
    <t>4.33967554</t>
  </si>
  <si>
    <t>4.33967663</t>
  </si>
  <si>
    <t>4.3396778</t>
  </si>
  <si>
    <t>4.33967905</t>
  </si>
  <si>
    <t>4.33968036</t>
  </si>
  <si>
    <t>4.33968173</t>
  </si>
  <si>
    <t>4.33968316</t>
  </si>
  <si>
    <t>4.33968464</t>
  </si>
  <si>
    <t>4.33968616</t>
  </si>
  <si>
    <t>4.33968773</t>
  </si>
  <si>
    <t>4.33968932</t>
  </si>
  <si>
    <t>4.33969094</t>
  </si>
  <si>
    <t>4.33969259</t>
  </si>
  <si>
    <t>4.33969425</t>
  </si>
  <si>
    <t>4.33969592</t>
  </si>
  <si>
    <t>4.33969759</t>
  </si>
  <si>
    <t>4.33969927</t>
  </si>
  <si>
    <t>4.33970093</t>
  </si>
  <si>
    <t>4.33970259</t>
  </si>
  <si>
    <t>4.33970423</t>
  </si>
  <si>
    <t>4.33970584</t>
  </si>
  <si>
    <t>4.33970742</t>
  </si>
  <si>
    <t>4.33970897</t>
  </si>
  <si>
    <t>4.33971048</t>
  </si>
  <si>
    <t>4.33971195</t>
  </si>
  <si>
    <t>4.33971336</t>
  </si>
  <si>
    <t>4.33971471</t>
  </si>
  <si>
    <t>4.339716</t>
  </si>
  <si>
    <t>4.33971963</t>
  </si>
  <si>
    <t>4.33972788</t>
  </si>
  <si>
    <t>4.33974054</t>
  </si>
  <si>
    <t>4.33975742</t>
  </si>
  <si>
    <t>4.33977833</t>
  </si>
  <si>
    <t>4.33980306</t>
  </si>
  <si>
    <t>4.33983142</t>
  </si>
  <si>
    <t>4.33986321</t>
  </si>
  <si>
    <t>4.33989822</t>
  </si>
  <si>
    <t>4.33993628</t>
  </si>
  <si>
    <t>4.33997716</t>
  </si>
  <si>
    <t>4.34002068</t>
  </si>
  <si>
    <t>4.34006665</t>
  </si>
  <si>
    <t>4.34011485</t>
  </si>
  <si>
    <t>4.3401651</t>
  </si>
  <si>
    <t>4.3402172</t>
  </si>
  <si>
    <t>4.34027094</t>
  </si>
  <si>
    <t>4.34032614</t>
  </si>
  <si>
    <t>4.34038259</t>
  </si>
  <si>
    <t>4.34044009</t>
  </si>
  <si>
    <t>4.34049845</t>
  </si>
  <si>
    <t>4.34055747</t>
  </si>
  <si>
    <t>4.34061695</t>
  </si>
  <si>
    <t>4.3406767</t>
  </si>
  <si>
    <t>4.34073651</t>
  </si>
  <si>
    <t>4.34079619</t>
  </si>
  <si>
    <t>4.34085554</t>
  </si>
  <si>
    <t>4.34091436</t>
  </si>
  <si>
    <t>4.34097245</t>
  </si>
  <si>
    <t>4.34102963</t>
  </si>
  <si>
    <t>4.34108568</t>
  </si>
  <si>
    <t>4.34114041</t>
  </si>
  <si>
    <t>4.34119363</t>
  </si>
  <si>
    <t>4.34124513</t>
  </si>
  <si>
    <t>4.34129472</t>
  </si>
  <si>
    <t>4.3413422</t>
  </si>
  <si>
    <t>4.34138851</t>
  </si>
  <si>
    <t>4.34144019</t>
  </si>
  <si>
    <t>4.3414981</t>
  </si>
  <si>
    <t>4.34156198</t>
  </si>
  <si>
    <t>4.34163155</t>
  </si>
  <si>
    <t>4.34170654</t>
  </si>
  <si>
    <t>4.34178668</t>
  </si>
  <si>
    <t>4.34187168</t>
  </si>
  <si>
    <t>4.34196129</t>
  </si>
  <si>
    <t>4.34205522</t>
  </si>
  <si>
    <t>4.3421532</t>
  </si>
  <si>
    <t>4.34225496</t>
  </si>
  <si>
    <t>4.34236022</t>
  </si>
  <si>
    <t>4.34246872</t>
  </si>
  <si>
    <t>4.34258018</t>
  </si>
  <si>
    <t>4.34269432</t>
  </si>
  <si>
    <t>4.34281088</t>
  </si>
  <si>
    <t>4.34292957</t>
  </si>
  <si>
    <t>4.34305013</t>
  </si>
  <si>
    <t>4.34317229</t>
  </si>
  <si>
    <t>4.34329577</t>
  </si>
  <si>
    <t>4.34342029</t>
  </si>
  <si>
    <t>4.34354559</t>
  </si>
  <si>
    <t>4.34367138</t>
  </si>
  <si>
    <t>4.34379741</t>
  </si>
  <si>
    <t>4.34392339</t>
  </si>
  <si>
    <t>4.34404905</t>
  </si>
  <si>
    <t>4.34417412</t>
  </si>
  <si>
    <t>4.34429832</t>
  </si>
  <si>
    <t>4.34442139</t>
  </si>
  <si>
    <t>4.34454305</t>
  </si>
  <si>
    <t>4.34466302</t>
  </si>
  <si>
    <t>4.34478103</t>
  </si>
  <si>
    <t>4.34489681</t>
  </si>
  <si>
    <t>4.34501009</t>
  </si>
  <si>
    <t>4.34512059</t>
  </si>
  <si>
    <t>4.34522804</t>
  </si>
  <si>
    <t>4.34533691</t>
  </si>
  <si>
    <t>4.34545168</t>
  </si>
  <si>
    <t>4.3455721</t>
  </si>
  <si>
    <t>4.34569792</t>
  </si>
  <si>
    <t>4.34582888</t>
  </si>
  <si>
    <t>4.34596473</t>
  </si>
  <si>
    <t>4.34610521</t>
  </si>
  <si>
    <t>4.34625008</t>
  </si>
  <si>
    <t>4.34639908</t>
  </si>
  <si>
    <t>4.34655196</t>
  </si>
  <si>
    <t>4.34670847</t>
  </si>
  <si>
    <t>4.34686835</t>
  </si>
  <si>
    <t>4.34703135</t>
  </si>
  <si>
    <t>4.34719721</t>
  </si>
  <si>
    <t>4.34736569</t>
  </si>
  <si>
    <t>4.34753653</t>
  </si>
  <si>
    <t>4.34770947</t>
  </si>
  <si>
    <t>4.34788427</t>
  </si>
  <si>
    <t>4.34806068</t>
  </si>
  <si>
    <t>4.34823843</t>
  </si>
  <si>
    <t>4.34841728</t>
  </si>
  <si>
    <t>4.34859697</t>
  </si>
  <si>
    <t>4.34877725</t>
  </si>
  <si>
    <t>4.34895787</t>
  </si>
  <si>
    <t>4.34913857</t>
  </si>
  <si>
    <t>4.34931911</t>
  </si>
  <si>
    <t>4.34949922</t>
  </si>
  <si>
    <t>4.34967866</t>
  </si>
  <si>
    <t>4.34985717</t>
  </si>
  <si>
    <t>4.3500345</t>
  </si>
  <si>
    <t>4.3502104</t>
  </si>
  <si>
    <t>4.35038461</t>
  </si>
  <si>
    <t>4.35055688</t>
  </si>
  <si>
    <t>4.35072696</t>
  </si>
  <si>
    <t>4.3508946</t>
  </si>
  <si>
    <t>4.35105953</t>
  </si>
  <si>
    <t>4.35122261</t>
  </si>
  <si>
    <t>4.35139014</t>
  </si>
  <si>
    <t>4.35156298</t>
  </si>
  <si>
    <t>4.3517409</t>
  </si>
  <si>
    <t>4.35192366</t>
  </si>
  <si>
    <t>4.35211104</t>
  </si>
  <si>
    <t>4.3523028</t>
  </si>
  <si>
    <t>4.3524987</t>
  </si>
  <si>
    <t>4.35269852</t>
  </si>
  <si>
    <t>4.35290203</t>
  </si>
  <si>
    <t>4.35310898</t>
  </si>
  <si>
    <t>4.35331915</t>
  </si>
  <si>
    <t>4.35353231</t>
  </si>
  <si>
    <t>4.35374821</t>
  </si>
  <si>
    <t>4.35396664</t>
  </si>
  <si>
    <t>4.35418735</t>
  </si>
  <si>
    <t>4.35441012</t>
  </si>
  <si>
    <t>4.35463471</t>
  </si>
  <si>
    <t>4.35486089</t>
  </si>
  <si>
    <t>4.35508843</t>
  </si>
  <si>
    <t>4.35531709</t>
  </si>
  <si>
    <t>4.35554664</t>
  </si>
  <si>
    <t>4.35577685</t>
  </si>
  <si>
    <t>4.35600749</t>
  </si>
  <si>
    <t>4.35623832</t>
  </si>
  <si>
    <t>4.35646912</t>
  </si>
  <si>
    <t>4.35669964</t>
  </si>
  <si>
    <t>4.35692966</t>
  </si>
  <si>
    <t>4.35715894</t>
  </si>
  <si>
    <t>4.35738725</t>
  </si>
  <si>
    <t>4.35761436</t>
  </si>
  <si>
    <t>4.35784003</t>
  </si>
  <si>
    <t>4.35806404</t>
  </si>
  <si>
    <t>4.35828615</t>
  </si>
  <si>
    <t>4.35850613</t>
  </si>
  <si>
    <t>4.35872374</t>
  </si>
  <si>
    <t>4.35893876</t>
  </si>
  <si>
    <t>4.35915494</t>
  </si>
  <si>
    <t>4.35937607</t>
  </si>
  <si>
    <t>4.35960194</t>
  </si>
  <si>
    <t>4.35983233</t>
  </si>
  <si>
    <t>4.36006702</t>
  </si>
  <si>
    <t>4.36030582</t>
  </si>
  <si>
    <t>4.3605485</t>
  </si>
  <si>
    <t>4.36079486</t>
  </si>
  <si>
    <t>4.36104468</t>
  </si>
  <si>
    <t>4.36129775</t>
  </si>
  <si>
    <t>4.36155386</t>
  </si>
  <si>
    <t>4.36181279</t>
  </si>
  <si>
    <t>4.36207434</t>
  </si>
  <si>
    <t>4.36233829</t>
  </si>
  <si>
    <t>4.36260444</t>
  </si>
  <si>
    <t>4.36287256</t>
  </si>
  <si>
    <t>4.36314245</t>
  </si>
  <si>
    <t>4.36341389</t>
  </si>
  <si>
    <t>4.36368668</t>
  </si>
  <si>
    <t>4.36396059</t>
  </si>
  <si>
    <t>4.36423543</t>
  </si>
  <si>
    <t>4.36451097</t>
  </si>
  <si>
    <t>4.364787</t>
  </si>
  <si>
    <t>4.36506332</t>
  </si>
  <si>
    <t>4.36533971</t>
  </si>
  <si>
    <t>4.36561596</t>
  </si>
  <si>
    <t>4.36589185</t>
  </si>
  <si>
    <t>4.36616718</t>
  </si>
  <si>
    <t>4.36644173</t>
  </si>
  <si>
    <t>4.3667153</t>
  </si>
  <si>
    <t>4.36698766</t>
  </si>
  <si>
    <t>4.36725861</t>
  </si>
  <si>
    <t>4.36752793</t>
  </si>
  <si>
    <t>4.36779542</t>
  </si>
  <si>
    <t>4.36806085</t>
  </si>
  <si>
    <t>4.36832403</t>
  </si>
  <si>
    <t>4.36858563</t>
  </si>
  <si>
    <t>4.36885089</t>
  </si>
  <si>
    <t>4.36912051</t>
  </si>
  <si>
    <t>4.3693943</t>
  </si>
  <si>
    <t>4.36967206</t>
  </si>
  <si>
    <t>4.36995362</t>
  </si>
  <si>
    <t>4.37023878</t>
  </si>
  <si>
    <t>4.37052734</t>
  </si>
  <si>
    <t>4.37081912</t>
  </si>
  <si>
    <t>4.37111392</t>
  </si>
  <si>
    <t>4.37141156</t>
  </si>
  <si>
    <t>4.37171184</t>
  </si>
  <si>
    <t>4.37201457</t>
  </si>
  <si>
    <t>4.37231956</t>
  </si>
  <si>
    <t>4.37262662</t>
  </si>
  <si>
    <t>4.37293556</t>
  </si>
  <si>
    <t>4.37324619</t>
  </si>
  <si>
    <t>4.37355831</t>
  </si>
  <si>
    <t>4.37387174</t>
  </si>
  <si>
    <t>4.37418629</t>
  </si>
  <si>
    <t>4.37450175</t>
  </si>
  <si>
    <t>4.37481795</t>
  </si>
  <si>
    <t>4.3751347</t>
  </si>
  <si>
    <t>4.37545179</t>
  </si>
  <si>
    <t>4.37576904</t>
  </si>
  <si>
    <t>4.37608625</t>
  </si>
  <si>
    <t>4.37640325</t>
  </si>
  <si>
    <t>4.37671983</t>
  </si>
  <si>
    <t>4.37703581</t>
  </si>
  <si>
    <t>4.37735099</t>
  </si>
  <si>
    <t>4.37766518</t>
  </si>
  <si>
    <t>4.3779782</t>
  </si>
  <si>
    <t>4.37828985</t>
  </si>
  <si>
    <t>4.37859993</t>
  </si>
  <si>
    <t>4.37890827</t>
  </si>
  <si>
    <t>4.37921466</t>
  </si>
  <si>
    <t>4.37951892</t>
  </si>
  <si>
    <t>4.37982408</t>
  </si>
  <si>
    <t>4.38013321</t>
  </si>
  <si>
    <t>4.38044612</t>
  </si>
  <si>
    <t>4.38076265</t>
  </si>
  <si>
    <t>4.38108262</t>
  </si>
  <si>
    <t>4.38140588</t>
  </si>
  <si>
    <t>4.38173225</t>
  </si>
  <si>
    <t>4.38206155</t>
  </si>
  <si>
    <t>4.38239363</t>
  </si>
  <si>
    <t>4.38272831</t>
  </si>
  <si>
    <t>4.38306542</t>
  </si>
  <si>
    <t>4.38340479</t>
  </si>
  <si>
    <t>4.38374625</t>
  </si>
  <si>
    <t>4.38408963</t>
  </si>
  <si>
    <t>4.38443477</t>
  </si>
  <si>
    <t>4.38478149</t>
  </si>
  <si>
    <t>4.38512962</t>
  </si>
  <si>
    <t>4.385479</t>
  </si>
  <si>
    <t>4.38582945</t>
  </si>
  <si>
    <t>4.38618081</t>
  </si>
  <si>
    <t>4.3865329</t>
  </si>
  <si>
    <t>4.38688555</t>
  </si>
  <si>
    <t>4.3872386</t>
  </si>
  <si>
    <t>4.38759188</t>
  </si>
  <si>
    <t>4.38794522</t>
  </si>
  <si>
    <t>4.38829844</t>
  </si>
  <si>
    <t>4.38865138</t>
  </si>
  <si>
    <t>4.38900386</t>
  </si>
  <si>
    <t>4.38935573</t>
  </si>
  <si>
    <t>4.3897068</t>
  </si>
  <si>
    <t>4.39005691</t>
  </si>
  <si>
    <t>4.3904059</t>
  </si>
  <si>
    <t>4.39075358</t>
  </si>
  <si>
    <t>4.39109979</t>
  </si>
  <si>
    <t>4.39144436</t>
  </si>
  <si>
    <t>4.39178712</t>
  </si>
  <si>
    <t>4.39212861</t>
  </si>
  <si>
    <t>4.39247291</t>
  </si>
  <si>
    <t>4.39282058</t>
  </si>
  <si>
    <t>4.39317148</t>
  </si>
  <si>
    <t>4.39352545</t>
  </si>
  <si>
    <t>4.39388234</t>
  </si>
  <si>
    <t>4.39424202</t>
  </si>
  <si>
    <t>4.39460433</t>
  </si>
  <si>
    <t>4.39496912</t>
  </si>
  <si>
    <t>4.39533625</t>
  </si>
  <si>
    <t>4.39570556</t>
  </si>
  <si>
    <t>4.39607692</t>
  </si>
  <si>
    <t>4.39645018</t>
  </si>
  <si>
    <t>4.39682518</t>
  </si>
  <si>
    <t>4.39720178</t>
  </si>
  <si>
    <t>4.39757983</t>
  </si>
  <si>
    <t>4.39795918</t>
  </si>
  <si>
    <t>4.39833969</t>
  </si>
  <si>
    <t>4.39872121</t>
  </si>
  <si>
    <t>4.39910359</t>
  </si>
  <si>
    <t>4.39948668</t>
  </si>
  <si>
    <t>4.39987034</t>
  </si>
  <si>
    <t>4.40025442</t>
  </si>
  <si>
    <t>4.40063876</t>
  </si>
  <si>
    <t>4.40102323</t>
  </si>
  <si>
    <t>4.40140768</t>
  </si>
  <si>
    <t>4.40179195</t>
  </si>
  <si>
    <t>4.40217591</t>
  </si>
  <si>
    <t>4.40255939</t>
  </si>
  <si>
    <t>4.40294227</t>
  </si>
  <si>
    <t>4.40332437</t>
  </si>
  <si>
    <t>4.40370557</t>
  </si>
  <si>
    <t>4.40408571</t>
  </si>
  <si>
    <t>4.40446465</t>
  </si>
  <si>
    <t>4.40484223</t>
  </si>
  <si>
    <t>4.40521832</t>
  </si>
  <si>
    <t>4.40559275</t>
  </si>
  <si>
    <t>4.40596781</t>
  </si>
  <si>
    <t>4.40634578</t>
  </si>
  <si>
    <t>4.40672654</t>
  </si>
  <si>
    <t>4.40710997</t>
  </si>
  <si>
    <t>4.40749593</t>
  </si>
  <si>
    <t>4.40788431</t>
  </si>
  <si>
    <t>4.40827498</t>
  </si>
  <si>
    <t>4.40866781</t>
  </si>
  <si>
    <t>4.40906268</t>
  </si>
  <si>
    <t>4.40945946</t>
  </si>
  <si>
    <t>4.40985803</t>
  </si>
  <si>
    <t>4.41025827</t>
  </si>
  <si>
    <t>4.41066005</t>
  </si>
  <si>
    <t>4.41106324</t>
  </si>
  <si>
    <t>4.41146773</t>
  </si>
  <si>
    <t>4.41187338</t>
  </si>
  <si>
    <t>4.41228006</t>
  </si>
  <si>
    <t>4.41268767</t>
  </si>
  <si>
    <t>4.41309607</t>
  </si>
  <si>
    <t>4.41350513</t>
  </si>
  <si>
    <t>4.41391473</t>
  </si>
  <si>
    <t>4.41432475</t>
  </si>
  <si>
    <t>4.41473506</t>
  </si>
  <si>
    <t>4.41514553</t>
  </si>
  <si>
    <t>4.41555605</t>
  </si>
  <si>
    <t>4.41596649</t>
  </si>
  <si>
    <t>4.41637671</t>
  </si>
  <si>
    <t>4.41678661</t>
  </si>
  <si>
    <t>4.41719604</t>
  </si>
  <si>
    <t>4.4176049</t>
  </si>
  <si>
    <t>4.41801304</t>
  </si>
  <si>
    <t>4.41842036</t>
  </si>
  <si>
    <t>4.41882671</t>
  </si>
  <si>
    <t>4.41923199</t>
  </si>
  <si>
    <t>4.41963606</t>
  </si>
  <si>
    <t>4.42003879</t>
  </si>
  <si>
    <t>4.42044057</t>
  </si>
  <si>
    <t>4.42084426</t>
  </si>
  <si>
    <t>4.42125027</t>
  </si>
  <si>
    <t>4.42165849</t>
  </si>
  <si>
    <t>4.42206881</t>
  </si>
  <si>
    <t>4.42248115</t>
  </si>
  <si>
    <t>4.4228954</t>
  </si>
  <si>
    <t>4.42331145</t>
  </si>
  <si>
    <t>4.4237292</t>
  </si>
  <si>
    <t>4.42414856</t>
  </si>
  <si>
    <t>4.42456943</t>
  </si>
  <si>
    <t>4.42499169</t>
  </si>
  <si>
    <t>4.42541525</t>
  </si>
  <si>
    <t>4.42584001</t>
  </si>
  <si>
    <t>4.42626587</t>
  </si>
  <si>
    <t>4.42669273</t>
  </si>
  <si>
    <t>4.42712048</t>
  </si>
  <si>
    <t>4.42754902</t>
  </si>
  <si>
    <t>4.42797826</t>
  </si>
  <si>
    <t>4.42840808</t>
  </si>
  <si>
    <t>4.4288384</t>
  </si>
  <si>
    <t>4.4292691</t>
  </si>
  <si>
    <t>4.42970009</t>
  </si>
  <si>
    <t>4.43013127</t>
  </si>
  <si>
    <t>4.43056253</t>
  </si>
  <si>
    <t>4.43099378</t>
  </si>
  <si>
    <t>4.4314249</t>
  </si>
  <si>
    <t>4.43185581</t>
  </si>
  <si>
    <t>4.43228639</t>
  </si>
  <si>
    <t>4.43271656</t>
  </si>
  <si>
    <t>4.4331462</t>
  </si>
  <si>
    <t>4.43357521</t>
  </si>
  <si>
    <t>4.4340035</t>
  </si>
  <si>
    <t>4.43443097</t>
  </si>
  <si>
    <t>4.4348575</t>
  </si>
  <si>
    <t>4.43528301</t>
  </si>
  <si>
    <t>4.43570738</t>
  </si>
  <si>
    <t>4.43613208</t>
  </si>
  <si>
    <t>4.43655856</t>
  </si>
  <si>
    <t>4.43698676</t>
  </si>
  <si>
    <t>4.4374166</t>
  </si>
  <si>
    <t>4.437848</t>
  </si>
  <si>
    <t>4.43828089</t>
  </si>
  <si>
    <t>4.43871518</t>
  </si>
  <si>
    <t>4.4391508</t>
  </si>
  <si>
    <t>4.43958768</t>
  </si>
  <si>
    <t>4.44002573</t>
  </si>
  <si>
    <t>4.44046489</t>
  </si>
  <si>
    <t>4.44090506</t>
  </si>
  <si>
    <t>4.44134619</t>
  </si>
  <si>
    <t>4.44178818</t>
  </si>
  <si>
    <t>4.44223097</t>
  </si>
  <si>
    <t>4.44267448</t>
  </si>
  <si>
    <t>4.44311862</t>
  </si>
  <si>
    <t>4.44356333</t>
  </si>
  <si>
    <t>4.44400852</t>
  </si>
  <si>
    <t>4.44445413</t>
  </si>
  <si>
    <t>4.44490006</t>
  </si>
  <si>
    <t>4.44534625</t>
  </si>
  <si>
    <t>4.44579262</t>
  </si>
  <si>
    <t>4.4462391</t>
  </si>
  <si>
    <t>4.4466856</t>
  </si>
  <si>
    <t>4.44713204</t>
  </si>
  <si>
    <t>4.44757836</t>
  </si>
  <si>
    <t>4.44802448</t>
  </si>
  <si>
    <t>4.44847031</t>
  </si>
  <si>
    <t>4.44891579</t>
  </si>
  <si>
    <t>4.44936083</t>
  </si>
  <si>
    <t>4.44980535</t>
  </si>
  <si>
    <t>4.45024929</t>
  </si>
  <si>
    <t>4.45069257</t>
  </si>
  <si>
    <t>4.4511351</t>
  </si>
  <si>
    <t>4.45157681</t>
  </si>
  <si>
    <t>4.45201791</t>
  </si>
  <si>
    <t>4.45245994</t>
  </si>
  <si>
    <t>4.45290315</t>
  </si>
  <si>
    <t>4.45334748</t>
  </si>
  <si>
    <t>4.45379287</t>
  </si>
  <si>
    <t>4.45423928</t>
  </si>
  <si>
    <t>4.45468665</t>
  </si>
  <si>
    <t>4.45513493</t>
  </si>
  <si>
    <t>4.45558408</t>
  </si>
  <si>
    <t>4.45603404</t>
  </si>
  <si>
    <t>4.45648475</t>
  </si>
  <si>
    <t>4.45693618</t>
  </si>
  <si>
    <t>4.45738826</t>
  </si>
  <si>
    <t>4.45784094</t>
  </si>
  <si>
    <t>4.45829419</t>
  </si>
  <si>
    <t>4.45874793</t>
  </si>
  <si>
    <t>4.45920213</t>
  </si>
  <si>
    <t>4.45965673</t>
  </si>
  <si>
    <t>4.46011168</t>
  </si>
  <si>
    <t>4.46056692</t>
  </si>
  <si>
    <t>4.46102242</t>
  </si>
  <si>
    <t>4.46147811</t>
  </si>
  <si>
    <t>4.46193394</t>
  </si>
  <si>
    <t>4.46238987</t>
  </si>
  <si>
    <t>4.46284584</t>
  </si>
  <si>
    <t>4.46330181</t>
  </si>
  <si>
    <t>4.46375771</t>
  </si>
  <si>
    <t>4.4642135</t>
  </si>
  <si>
    <t>4.46466913</t>
  </si>
  <si>
    <t>4.46512455</t>
  </si>
  <si>
    <t>4.4655797</t>
  </si>
  <si>
    <t>4.46603454</t>
  </si>
  <si>
    <t>4.46648901</t>
  </si>
  <si>
    <t>4.46694306</t>
  </si>
  <si>
    <t>4.46739665</t>
  </si>
  <si>
    <t>4.46784971</t>
  </si>
  <si>
    <t>4.4683022</t>
  </si>
  <si>
    <t>4.46875468</t>
  </si>
  <si>
    <t>4.46920773</t>
  </si>
  <si>
    <t>4.46966133</t>
  </si>
  <si>
    <t>4.47011545</t>
  </si>
  <si>
    <t>4.47057006</t>
  </si>
  <si>
    <t>4.47102515</t>
  </si>
  <si>
    <t>4.47148069</t>
  </si>
  <si>
    <t>4.47193665</t>
  </si>
  <si>
    <t>4.47239301</t>
  </si>
  <si>
    <t>4.47284974</t>
  </si>
  <si>
    <t>4.47330682</t>
  </si>
  <si>
    <t>4.47376423</t>
  </si>
  <si>
    <t>4.47422194</t>
  </si>
  <si>
    <t>4.47467993</t>
  </si>
  <si>
    <t>4.47513817</t>
  </si>
  <si>
    <t>4.47559664</t>
  </si>
  <si>
    <t>4.47605531</t>
  </si>
  <si>
    <t>4.47651417</t>
  </si>
  <si>
    <t>4.47697317</t>
  </si>
  <si>
    <t>4.47743231</t>
  </si>
  <si>
    <t>4.47789155</t>
  </si>
  <si>
    <t>4.47835087</t>
  </si>
  <si>
    <t>4.47881026</t>
  </si>
  <si>
    <t>4.47926967</t>
  </si>
  <si>
    <t>4.47972909</t>
  </si>
  <si>
    <t>4.4801885</t>
  </si>
  <si>
    <t>4.48064786</t>
  </si>
  <si>
    <t>4.48110716</t>
  </si>
  <si>
    <t>4.48156637</t>
  </si>
  <si>
    <t>4.48202547</t>
  </si>
  <si>
    <t>4.48248442</t>
  </si>
  <si>
    <t>4.48294322</t>
  </si>
  <si>
    <t>4.48340182</t>
  </si>
  <si>
    <t>4.48386022</t>
  </si>
  <si>
    <t>4.48431838</t>
  </si>
  <si>
    <t>4.48477628</t>
  </si>
  <si>
    <t>4.48523392</t>
  </si>
  <si>
    <t>4.48569144</t>
  </si>
  <si>
    <t>4.48614889</t>
  </si>
  <si>
    <t>4.48660626</t>
  </si>
  <si>
    <t>4.48706355</t>
  </si>
  <si>
    <t>4.48752077</t>
  </si>
  <si>
    <t>4.48797793</t>
  </si>
  <si>
    <t>4.48843502</t>
  </si>
  <si>
    <t>4.48889205</t>
  </si>
  <si>
    <t>4.48934902</t>
  </si>
  <si>
    <t>4.48980594</t>
  </si>
  <si>
    <t>4.49026281</t>
  </si>
  <si>
    <t>4.49071963</t>
  </si>
  <si>
    <t>4.49117641</t>
  </si>
  <si>
    <t>4.49163315</t>
  </si>
  <si>
    <t>4.49208986</t>
  </si>
  <si>
    <t>4.49254653</t>
  </si>
  <si>
    <t>4.49300318</t>
  </si>
  <si>
    <t>4.4934598</t>
  </si>
  <si>
    <t>4.4939164</t>
  </si>
  <si>
    <t>4.49437298</t>
  </si>
  <si>
    <t>4.49482955</t>
  </si>
  <si>
    <t>4.49528611</t>
  </si>
  <si>
    <t>4.49574266</t>
  </si>
  <si>
    <t>4.49619921</t>
  </si>
  <si>
    <t>4.49665576</t>
  </si>
  <si>
    <t>4.49711232</t>
  </si>
  <si>
    <t>4.49756888</t>
  </si>
  <si>
    <t>4.49802545</t>
  </si>
  <si>
    <t>4.49848204</t>
  </si>
  <si>
    <t>4.49893865</t>
  </si>
  <si>
    <t>4.49939528</t>
  </si>
  <si>
    <t>4.49985193</t>
  </si>
  <si>
    <t>4.50030861</t>
  </si>
  <si>
    <t>4.50076533</t>
  </si>
  <si>
    <t>4.50122209</t>
  </si>
  <si>
    <t>4.50167888</t>
  </si>
  <si>
    <t>4.5021353</t>
  </si>
  <si>
    <t>4.50259095</t>
  </si>
  <si>
    <t>4.50304586</t>
  </si>
  <si>
    <t>4.50350007</t>
  </si>
  <si>
    <t>4.5039536</t>
  </si>
  <si>
    <t>4.5044065</t>
  </si>
  <si>
    <t>4.5048588</t>
  </si>
  <si>
    <t>4.50531052</t>
  </si>
  <si>
    <t>4.5057617</t>
  </si>
  <si>
    <t>4.50621237</t>
  </si>
  <si>
    <t>4.50666258</t>
  </si>
  <si>
    <t>4.50711234</t>
  </si>
  <si>
    <t>4.50756169</t>
  </si>
  <si>
    <t>4.50801068</t>
  </si>
  <si>
    <t>4.50845932</t>
  </si>
  <si>
    <t>4.50890765</t>
  </si>
  <si>
    <t>4.50935571</t>
  </si>
  <si>
    <t>4.50980352</t>
  </si>
  <si>
    <t>4.51025113</t>
  </si>
  <si>
    <t>4.51069856</t>
  </si>
  <si>
    <t>4.51114584</t>
  </si>
  <si>
    <t>4.51159302</t>
  </si>
  <si>
    <t>4.51204012</t>
  </si>
  <si>
    <t>4.51248718</t>
  </si>
  <si>
    <t>4.51293422</t>
  </si>
  <si>
    <t>4.51338129</t>
  </si>
  <si>
    <t>4.51382841</t>
  </si>
  <si>
    <t>4.51427562</t>
  </si>
  <si>
    <t>4.51472295</t>
  </si>
  <si>
    <t>4.51517043</t>
  </si>
  <si>
    <t>4.51561811</t>
  </si>
  <si>
    <t>4.516066</t>
  </si>
  <si>
    <t>4.51651414</t>
  </si>
  <si>
    <t>4.51696257</t>
  </si>
  <si>
    <t>4.51741132</t>
  </si>
  <si>
    <t>4.51786043</t>
  </si>
  <si>
    <t>4.51830967</t>
  </si>
  <si>
    <t>4.51875764</t>
  </si>
  <si>
    <t>4.51920414</t>
  </si>
  <si>
    <t>4.51964926</t>
  </si>
  <si>
    <t>4.52009304</t>
  </si>
  <si>
    <t>4.52053555</t>
  </si>
  <si>
    <t>4.52097687</t>
  </si>
  <si>
    <t>4.52141704</t>
  </si>
  <si>
    <t>4.52185614</t>
  </si>
  <si>
    <t>4.52229422</t>
  </si>
  <si>
    <t>4.52273136</t>
  </si>
  <si>
    <t>4.52316762</t>
  </si>
  <si>
    <t>4.52360305</t>
  </si>
  <si>
    <t>4.52403773</t>
  </si>
  <si>
    <t>4.52447172</t>
  </si>
  <si>
    <t>4.52490508</t>
  </si>
  <si>
    <t>4.52533788</t>
  </si>
  <si>
    <t>4.52577017</t>
  </si>
  <si>
    <t>4.52620203</t>
  </si>
  <si>
    <t>4.52663351</t>
  </si>
  <si>
    <t>4.52706469</t>
  </si>
  <si>
    <t>4.52749562</t>
  </si>
  <si>
    <t>4.52792638</t>
  </si>
  <si>
    <t>4.52835701</t>
  </si>
  <si>
    <t>4.52878759</t>
  </si>
  <si>
    <t>4.52921818</t>
  </si>
  <si>
    <t>4.52964885</t>
  </si>
  <si>
    <t>4.53007965</t>
  </si>
  <si>
    <t>4.53051066</t>
  </si>
  <si>
    <t>4.53094193</t>
  </si>
  <si>
    <t>4.53137353</t>
  </si>
  <si>
    <t>4.53180553</t>
  </si>
  <si>
    <t>4.53223799</t>
  </si>
  <si>
    <t>4.53267096</t>
  </si>
  <si>
    <t>4.53310452</t>
  </si>
  <si>
    <t>4.53353874</t>
  </si>
  <si>
    <t>4.53397366</t>
  </si>
  <si>
    <t>4.53440781</t>
  </si>
  <si>
    <t>4.53483971</t>
  </si>
  <si>
    <t>4.53526946</t>
  </si>
  <si>
    <t>4.53569716</t>
  </si>
  <si>
    <t>4.5361229</t>
  </si>
  <si>
    <t>4.53654678</t>
  </si>
  <si>
    <t>4.53696889</t>
  </si>
  <si>
    <t>4.53738934</t>
  </si>
  <si>
    <t>4.53780821</t>
  </si>
  <si>
    <t>4.53822561</t>
  </si>
  <si>
    <t>4.53864162</t>
  </si>
  <si>
    <t>4.53905636</t>
  </si>
  <si>
    <t>4.5394699</t>
  </si>
  <si>
    <t>4.53988236</t>
  </si>
  <si>
    <t>4.54029382</t>
  </si>
  <si>
    <t>4.54070438</t>
  </si>
  <si>
    <t>4.54111414</t>
  </si>
  <si>
    <t>4.54152319</t>
  </si>
  <si>
    <t>4.54193164</t>
  </si>
  <si>
    <t>4.54233957</t>
  </si>
  <si>
    <t>4.54274708</t>
  </si>
  <si>
    <t>4.54315427</t>
  </si>
  <si>
    <t>4.54356124</t>
  </si>
  <si>
    <t>4.54396808</t>
  </si>
  <si>
    <t>4.54437489</t>
  </si>
  <si>
    <t>4.54478176</t>
  </si>
  <si>
    <t>4.54518879</t>
  </si>
  <si>
    <t>4.54559608</t>
  </si>
  <si>
    <t>4.54600372</t>
  </si>
  <si>
    <t>4.54641181</t>
  </si>
  <si>
    <t>4.54682045</t>
  </si>
  <si>
    <t>4.54722973</t>
  </si>
  <si>
    <t>4.54763974</t>
  </si>
  <si>
    <t>4.54805059</t>
  </si>
  <si>
    <t>4.54846237</t>
  </si>
  <si>
    <t>4.54887518</t>
  </si>
  <si>
    <t>4.54928857</t>
  </si>
  <si>
    <t>4.5496994</t>
  </si>
  <si>
    <t>4.55010725</t>
  </si>
  <si>
    <t>4.55051227</t>
  </si>
  <si>
    <t>4.55091457</t>
  </si>
  <si>
    <t>4.55131428</t>
  </si>
  <si>
    <t>4.55171155</t>
  </si>
  <si>
    <t>4.55210649</t>
  </si>
  <si>
    <t>4.55249924</t>
  </si>
  <si>
    <t>4.55288993</t>
  </si>
  <si>
    <t>4.55327868</t>
  </si>
  <si>
    <t>4.55366564</t>
  </si>
  <si>
    <t>4.55405092</t>
  </si>
  <si>
    <t>4.55443466</t>
  </si>
  <si>
    <t>4.554817</t>
  </si>
  <si>
    <t>4.55519805</t>
  </si>
  <si>
    <t>4.55557795</t>
  </si>
  <si>
    <t>4.55595683</t>
  </si>
  <si>
    <t>4.55633482</t>
  </si>
  <si>
    <t>4.55671205</t>
  </si>
  <si>
    <t>4.55708866</t>
  </si>
  <si>
    <t>4.55746476</t>
  </si>
  <si>
    <t>4.55784049</t>
  </si>
  <si>
    <t>4.55821599</t>
  </si>
  <si>
    <t>4.55859138</t>
  </si>
  <si>
    <t>4.55896679</t>
  </si>
  <si>
    <t>4.55934235</t>
  </si>
  <si>
    <t>4.55971819</t>
  </si>
  <si>
    <t>4.56009445</t>
  </si>
  <si>
    <t>4.56047124</t>
  </si>
  <si>
    <t>4.56084871</t>
  </si>
  <si>
    <t>4.56122699</t>
  </si>
  <si>
    <t>4.56160619</t>
  </si>
  <si>
    <t>4.56198647</t>
  </si>
  <si>
    <t>4.56236793</t>
  </si>
  <si>
    <t>4.56275072</t>
  </si>
  <si>
    <t>4.56313496</t>
  </si>
  <si>
    <t>4.56351798</t>
  </si>
  <si>
    <t>4.56389714</t>
  </si>
  <si>
    <t>4.5642726</t>
  </si>
  <si>
    <t>4.56464451</t>
  </si>
  <si>
    <t>4.56501306</t>
  </si>
  <si>
    <t>4.56537841</t>
  </si>
  <si>
    <t>4.56574071</t>
  </si>
  <si>
    <t>4.56610015</t>
  </si>
  <si>
    <t>4.56645687</t>
  </si>
  <si>
    <t>4.56681106</t>
  </si>
  <si>
    <t>4.56716287</t>
  </si>
  <si>
    <t>4.56751246</t>
  </si>
  <si>
    <t>4.56786002</t>
  </si>
  <si>
    <t>4.5682057</t>
  </si>
  <si>
    <t>4.56854966</t>
  </si>
  <si>
    <t>4.56889208</t>
  </si>
  <si>
    <t>4.56923311</t>
  </si>
  <si>
    <t>4.56957293</t>
  </si>
  <si>
    <t>4.5699117</t>
  </si>
  <si>
    <t>4.57024959</t>
  </si>
  <si>
    <t>4.57058675</t>
  </si>
  <si>
    <t>4.57092337</t>
  </si>
  <si>
    <t>4.5712596</t>
  </si>
  <si>
    <t>4.57159561</t>
  </si>
  <si>
    <t>4.57193156</t>
  </si>
  <si>
    <t>4.57226762</t>
  </si>
  <si>
    <t>4.57260396</t>
  </si>
  <si>
    <t>4.57294074</t>
  </si>
  <si>
    <t>4.57327813</t>
  </si>
  <si>
    <t>4.57361629</t>
  </si>
  <si>
    <t>4.5739554</t>
  </si>
  <si>
    <t>4.5742956</t>
  </si>
  <si>
    <t>4.57463708</t>
  </si>
  <si>
    <t>4.57497999</t>
  </si>
  <si>
    <t>4.57532451</t>
  </si>
  <si>
    <t>4.57567079</t>
  </si>
  <si>
    <t>4.57601814</t>
  </si>
  <si>
    <t>4.57636153</t>
  </si>
  <si>
    <t>4.57670028</t>
  </si>
  <si>
    <t>4.57703461</t>
  </si>
  <si>
    <t>4.57736471</t>
  </si>
  <si>
    <t>4.57769079</t>
  </si>
  <si>
    <t>4.57801305</t>
  </si>
  <si>
    <t>4.57833169</t>
  </si>
  <si>
    <t>4.57864692</t>
  </si>
  <si>
    <t>4.57895894</t>
  </si>
  <si>
    <t>4.57926794</t>
  </si>
  <si>
    <t>4.57957415</t>
  </si>
  <si>
    <t>4.57987775</t>
  </si>
  <si>
    <t>4.58017895</t>
  </si>
  <si>
    <t>4.58047795</t>
  </si>
  <si>
    <t>4.58077496</t>
  </si>
  <si>
    <t>4.58107018</t>
  </si>
  <si>
    <t>4.58136381</t>
  </si>
  <si>
    <t>4.58165605</t>
  </si>
  <si>
    <t>4.58194711</t>
  </si>
  <si>
    <t>4.58223719</t>
  </si>
  <si>
    <t>4.58252649</t>
  </si>
  <si>
    <t>4.58281522</t>
  </si>
  <si>
    <t>4.58310357</t>
  </si>
  <si>
    <t>4.58339176</t>
  </si>
  <si>
    <t>4.58367998</t>
  </si>
  <si>
    <t>4.58396844</t>
  </si>
  <si>
    <t>4.58425733</t>
  </si>
  <si>
    <t>4.58454687</t>
  </si>
  <si>
    <t>4.58483726</t>
  </si>
  <si>
    <t>4.58512869</t>
  </si>
  <si>
    <t>4.58542137</t>
  </si>
  <si>
    <t>4.58571551</t>
  </si>
  <si>
    <t>4.5860113</t>
  </si>
  <si>
    <t>4.58630895</t>
  </si>
  <si>
    <t>4.58660866</t>
  </si>
  <si>
    <t>4.58691064</t>
  </si>
  <si>
    <t>4.58721143</t>
  </si>
  <si>
    <t>4.58750758</t>
  </si>
  <si>
    <t>4.58779928</t>
  </si>
  <si>
    <t>4.58808673</t>
  </si>
  <si>
    <t>4.58837014</t>
  </si>
  <si>
    <t>4.5886497</t>
  </si>
  <si>
    <t>4.58892562</t>
  </si>
  <si>
    <t>4.58919808</t>
  </si>
  <si>
    <t>4.5894673</t>
  </si>
  <si>
    <t>4.58973346</t>
  </si>
  <si>
    <t>4.58999677</t>
  </si>
  <si>
    <t>4.59025742</t>
  </si>
  <si>
    <t>4.59051562</t>
  </si>
  <si>
    <t>4.59077157</t>
  </si>
  <si>
    <t>4.59102546</t>
  </si>
  <si>
    <t>4.59127749</t>
  </si>
  <si>
    <t>4.59152787</t>
  </si>
  <si>
    <t>4.59177678</t>
  </si>
  <si>
    <t>4.59202444</t>
  </si>
  <si>
    <t>4.59227103</t>
  </si>
  <si>
    <t>4.59251676</t>
  </si>
  <si>
    <t>4.59276182</t>
  </si>
  <si>
    <t>4.59300643</t>
  </si>
  <si>
    <t>4.59325076</t>
  </si>
  <si>
    <t>4.59349504</t>
  </si>
  <si>
    <t>4.59373944</t>
  </si>
  <si>
    <t>4.59398417</t>
  </si>
  <si>
    <t>4.59422944</t>
  </si>
  <si>
    <t>4.59447544</t>
  </si>
  <si>
    <t>4.59472236</t>
  </si>
  <si>
    <t>4.59497041</t>
  </si>
  <si>
    <t>4.59521979</t>
  </si>
  <si>
    <t>4.5954707</t>
  </si>
  <si>
    <t>4.59572332</t>
  </si>
  <si>
    <t>4.59597788</t>
  </si>
  <si>
    <t>4.59623455</t>
  </si>
  <si>
    <t>4.59649275</t>
  </si>
  <si>
    <t>4.59674785</t>
  </si>
  <si>
    <t>4.59699922</t>
  </si>
  <si>
    <t>4.59724702</t>
  </si>
  <si>
    <t>4.59749141</t>
  </si>
  <si>
    <t>4.59773257</t>
  </si>
  <si>
    <t>4.59797064</t>
  </si>
  <si>
    <t>4.5982058</t>
  </si>
  <si>
    <t>4.59843821</t>
  </si>
  <si>
    <t>4.59866803</t>
  </si>
  <si>
    <t>4.59889542</t>
  </si>
  <si>
    <t>4.59912056</t>
  </si>
  <si>
    <t>4.59934359</t>
  </si>
  <si>
    <t>4.59956469</t>
  </si>
  <si>
    <t>4.59978403</t>
  </si>
  <si>
    <t>4.60000175</t>
  </si>
  <si>
    <t>4.60021803</t>
  </si>
  <si>
    <t>4.60043303</t>
  </si>
  <si>
    <t>4.60064691</t>
  </si>
  <si>
    <t>4.60085984</t>
  </si>
  <si>
    <t>4.60107198</t>
  </si>
  <si>
    <t>4.6012835</t>
  </si>
  <si>
    <t>4.60149455</t>
  </si>
  <si>
    <t>4.6017053</t>
  </si>
  <si>
    <t>4.60191591</t>
  </si>
  <si>
    <t>4.60212655</t>
  </si>
  <si>
    <t>4.60233738</t>
  </si>
  <si>
    <t>4.60254857</t>
  </si>
  <si>
    <t>4.60276027</t>
  </si>
  <si>
    <t>4.60297266</t>
  </si>
  <si>
    <t>4.60318589</t>
  </si>
  <si>
    <t>4.60340012</t>
  </si>
  <si>
    <t>4.60361553</t>
  </si>
  <si>
    <t>4.60383228</t>
  </si>
  <si>
    <t>4.60405052</t>
  </si>
  <si>
    <t>4.60427042</t>
  </si>
  <si>
    <t>4.60449215</t>
  </si>
  <si>
    <t>4.604713</t>
  </si>
  <si>
    <t>4.60493025</t>
  </si>
  <si>
    <t>4.60514407</t>
  </si>
  <si>
    <t>4.6053546</t>
  </si>
  <si>
    <t>4.60556201</t>
  </si>
  <si>
    <t>4.60576643</t>
  </si>
  <si>
    <t>4.60596803</t>
  </si>
  <si>
    <t>4.60616697</t>
  </si>
  <si>
    <t>4.60636339</t>
  </si>
  <si>
    <t>4.60655745</t>
  </si>
  <si>
    <t>4.6067493</t>
  </si>
  <si>
    <t>4.6069391</t>
  </si>
  <si>
    <t>4.607127</t>
  </si>
  <si>
    <t>4.60731315</t>
  </si>
  <si>
    <t>4.60749772</t>
  </si>
  <si>
    <t>4.60768084</t>
  </si>
  <si>
    <t>4.60786269</t>
  </si>
  <si>
    <t>4.6080434</t>
  </si>
  <si>
    <t>4.60822314</t>
  </si>
  <si>
    <t>4.60840206</t>
  </si>
  <si>
    <t>4.60858031</t>
  </si>
  <si>
    <t>4.60875805</t>
  </si>
  <si>
    <t>4.60893543</t>
  </si>
  <si>
    <t>4.6091126</t>
  </si>
  <si>
    <t>4.60928972</t>
  </si>
  <si>
    <t>4.60946695</t>
  </si>
  <si>
    <t>4.60964443</t>
  </si>
  <si>
    <t>4.60982232</t>
  </si>
  <si>
    <t>4.61000078</t>
  </si>
  <si>
    <t>4.61017995</t>
  </si>
  <si>
    <t>4.61036</t>
  </si>
  <si>
    <t>4.61054108</t>
  </si>
  <si>
    <t>4.61072333</t>
  </si>
  <si>
    <t>4.61090692</t>
  </si>
  <si>
    <t>4.611092</t>
  </si>
  <si>
    <t>4.61127872</t>
  </si>
  <si>
    <t>4.61146656</t>
  </si>
  <si>
    <t>4.61165165</t>
  </si>
  <si>
    <t>4.61183344</t>
  </si>
  <si>
    <t>4.6120121</t>
  </si>
  <si>
    <t>4.61218776</t>
  </si>
  <si>
    <t>4.61236056</t>
  </si>
  <si>
    <t>4.61253066</t>
  </si>
  <si>
    <t>4.61269819</t>
  </si>
  <si>
    <t>4.61286329</t>
  </si>
  <si>
    <t>4.61302612</t>
  </si>
  <si>
    <t>4.61318681</t>
  </si>
  <si>
    <t>4.61334551</t>
  </si>
  <si>
    <t>4.61350236</t>
  </si>
  <si>
    <t>4.61365751</t>
  </si>
  <si>
    <t>4.6138111</t>
  </si>
  <si>
    <t>4.61396328</t>
  </si>
  <si>
    <t>4.61411418</t>
  </si>
  <si>
    <t>4.61426396</t>
  </si>
  <si>
    <t>4.61441276</t>
  </si>
  <si>
    <t>4.61456071</t>
  </si>
  <si>
    <t>4.61470797</t>
  </si>
  <si>
    <t>4.61485468</t>
  </si>
  <si>
    <t>4.61500098</t>
  </si>
  <si>
    <t>4.61514701</t>
  </si>
  <si>
    <t>4.61529293</t>
  </si>
  <si>
    <t>4.61543887</t>
  </si>
  <si>
    <t>4.61558498</t>
  </si>
  <si>
    <t>4.6157314</t>
  </si>
  <si>
    <t>4.61587827</t>
  </si>
  <si>
    <t>4.61602575</t>
  </si>
  <si>
    <t>4.61617396</t>
  </si>
  <si>
    <t>4.61632307</t>
  </si>
  <si>
    <t>4.61647321</t>
  </si>
  <si>
    <t>4.61662452</t>
  </si>
  <si>
    <t>4.61677715</t>
  </si>
  <si>
    <t>4.61693125</t>
  </si>
  <si>
    <t>4.61708695</t>
  </si>
  <si>
    <t>4.6172419</t>
  </si>
  <si>
    <t>4.61739375</t>
  </si>
  <si>
    <t>4.61754261</t>
  </si>
  <si>
    <t>4.61768864</t>
  </si>
  <si>
    <t>4.61783195</t>
  </si>
  <si>
    <t>4.61797268</t>
  </si>
  <si>
    <t>4.61811097</t>
  </si>
  <si>
    <t>4.61824695</t>
  </si>
  <si>
    <t>4.61838075</t>
  </si>
  <si>
    <t>4.61851251</t>
  </si>
  <si>
    <t>4.61864236</t>
  </si>
  <si>
    <t>4.61877043</t>
  </si>
  <si>
    <t>4.61889685</t>
  </si>
  <si>
    <t>4.61902177</t>
  </si>
  <si>
    <t>4.61914531</t>
  </si>
  <si>
    <t>4.6192676</t>
  </si>
  <si>
    <t>4.61938878</t>
  </si>
  <si>
    <t>4.61950899</t>
  </si>
  <si>
    <t>4.61962835</t>
  </si>
  <si>
    <t>4.619747</t>
  </si>
  <si>
    <t>4.61986507</t>
  </si>
  <si>
    <t>4.6199827</t>
  </si>
  <si>
    <t>4.62010001</t>
  </si>
  <si>
    <t>4.62021715</t>
  </si>
  <si>
    <t>4.62033424</t>
  </si>
  <si>
    <t>4.62045143</t>
  </si>
  <si>
    <t>4.62056883</t>
  </si>
  <si>
    <t>4.62068659</t>
  </si>
  <si>
    <t>4.62080484</t>
  </si>
  <si>
    <t>4.62092371</t>
  </si>
  <si>
    <t>4.62104334</t>
  </si>
  <si>
    <t>4.62116386</t>
  </si>
  <si>
    <t>4.62128539</t>
  </si>
  <si>
    <t>4.62140809</t>
  </si>
  <si>
    <t>4.62153207</t>
  </si>
  <si>
    <t>4.62165747</t>
  </si>
  <si>
    <t>4.62178386</t>
  </si>
  <si>
    <t>4.62190791</t>
  </si>
  <si>
    <t>4.62202916</t>
  </si>
  <si>
    <t>4.62214776</t>
  </si>
  <si>
    <t>4.6222638</t>
  </si>
  <si>
    <t>4.62237743</t>
  </si>
  <si>
    <t>4.62248875</t>
  </si>
  <si>
    <t>4.6225979</t>
  </si>
  <si>
    <t>4.62270499</t>
  </si>
  <si>
    <t>4.62281014</t>
  </si>
  <si>
    <t>4.62291348</t>
  </si>
  <si>
    <t>4.62301514</t>
  </si>
  <si>
    <t>4.62311523</t>
  </si>
  <si>
    <t>4.62321387</t>
  </si>
  <si>
    <t>4.62331118</t>
  </si>
  <si>
    <t>4.6234073</t>
  </si>
  <si>
    <t>4.62350234</t>
  </si>
  <si>
    <t>4.62359642</t>
  </si>
  <si>
    <t>4.62368967</t>
  </si>
  <si>
    <t>4.6237822</t>
  </si>
  <si>
    <t>4.62387414</t>
  </si>
  <si>
    <t>4.62396562</t>
  </si>
  <si>
    <t>4.62405675</t>
  </si>
  <si>
    <t>4.62414765</t>
  </si>
  <si>
    <t>4.62423846</t>
  </si>
  <si>
    <t>4.62432928</t>
  </si>
  <si>
    <t>4.62442025</t>
  </si>
  <si>
    <t>4.62451148</t>
  </si>
  <si>
    <t>4.6246031</t>
  </si>
  <si>
    <t>4.62469522</t>
  </si>
  <si>
    <t>4.62478798</t>
  </si>
  <si>
    <t>4.62488149</t>
  </si>
  <si>
    <t>4.62497588</t>
  </si>
  <si>
    <t>4.62507126</t>
  </si>
  <si>
    <t>4.62516777</t>
  </si>
  <si>
    <t>4.62526551</t>
  </si>
  <si>
    <t>4.62536462</t>
  </si>
  <si>
    <t>4.62546313</t>
  </si>
  <si>
    <t>4.62555906</t>
  </si>
  <si>
    <t>4.62565252</t>
  </si>
  <si>
    <t>4.62574363</t>
  </si>
  <si>
    <t>4.62583249</t>
  </si>
  <si>
    <t>4.62591922</t>
  </si>
  <si>
    <t>4.62600392</t>
  </si>
  <si>
    <t>4.62608671</t>
  </si>
  <si>
    <t>4.6261677</t>
  </si>
  <si>
    <t>4.62624699</t>
  </si>
  <si>
    <t>4.6263247</t>
  </si>
  <si>
    <t>4.62640094</t>
  </si>
  <si>
    <t>4.62647582</t>
  </si>
  <si>
    <t>4.62654944</t>
  </si>
  <si>
    <t>4.62662192</t>
  </si>
  <si>
    <t>4.62669337</t>
  </si>
  <si>
    <t>4.62676391</t>
  </si>
  <si>
    <t>4.62683363</t>
  </si>
  <si>
    <t>4.62690265</t>
  </si>
  <si>
    <t>4.62697109</t>
  </si>
  <si>
    <t>4.62703904</t>
  </si>
  <si>
    <t>4.62710663</t>
  </si>
  <si>
    <t>4.62717396</t>
  </si>
  <si>
    <t>4.62724114</t>
  </si>
  <si>
    <t>4.62730829</t>
  </si>
  <si>
    <t>4.62737551</t>
  </si>
  <si>
    <t>4.62744291</t>
  </si>
  <si>
    <t>4.62751061</t>
  </si>
  <si>
    <t>4.62757871</t>
  </si>
  <si>
    <t>4.62764733</t>
  </si>
  <si>
    <t>4.62771657</t>
  </si>
  <si>
    <t>4.62778655</t>
  </si>
  <si>
    <t>4.62785738</t>
  </si>
  <si>
    <t>4.62792916</t>
  </si>
  <si>
    <t>4.62800201</t>
  </si>
  <si>
    <t>4.62807604</t>
  </si>
  <si>
    <t>4.62815089</t>
  </si>
  <si>
    <t>4.62822387</t>
  </si>
  <si>
    <t>4.6282946</t>
  </si>
  <si>
    <t>4.62836319</t>
  </si>
  <si>
    <t>4.62842974</t>
  </si>
  <si>
    <t>4.62849434</t>
  </si>
  <si>
    <t>4.62855709</t>
  </si>
  <si>
    <t>4.6286181</t>
  </si>
  <si>
    <t>4.62867744</t>
  </si>
  <si>
    <t>4.62873524</t>
  </si>
  <si>
    <t>4.62879158</t>
  </si>
  <si>
    <t>4.62884656</t>
  </si>
  <si>
    <t>4.62890028</t>
  </si>
  <si>
    <t>4.62895284</t>
  </si>
  <si>
    <t>4.62900433</t>
  </si>
  <si>
    <t>4.62905487</t>
  </si>
  <si>
    <t>4.62910453</t>
  </si>
  <si>
    <t>4.62915342</t>
  </si>
  <si>
    <t>4.62920165</t>
  </si>
  <si>
    <t>4.6292493</t>
  </si>
  <si>
    <t>4.62929648</t>
  </si>
  <si>
    <t>4.62934328</t>
  </si>
  <si>
    <t>4.6293898</t>
  </si>
  <si>
    <t>4.62943614</t>
  </si>
  <si>
    <t>4.6294824</t>
  </si>
  <si>
    <t>4.62952868</t>
  </si>
  <si>
    <t>4.62957507</t>
  </si>
  <si>
    <t>4.62962167</t>
  </si>
  <si>
    <t>4.62966859</t>
  </si>
  <si>
    <t>4.62971591</t>
  </si>
  <si>
    <t>4.62976374</t>
  </si>
  <si>
    <t>4.62981218</t>
  </si>
  <si>
    <t>4.62986132</t>
  </si>
  <si>
    <t>4.62991126</t>
  </si>
  <si>
    <t>4.6299621</t>
  </si>
  <si>
    <t>4.63001394</t>
  </si>
  <si>
    <t>4.63006688</t>
  </si>
  <si>
    <t>4.63011937</t>
  </si>
  <si>
    <t>4.63016987</t>
  </si>
  <si>
    <t>4.63021847</t>
  </si>
  <si>
    <t>4.63026524</t>
  </si>
  <si>
    <t>4.63031028</t>
  </si>
  <si>
    <t>4.63035367</t>
  </si>
  <si>
    <t>4.63039549</t>
  </si>
  <si>
    <t>4.63043584</t>
  </si>
  <si>
    <t>4.63047479</t>
  </si>
  <si>
    <t>4.63051243</t>
  </si>
  <si>
    <t>4.63054885</t>
  </si>
  <si>
    <t>4.63058413</t>
  </si>
  <si>
    <t>4.63061835</t>
  </si>
  <si>
    <t>4.63065161</t>
  </si>
  <si>
    <t>4.63068399</t>
  </si>
  <si>
    <t>4.63071557</t>
  </si>
  <si>
    <t>4.63074644</t>
  </si>
  <si>
    <t>4.63077669</t>
  </si>
  <si>
    <t>4.63080639</t>
  </si>
  <si>
    <t>4.63083564</t>
  </si>
  <si>
    <t>4.63086452</t>
  </si>
  <si>
    <t>4.63089311</t>
  </si>
  <si>
    <t>4.63092151</t>
  </si>
  <si>
    <t>4.63094979</t>
  </si>
  <si>
    <t>4.63097804</t>
  </si>
  <si>
    <t>4.63100635</t>
  </si>
  <si>
    <t>4.6310348</t>
  </si>
  <si>
    <t>4.63106348</t>
  </si>
  <si>
    <t>4.63109247</t>
  </si>
  <si>
    <t>4.63112187</t>
  </si>
  <si>
    <t>4.63115174</t>
  </si>
  <si>
    <t>4.63118218</t>
  </si>
  <si>
    <t>4.63121328</t>
  </si>
  <si>
    <t>4.63124512</t>
  </si>
  <si>
    <t>4.63127778</t>
  </si>
  <si>
    <t>4.63131136</t>
  </si>
  <si>
    <t>4.63134559</t>
  </si>
  <si>
    <t>4.63137856</t>
  </si>
  <si>
    <t>4.63141</t>
  </si>
  <si>
    <t>4.63143997</t>
  </si>
  <si>
    <t>4.63146852</t>
  </si>
  <si>
    <t>4.63149573</t>
  </si>
  <si>
    <t>4.63152165</t>
  </si>
  <si>
    <t>4.63154635</t>
  </si>
  <si>
    <t>4.63156988</t>
  </si>
  <si>
    <t>4.63159231</t>
  </si>
  <si>
    <t>4.63161369</t>
  </si>
  <si>
    <t>4.6316341</t>
  </si>
  <si>
    <t>4.6316536</t>
  </si>
  <si>
    <t>4.63167223</t>
  </si>
  <si>
    <t>4.63169008</t>
  </si>
  <si>
    <t>4.63170719</t>
  </si>
  <si>
    <t>4.63172363</t>
  </si>
  <si>
    <t>4.63173946</t>
  </si>
  <si>
    <t>4.63175475</t>
  </si>
  <si>
    <t>4.63176955</t>
  </si>
  <si>
    <t>4.63178392</t>
  </si>
  <si>
    <t>4.63179794</t>
  </si>
  <si>
    <t>4.63181165</t>
  </si>
  <si>
    <t>4.63182513</t>
  </si>
  <si>
    <t>4.63183842</t>
  </si>
  <si>
    <t>4.63185161</t>
  </si>
  <si>
    <t>4.63186474</t>
  </si>
  <si>
    <t>4.63187787</t>
  </si>
  <si>
    <t>4.63189108</t>
  </si>
  <si>
    <t>4.63190442</t>
  </si>
  <si>
    <t>4.63191795</t>
  </si>
  <si>
    <t>4.63193173</t>
  </si>
  <si>
    <t>4.63194584</t>
  </si>
  <si>
    <t>4.63196032</t>
  </si>
  <si>
    <t>4.63197523</t>
  </si>
  <si>
    <t>4.63199066</t>
  </si>
  <si>
    <t>4.63200664</t>
  </si>
  <si>
    <t>4.6320225</t>
  </si>
  <si>
    <t>4.63203754</t>
  </si>
  <si>
    <t>4.63205177</t>
  </si>
  <si>
    <t>4.63206521</t>
  </si>
  <si>
    <t>4.63207789</t>
  </si>
  <si>
    <t>4.63208983</t>
  </si>
  <si>
    <t>4.63210105</t>
  </si>
  <si>
    <t>4.63211157</t>
  </si>
  <si>
    <t>4.63212142</t>
  </si>
  <si>
    <t>4.63213062</t>
  </si>
  <si>
    <t>4.63213919</t>
  </si>
  <si>
    <t>4.63214715</t>
  </si>
  <si>
    <t>4.63215453</t>
  </si>
  <si>
    <t>4.63216134</t>
  </si>
  <si>
    <t>4.63216762</t>
  </si>
  <si>
    <t>4.63217337</t>
  </si>
  <si>
    <t>4.63217863</t>
  </si>
  <si>
    <t>4.63218342</t>
  </si>
  <si>
    <t>4.63218775</t>
  </si>
  <si>
    <t>4.63219165</t>
  </si>
  <si>
    <t>4.63219515</t>
  </si>
  <si>
    <t>4.63219826</t>
  </si>
  <si>
    <t>4.63220101</t>
  </si>
  <si>
    <t>4.63220342</t>
  </si>
  <si>
    <t>4.63220551</t>
  </si>
  <si>
    <t>4.6322073</t>
  </si>
  <si>
    <t>4.63220882</t>
  </si>
  <si>
    <t>4.63221008</t>
  </si>
  <si>
    <t>4.63221112</t>
  </si>
  <si>
    <t>4.63221195</t>
  </si>
  <si>
    <t>4.6322126</t>
  </si>
  <si>
    <t>4.63221308</t>
  </si>
  <si>
    <t>4.63221342</t>
  </si>
  <si>
    <t>4.63221364</t>
  </si>
  <si>
    <t>4.63221377</t>
  </si>
  <si>
    <t>4.63221382</t>
  </si>
  <si>
    <t>4.63221378</t>
  </si>
  <si>
    <t>4.63221334</t>
  </si>
  <si>
    <t>4.6322125</t>
  </si>
  <si>
    <t>4.63221126</t>
  </si>
  <si>
    <t>4.63220964</t>
  </si>
  <si>
    <t>4.63220767</t>
  </si>
  <si>
    <t>4.63220535</t>
  </si>
  <si>
    <t>4.63220271</t>
  </si>
  <si>
    <t>4.63219976</t>
  </si>
  <si>
    <t>4.63219653</t>
  </si>
  <si>
    <t>4.63219303</t>
  </si>
  <si>
    <t>4.63218927</t>
  </si>
  <si>
    <t>4.63218529</t>
  </si>
  <si>
    <t>4.63218109</t>
  </si>
  <si>
    <t>4.6321767</t>
  </si>
  <si>
    <t>4.63217212</t>
  </si>
  <si>
    <t>4.63216739</t>
  </si>
  <si>
    <t>4.63216251</t>
  </si>
  <si>
    <t>4.63215752</t>
  </si>
  <si>
    <t>4.63215241</t>
  </si>
  <si>
    <t>4.63214722</t>
  </si>
  <si>
    <t>4.63214196</t>
  </si>
  <si>
    <t>4.63213664</t>
  </si>
  <si>
    <t>4.6321313</t>
  </si>
  <si>
    <t>4.63212594</t>
  </si>
  <si>
    <t>4.63212058</t>
  </si>
  <si>
    <t>4.63211524</t>
  </si>
  <si>
    <t>4.63210994</t>
  </si>
  <si>
    <t>4.6321047</t>
  </si>
  <si>
    <t>4.63209954</t>
  </si>
  <si>
    <t>4.63209447</t>
  </si>
  <si>
    <t>4.63208951</t>
  </si>
  <si>
    <t>4.63208468</t>
  </si>
  <si>
    <t>4.63208</t>
  </si>
  <si>
    <t>4.63207548</t>
  </si>
  <si>
    <t>4.63207115</t>
  </si>
  <si>
    <t>4.63206702</t>
  </si>
  <si>
    <t>4.63206265</t>
  </si>
  <si>
    <t>4.63205762</t>
  </si>
  <si>
    <t>4.63205194</t>
  </si>
  <si>
    <t>4.63204565</t>
  </si>
  <si>
    <t>4.63203878</t>
  </si>
  <si>
    <t>4.63203135</t>
  </si>
  <si>
    <t>4.63202339</t>
  </si>
  <si>
    <t>4.63201494</t>
  </si>
  <si>
    <t>4.63200602</t>
  </si>
  <si>
    <t>4.63199665</t>
  </si>
  <si>
    <t>4.63198688</t>
  </si>
  <si>
    <t>4.63197672</t>
  </si>
  <si>
    <t>4.63196621</t>
  </si>
  <si>
    <t>4.63195538</t>
  </si>
  <si>
    <t>4.63194425</t>
  </si>
  <si>
    <t>4.63193285</t>
  </si>
  <si>
    <t>4.63192121</t>
  </si>
  <si>
    <t>4.63190936</t>
  </si>
  <si>
    <t>4.63189732</t>
  </si>
  <si>
    <t>4.63188514</t>
  </si>
  <si>
    <t>4.63187283</t>
  </si>
  <si>
    <t>4.63186042</t>
  </si>
  <si>
    <t>4.63184795</t>
  </si>
  <si>
    <t>4.63183544</t>
  </si>
  <si>
    <t>4.63182292</t>
  </si>
  <si>
    <t>4.63181042</t>
  </si>
  <si>
    <t>4.63179797</t>
  </si>
  <si>
    <t>4.63178559</t>
  </si>
  <si>
    <t>4.63177332</t>
  </si>
  <si>
    <t>4.63176118</t>
  </si>
  <si>
    <t>4.63174921</t>
  </si>
  <si>
    <t>4.63173743</t>
  </si>
  <si>
    <t>4.63172586</t>
  </si>
  <si>
    <t>4.63171455</t>
  </si>
  <si>
    <t>4.63170351</t>
  </si>
  <si>
    <t>4.63169278</t>
  </si>
  <si>
    <t>4.6316823</t>
  </si>
  <si>
    <t>4.63167159</t>
  </si>
  <si>
    <t>4.63166058</t>
  </si>
  <si>
    <t>4.63164928</t>
  </si>
  <si>
    <t>4.63163771</t>
  </si>
  <si>
    <t>4.63162587</t>
  </si>
  <si>
    <t>4.63161378</t>
  </si>
  <si>
    <t>4.63160147</t>
  </si>
  <si>
    <t>4.63158892</t>
  </si>
  <si>
    <t>4.63157617</t>
  </si>
  <si>
    <t>4.63156323</t>
  </si>
  <si>
    <t>4.6315501</t>
  </si>
  <si>
    <t>4.6315368</t>
  </si>
  <si>
    <t>4.63152335</t>
  </si>
  <si>
    <t>4.63150975</t>
  </si>
  <si>
    <t>4.63149602</t>
  </si>
  <si>
    <t>4.63148218</t>
  </si>
  <si>
    <t>4.63146823</t>
  </si>
  <si>
    <t>4.6314542</t>
  </si>
  <si>
    <t>4.63144008</t>
  </si>
  <si>
    <t>4.63142591</t>
  </si>
  <si>
    <t>4.63141168</t>
  </si>
  <si>
    <t>4.63139741</t>
  </si>
  <si>
    <t>4.63138312</t>
  </si>
  <si>
    <t>4.63136882</t>
  </si>
  <si>
    <t>4.63135452</t>
  </si>
  <si>
    <t>4.63134024</t>
  </si>
  <si>
    <t>4.63132599</t>
  </si>
  <si>
    <t>4.63131177</t>
  </si>
  <si>
    <t>4.63129762</t>
  </si>
  <si>
    <t>4.63128353</t>
  </si>
  <si>
    <t>4.63126952</t>
  </si>
  <si>
    <t>4.63125561</t>
  </si>
  <si>
    <t>4.6312418</t>
  </si>
  <si>
    <t>4.63122811</t>
  </si>
  <si>
    <t>4.63121456</t>
  </si>
  <si>
    <t>4.63120116</t>
  </si>
  <si>
    <t>4.63118787</t>
  </si>
  <si>
    <t>4.63117465</t>
  </si>
  <si>
    <t>4.63116149</t>
  </si>
  <si>
    <t>4.63114839</t>
  </si>
  <si>
    <t>4.63113535</t>
  </si>
  <si>
    <t>4.63112237</t>
  </si>
  <si>
    <t>4.63110944</t>
  </si>
  <si>
    <t>4.63109656</t>
  </si>
  <si>
    <t>4.63108373</t>
  </si>
  <si>
    <t>4.63107094</t>
  </si>
  <si>
    <t>4.63105819</t>
  </si>
  <si>
    <t>4.63104548</t>
  </si>
  <si>
    <t>4.63103281</t>
  </si>
  <si>
    <t>4.63102017</t>
  </si>
  <si>
    <t>4.63100756</t>
  </si>
  <si>
    <t>4.63099498</t>
  </si>
  <si>
    <t>4.63098242</t>
  </si>
  <si>
    <t>4.63096988</t>
  </si>
  <si>
    <t>4.63095736</t>
  </si>
  <si>
    <t>4.63094486</t>
  </si>
  <si>
    <t>4.63093236</t>
  </si>
  <si>
    <t>4.63091988</t>
  </si>
  <si>
    <t>4.63090741</t>
  </si>
  <si>
    <t>4.63089493</t>
  </si>
  <si>
    <t>4.63088246</t>
  </si>
  <si>
    <t>4.63086999</t>
  </si>
  <si>
    <t>4.63085751</t>
  </si>
  <si>
    <t>4.63084503</t>
  </si>
  <si>
    <t>4.63083253</t>
  </si>
  <si>
    <t>4.63082003</t>
  </si>
  <si>
    <t>4.6308075</t>
  </si>
  <si>
    <t>4.63079496</t>
  </si>
  <si>
    <t>4.63078239</t>
  </si>
  <si>
    <t>4.6307698</t>
  </si>
  <si>
    <t>4.63075718</t>
  </si>
  <si>
    <t>4.63074453</t>
  </si>
  <si>
    <t>4.63073185</t>
  </si>
  <si>
    <t>4.63071922</t>
  </si>
  <si>
    <t>4.63070666</t>
  </si>
  <si>
    <t>4.63069419</t>
  </si>
  <si>
    <t>4.63068182</t>
  </si>
  <si>
    <t>4.63066956</t>
  </si>
  <si>
    <t>4.63065744</t>
  </si>
  <si>
    <t>4.63064546</t>
  </si>
  <si>
    <t>4.63063365</t>
  </si>
  <si>
    <t>4.63062202</t>
  </si>
  <si>
    <t>4.63061059</t>
  </si>
  <si>
    <t>4.63059936</t>
  </si>
  <si>
    <t>4.63058837</t>
  </si>
  <si>
    <t>4.63057762</t>
  </si>
  <si>
    <t>4.63056712</t>
  </si>
  <si>
    <t>4.6305569</t>
  </si>
  <si>
    <t>4.63054697</t>
  </si>
  <si>
    <t>4.63053735</t>
  </si>
  <si>
    <t>4.63052805</t>
  </si>
  <si>
    <t>4.63051909</t>
  </si>
  <si>
    <t>4.63051048</t>
  </si>
  <si>
    <t>4.63050224</t>
  </si>
  <si>
    <t>4.63049439</t>
  </si>
  <si>
    <t>4.63048693</t>
  </si>
  <si>
    <t>4.63047989</t>
  </si>
  <si>
    <t>4.63047329</t>
  </si>
  <si>
    <t>4.63046713</t>
  </si>
  <si>
    <t>4.63046144</t>
  </si>
  <si>
    <t>4.63045623</t>
  </si>
  <si>
    <t>4.63045151</t>
  </si>
  <si>
    <t>4.6304473</t>
  </si>
  <si>
    <t>4.63044362</t>
  </si>
  <si>
    <t>4.63044048</t>
  </si>
  <si>
    <t>4.63043791</t>
  </si>
  <si>
    <t>4.6304359</t>
  </si>
  <si>
    <t>4.63043449</t>
  </si>
  <si>
    <t>4.63043368</t>
  </si>
  <si>
    <t>4.63043319</t>
  </si>
  <si>
    <t>4.63043273</t>
  </si>
  <si>
    <t>4.6304323</t>
  </si>
  <si>
    <t>4.63043189</t>
  </si>
  <si>
    <t>4.63043151</t>
  </si>
  <si>
    <t>4.63043115</t>
  </si>
  <si>
    <t>4.63043081</t>
  </si>
  <si>
    <t>4.63043049</t>
  </si>
  <si>
    <t>4.6304302</t>
  </si>
  <si>
    <t>4.63042992</t>
  </si>
  <si>
    <t>4.63042967</t>
  </si>
  <si>
    <t>4.63042943</t>
  </si>
  <si>
    <t>4.63042922</t>
  </si>
  <si>
    <t>4.63042902</t>
  </si>
  <si>
    <t>4.63042884</t>
  </si>
  <si>
    <t>4.63042867</t>
  </si>
  <si>
    <t>4.63042852</t>
  </si>
  <si>
    <t>4.63042839</t>
  </si>
  <si>
    <t>4.63042826</t>
  </si>
  <si>
    <t>4.63042815</t>
  </si>
  <si>
    <t>4.63042806</t>
  </si>
  <si>
    <t>4.63042797</t>
  </si>
  <si>
    <t>4.6304279</t>
  </si>
  <si>
    <t>4.63042784</t>
  </si>
  <si>
    <t>4.63042778</t>
  </si>
  <si>
    <t>4.63042774</t>
  </si>
  <si>
    <t>4.6304277</t>
  </si>
  <si>
    <t>4.63042767</t>
  </si>
  <si>
    <t>4.63042764</t>
  </si>
  <si>
    <t>4.63042762</t>
  </si>
  <si>
    <t>4.63042761</t>
  </si>
  <si>
    <t>4.6304276</t>
  </si>
  <si>
    <t>4.63042759</t>
  </si>
  <si>
    <t>4.63042775</t>
  </si>
  <si>
    <t>4.63042904</t>
  </si>
  <si>
    <t>4.63043156</t>
  </si>
  <si>
    <t>4.63043525</t>
  </si>
  <si>
    <t>4.63044007</t>
  </si>
  <si>
    <t>4.63044596</t>
  </si>
  <si>
    <t>4.63045287</t>
  </si>
  <si>
    <t>4.63046075</t>
  </si>
  <si>
    <t>4.63046953</t>
  </si>
  <si>
    <t>4.63047916</t>
  </si>
  <si>
    <t>4.6304896</t>
  </si>
  <si>
    <t>4.63050078</t>
  </si>
  <si>
    <t>4.63051266</t>
  </si>
  <si>
    <t>4.63052517</t>
  </si>
  <si>
    <t>4.63053827</t>
  </si>
  <si>
    <t>4.6305519</t>
  </si>
  <si>
    <t>4.63056601</t>
  </si>
  <si>
    <t>4.63058054</t>
  </si>
  <si>
    <t>4.63059544</t>
  </si>
  <si>
    <t>4.63061066</t>
  </si>
  <si>
    <t>4.63062613</t>
  </si>
  <si>
    <t>4.63064182</t>
  </si>
  <si>
    <t>4.63065765</t>
  </si>
  <si>
    <t>4.63067359</t>
  </si>
  <si>
    <t>4.63068957</t>
  </si>
  <si>
    <t>4.63070554</t>
  </si>
  <si>
    <t>4.63072145</t>
  </si>
  <si>
    <t>4.63073724</t>
  </si>
  <si>
    <t>4.63075286</t>
  </si>
  <si>
    <t>4.63076825</t>
  </si>
  <si>
    <t>4.63078337</t>
  </si>
  <si>
    <t>4.63079815</t>
  </si>
  <si>
    <t>4.63081255</t>
  </si>
  <si>
    <t>4.6308265</t>
  </si>
  <si>
    <t>4.63083996</t>
  </si>
  <si>
    <t>4.63085287</t>
  </si>
  <si>
    <t>4.63086518</t>
  </si>
  <si>
    <t>4.63087805</t>
  </si>
  <si>
    <t>4.63089263</t>
  </si>
  <si>
    <t>4.63090885</t>
  </si>
  <si>
    <t>4.63092663</t>
  </si>
  <si>
    <t>4.63094591</t>
  </si>
  <si>
    <t>4.6309666</t>
  </si>
  <si>
    <t>4.63098864</t>
  </si>
  <si>
    <t>4.63101196</t>
  </si>
  <si>
    <t>4.63103646</t>
  </si>
  <si>
    <t>4.6310621</t>
  </si>
  <si>
    <t>4.63108879</t>
  </si>
  <si>
    <t>4.63111645</t>
  </si>
  <si>
    <t>4.63114502</t>
  </si>
  <si>
    <t>4.63117442</t>
  </si>
  <si>
    <t>4.63120458</t>
  </si>
  <si>
    <t>4.63123542</t>
  </si>
  <si>
    <t>4.63126688</t>
  </si>
  <si>
    <t>4.63129887</t>
  </si>
  <si>
    <t>4.63133133</t>
  </si>
  <si>
    <t>4.63136417</t>
  </si>
  <si>
    <t>4.63139734</t>
  </si>
  <si>
    <t>4.63143075</t>
  </si>
  <si>
    <t>4.63146433</t>
  </si>
  <si>
    <t>4.63149801</t>
  </si>
  <si>
    <t>4.63153172</t>
  </si>
  <si>
    <t>4.63156537</t>
  </si>
  <si>
    <t>4.63159891</t>
  </si>
  <si>
    <t>4.63163225</t>
  </si>
  <si>
    <t>4.63166531</t>
  </si>
  <si>
    <t>4.63169804</t>
  </si>
  <si>
    <t>4.63173035</t>
  </si>
  <si>
    <t>4.63176217</t>
  </si>
  <si>
    <t>4.63179343</t>
  </si>
  <si>
    <t>4.63182406</t>
  </si>
  <si>
    <t>4.63185397</t>
  </si>
  <si>
    <t>4.6318831</t>
  </si>
  <si>
    <t>4.63191177</t>
  </si>
  <si>
    <t>4.63194225</t>
  </si>
  <si>
    <t>4.63197486</t>
  </si>
  <si>
    <t>4.63200949</t>
  </si>
  <si>
    <t>4.63204605</t>
  </si>
  <si>
    <t>4.63208445</t>
  </si>
  <si>
    <t>4.63212459</t>
  </si>
  <si>
    <t>4.63216639</t>
  </si>
  <si>
    <t>4.63220976</t>
  </si>
  <si>
    <t>4.63225459</t>
  </si>
  <si>
    <t>4.63230079</t>
  </si>
  <si>
    <t>4.63234828</t>
  </si>
  <si>
    <t>4.63239696</t>
  </si>
  <si>
    <t>4.63244674</t>
  </si>
  <si>
    <t>4.63249752</t>
  </si>
  <si>
    <t>4.63254922</t>
  </si>
  <si>
    <t>4.63260173</t>
  </si>
  <si>
    <t>4.63265497</t>
  </si>
  <si>
    <t>4.63270885</t>
  </si>
  <si>
    <t>4.63276326</t>
  </si>
  <si>
    <t>4.63281812</t>
  </si>
  <si>
    <t>4.63287334</t>
  </si>
  <si>
    <t>4.63292882</t>
  </si>
  <si>
    <t>4.63298448</t>
  </si>
  <si>
    <t>4.63304021</t>
  </si>
  <si>
    <t>4.63309592</t>
  </si>
  <si>
    <t>4.63315152</t>
  </si>
  <si>
    <t>4.63320693</t>
  </si>
  <si>
    <t>4.63326204</t>
  </si>
  <si>
    <t>4.63331676</t>
  </si>
  <si>
    <t>4.63337101</t>
  </si>
  <si>
    <t>4.63342468</t>
  </si>
  <si>
    <t>4.63347769</t>
  </si>
  <si>
    <t>4.63352994</t>
  </si>
  <si>
    <t>4.63358134</t>
  </si>
  <si>
    <t>4.6336318</t>
  </si>
  <si>
    <t>4.63368122</t>
  </si>
  <si>
    <t>4.63373038</t>
  </si>
  <si>
    <t>4.63378011</t>
  </si>
  <si>
    <t>4.63383037</t>
  </si>
  <si>
    <t>4.63388115</t>
  </si>
  <si>
    <t>4.63393242</t>
  </si>
  <si>
    <t>4.63398416</t>
  </si>
  <si>
    <t>4.63403634</t>
  </si>
  <si>
    <t>4.63408894</t>
  </si>
  <si>
    <t>4.63414193</t>
  </si>
  <si>
    <t>4.6341953</t>
  </si>
  <si>
    <t>4.634249</t>
  </si>
  <si>
    <t>4.63430304</t>
  </si>
  <si>
    <t>4.63435736</t>
  </si>
  <si>
    <t>4.63441197</t>
  </si>
  <si>
    <t>4.63446682</t>
  </si>
  <si>
    <t>4.63452189</t>
  </si>
  <si>
    <t>4.63457717</t>
  </si>
  <si>
    <t>4.63463263</t>
  </si>
  <si>
    <t>4.63468823</t>
  </si>
  <si>
    <t>4.63474397</t>
  </si>
  <si>
    <t>4.63479981</t>
  </si>
  <si>
    <t>4.63485573</t>
  </si>
  <si>
    <t>4.63491171</t>
  </si>
  <si>
    <t>4.63496772</t>
  </si>
  <si>
    <t>4.63502374</t>
  </si>
  <si>
    <t>4.63507974</t>
  </si>
  <si>
    <t>4.6351357</t>
  </si>
  <si>
    <t>4.6351916</t>
  </si>
  <si>
    <t>4.63524741</t>
  </si>
  <si>
    <t>4.63530311</t>
  </si>
  <si>
    <t>4.63535867</t>
  </si>
  <si>
    <t>4.63541406</t>
  </si>
  <si>
    <t>4.63546928</t>
  </si>
  <si>
    <t>4.63552428</t>
  </si>
  <si>
    <t>4.63557905</t>
  </si>
  <si>
    <t>4.63563357</t>
  </si>
  <si>
    <t>4.63568767</t>
  </si>
  <si>
    <t>4.63574057</t>
  </si>
  <si>
    <t>4.63579219</t>
  </si>
  <si>
    <t>4.63584259</t>
  </si>
  <si>
    <t>4.63589182</t>
  </si>
  <si>
    <t>4.63593994</t>
  </si>
  <si>
    <t>4.63598701</t>
  </si>
  <si>
    <t>4.63603308</t>
  </si>
  <si>
    <t>4.63607821</t>
  </si>
  <si>
    <t>4.63612245</t>
  </si>
  <si>
    <t>4.63616586</t>
  </si>
  <si>
    <t>4.63620849</t>
  </si>
  <si>
    <t>4.63625041</t>
  </si>
  <si>
    <t>4.63629166</t>
  </si>
  <si>
    <t>4.63633231</t>
  </si>
  <si>
    <t>4.6363724</t>
  </si>
  <si>
    <t>4.636412</t>
  </si>
  <si>
    <t>4.63645117</t>
  </si>
  <si>
    <t>4.63648995</t>
  </si>
  <si>
    <t>4.6365284</t>
  </si>
  <si>
    <t>4.63656658</t>
  </si>
  <si>
    <t>4.63660455</t>
  </si>
  <si>
    <t>4.63664236</t>
  </si>
  <si>
    <t>4.63668007</t>
  </si>
  <si>
    <t>4.63671773</t>
  </si>
  <si>
    <t>4.6367554</t>
  </si>
  <si>
    <t>4.63679313</t>
  </si>
  <si>
    <t>4.63683099</t>
  </si>
  <si>
    <t>4.63686902</t>
  </si>
  <si>
    <t>4.63690729</t>
  </si>
  <si>
    <t>4.63694584</t>
  </si>
  <si>
    <t>4.63698474</t>
  </si>
  <si>
    <t>4.63702405</t>
  </si>
  <si>
    <t>4.63706381</t>
  </si>
  <si>
    <t>4.63710408</t>
  </si>
  <si>
    <t>4.63714492</t>
  </si>
  <si>
    <t>4.63718639</t>
  </si>
  <si>
    <t>4.63722756</t>
  </si>
  <si>
    <t>4.63726752</t>
  </si>
  <si>
    <t>4.63730631</t>
  </si>
  <si>
    <t>4.63734398</t>
  </si>
  <si>
    <t>4.6373806</t>
  </si>
  <si>
    <t>4.6374162</t>
  </si>
  <si>
    <t>4.63745085</t>
  </si>
  <si>
    <t>4.63748459</t>
  </si>
  <si>
    <t>4.63751748</t>
  </si>
  <si>
    <t>4.63754957</t>
  </si>
  <si>
    <t>4.63758091</t>
  </si>
  <si>
    <t>4.63761156</t>
  </si>
  <si>
    <t>4.63764156</t>
  </si>
  <si>
    <t>4.63767097</t>
  </si>
  <si>
    <t>4.63769984</t>
  </si>
  <si>
    <t>4.63772822</t>
  </si>
  <si>
    <t>4.63775617</t>
  </si>
  <si>
    <t>4.63778374</t>
  </si>
  <si>
    <t>4.63781097</t>
  </si>
  <si>
    <t>4.63783793</t>
  </si>
  <si>
    <t>4.63786466</t>
  </si>
  <si>
    <t>4.63789121</t>
  </si>
  <si>
    <t>4.63791765</t>
  </si>
  <si>
    <t>4.63794401</t>
  </si>
  <si>
    <t>4.63797036</t>
  </si>
  <si>
    <t>4.63799674</t>
  </si>
  <si>
    <t>4.63802321</t>
  </si>
  <si>
    <t>4.63804982</t>
  </si>
  <si>
    <t>4.63807662</t>
  </si>
  <si>
    <t>4.63810366</t>
  </si>
  <si>
    <t>4.638131</t>
  </si>
  <si>
    <t>4.63815869</t>
  </si>
  <si>
    <t>4.63818678</t>
  </si>
  <si>
    <t>4.63821532</t>
  </si>
  <si>
    <t>4.63824436</t>
  </si>
  <si>
    <t>4.63827396</t>
  </si>
  <si>
    <t>4.63830395</t>
  </si>
  <si>
    <t>4.63833301</t>
  </si>
  <si>
    <t>4.63836097</t>
  </si>
  <si>
    <t>4.63838788</t>
  </si>
  <si>
    <t>4.63841378</t>
  </si>
  <si>
    <t>4.63843872</t>
  </si>
  <si>
    <t>4.63846276</t>
  </si>
  <si>
    <t>4.63848594</t>
  </si>
  <si>
    <t>4.63850831</t>
  </si>
  <si>
    <t>4.63852991</t>
  </si>
  <si>
    <t>4.6385508</t>
  </si>
  <si>
    <t>4.63857102</t>
  </si>
  <si>
    <t>4.63859062</t>
  </si>
  <si>
    <t>4.63860965</t>
  </si>
  <si>
    <t>4.63862816</t>
  </si>
  <si>
    <t>4.6386462</t>
  </si>
  <si>
    <t>4.6386638</t>
  </si>
  <si>
    <t>4.63868103</t>
  </si>
  <si>
    <t>4.63869794</t>
  </si>
  <si>
    <t>4.63871456</t>
  </si>
  <si>
    <t>4.63873094</t>
  </si>
  <si>
    <t>4.63874715</t>
  </si>
  <si>
    <t>4.63876321</t>
  </si>
  <si>
    <t>4.63877919</t>
  </si>
  <si>
    <t>4.63879513</t>
  </si>
  <si>
    <t>4.63881107</t>
  </si>
  <si>
    <t>4.63882707</t>
  </si>
  <si>
    <t>4.63884318</t>
  </si>
  <si>
    <t>4.63885944</t>
  </si>
  <si>
    <t>4.6388759</t>
  </si>
  <si>
    <t>4.63889261</t>
  </si>
  <si>
    <t>4.63890961</t>
  </si>
  <si>
    <t>4.63892696</t>
  </si>
  <si>
    <t>4.63894471</t>
  </si>
  <si>
    <t>4.6389629</t>
  </si>
  <si>
    <t>4.63898157</t>
  </si>
  <si>
    <t>4.63900079</t>
  </si>
  <si>
    <t>4.63901995</t>
  </si>
  <si>
    <t>4.63903843</t>
  </si>
  <si>
    <t>4.63905625</t>
  </si>
  <si>
    <t>4.63907342</t>
  </si>
  <si>
    <t>4.63908996</t>
  </si>
  <si>
    <t>4.63910586</t>
  </si>
  <si>
    <t>4.63912116</t>
  </si>
  <si>
    <t>4.63913585</t>
  </si>
  <si>
    <t>4.63914996</t>
  </si>
  <si>
    <t>4.63916348</t>
  </si>
  <si>
    <t>4.63917645</t>
  </si>
  <si>
    <t>4.63918887</t>
  </si>
  <si>
    <t>4.63920075</t>
  </si>
  <si>
    <t>4.6392121</t>
  </si>
  <si>
    <t>4.63922294</t>
  </si>
  <si>
    <t>4.63923328</t>
  </si>
  <si>
    <t>4.63924313</t>
  </si>
  <si>
    <t>4.6392525</t>
  </si>
  <si>
    <t>4.63926142</t>
  </si>
  <si>
    <t>4.63926988</t>
  </si>
  <si>
    <t>4.6392779</t>
  </si>
  <si>
    <t>4.6392855</t>
  </si>
  <si>
    <t>4.63929269</t>
  </si>
  <si>
    <t>4.63929947</t>
  </si>
  <si>
    <t>4.63930587</t>
  </si>
  <si>
    <t>4.63931189</t>
  </si>
  <si>
    <t>4.63931755</t>
  </si>
  <si>
    <t>4.63932286</t>
  </si>
  <si>
    <t>4.63932783</t>
  </si>
  <si>
    <t>4.63933247</t>
  </si>
  <si>
    <t>4.63933681</t>
  </si>
  <si>
    <t>4.63934084</t>
  </si>
  <si>
    <t>4.63934458</t>
  </si>
  <si>
    <t>4.63934805</t>
  </si>
  <si>
    <t>4.63935126</t>
  </si>
  <si>
    <t>4.63935421</t>
  </si>
  <si>
    <t>4.63935694</t>
  </si>
  <si>
    <t>4.63935951</t>
  </si>
  <si>
    <t>4.63936194</t>
  </si>
  <si>
    <t>4.63936423</t>
  </si>
  <si>
    <t>4.63936639</t>
  </si>
  <si>
    <t>4.63936841</t>
  </si>
  <si>
    <t>4.63937031</t>
  </si>
  <si>
    <t>4.63937209</t>
  </si>
  <si>
    <t>4.63937375</t>
  </si>
  <si>
    <t>4.6393753</t>
  </si>
  <si>
    <t>4.63937674</t>
  </si>
  <si>
    <t>4.63937807</t>
  </si>
  <si>
    <t>4.6393793</t>
  </si>
  <si>
    <t>4.63938043</t>
  </si>
  <si>
    <t>4.63938147</t>
  </si>
  <si>
    <t>4.63938242</t>
  </si>
  <si>
    <t>4.63938328</t>
  </si>
  <si>
    <t>4.63938406</t>
  </si>
  <si>
    <t>4.63938476</t>
  </si>
  <si>
    <t>4.6393854</t>
  </si>
  <si>
    <t>4.63938596</t>
  </si>
  <si>
    <t>4.63938645</t>
  </si>
  <si>
    <t>4.63938689</t>
  </si>
  <si>
    <t>4.63938726</t>
  </si>
  <si>
    <t>4.63938759</t>
  </si>
  <si>
    <t>4.63938786</t>
  </si>
  <si>
    <t>4.63938809</t>
  </si>
  <si>
    <t>4.63938828</t>
  </si>
  <si>
    <t>4.63938843</t>
  </si>
  <si>
    <t>4.63938855</t>
  </si>
  <si>
    <t>4.63938864</t>
  </si>
  <si>
    <t>4.63938871</t>
  </si>
  <si>
    <t>4.63938875</t>
  </si>
  <si>
    <t>4.63938878</t>
  </si>
  <si>
    <t>4.63938879</t>
  </si>
  <si>
    <t>4.6393888</t>
  </si>
  <si>
    <t>4.63938733</t>
  </si>
  <si>
    <t>4.63938554</t>
  </si>
  <si>
    <t>4.63938309</t>
  </si>
  <si>
    <t>4.63938001</t>
  </si>
  <si>
    <t>4.63937633</t>
  </si>
  <si>
    <t>4.63937208</t>
  </si>
  <si>
    <t>4.63936729</t>
  </si>
  <si>
    <t>4.63936199</t>
  </si>
  <si>
    <t>4.63935622</t>
  </si>
  <si>
    <t>4.63935</t>
  </si>
  <si>
    <t>4.63934337</t>
  </si>
  <si>
    <t>4.63933636</t>
  </si>
  <si>
    <t>4.639329</t>
  </si>
  <si>
    <t>4.63932131</t>
  </si>
  <si>
    <t>4.63931334</t>
  </si>
  <si>
    <t>4.63930511</t>
  </si>
  <si>
    <t>4.63929665</t>
  </si>
  <si>
    <t>4.63928799</t>
  </si>
  <si>
    <t>4.63927917</t>
  </si>
  <si>
    <t>4.63927021</t>
  </si>
  <si>
    <t>4.63926115</t>
  </si>
  <si>
    <t>4.63925202</t>
  </si>
  <si>
    <t>4.63924284</t>
  </si>
  <si>
    <t>4.63923366</t>
  </si>
  <si>
    <t>4.63922449</t>
  </si>
  <si>
    <t>4.63921538</t>
  </si>
  <si>
    <t>4.63920635</t>
  </si>
  <si>
    <t>4.63919744</t>
  </si>
  <si>
    <t>4.63918867</t>
  </si>
  <si>
    <t>4.63918007</t>
  </si>
  <si>
    <t>4.63917168</t>
  </si>
  <si>
    <t>4.63916353</t>
  </si>
  <si>
    <t>4.63915565</t>
  </si>
  <si>
    <t>4.63914807</t>
  </si>
  <si>
    <t>4.63914082</t>
  </si>
  <si>
    <t>4.63913379</t>
  </si>
  <si>
    <t>4.63912618</t>
  </si>
  <si>
    <t>4.63911788</t>
  </si>
  <si>
    <t>4.63910891</t>
  </si>
  <si>
    <t>4.63909931</t>
  </si>
  <si>
    <t>4.6390891</t>
  </si>
  <si>
    <t>4.63907833</t>
  </si>
  <si>
    <t>4.63906701</t>
  </si>
  <si>
    <t>4.63905518</t>
  </si>
  <si>
    <t>4.63904287</t>
  </si>
  <si>
    <t>4.63903011</t>
  </si>
  <si>
    <t>4.63901693</t>
  </si>
  <si>
    <t>4.63900336</t>
  </si>
  <si>
    <t>4.63898943</t>
  </si>
  <si>
    <t>4.63897518</t>
  </si>
  <si>
    <t>4.63896062</t>
  </si>
  <si>
    <t>4.63894579</t>
  </si>
  <si>
    <t>4.63893073</t>
  </si>
  <si>
    <t>4.63891546</t>
  </si>
  <si>
    <t>4.63890001</t>
  </si>
  <si>
    <t>4.63888442</t>
  </si>
  <si>
    <t>4.63886871</t>
  </si>
  <si>
    <t>4.63885291</t>
  </si>
  <si>
    <t>4.63883706</t>
  </si>
  <si>
    <t>4.63882118</t>
  </si>
  <si>
    <t>4.63880531</t>
  </si>
  <si>
    <t>4.63878947</t>
  </si>
  <si>
    <t>4.6387737</t>
  </si>
  <si>
    <t>4.63875803</t>
  </si>
  <si>
    <t>4.63874248</t>
  </si>
  <si>
    <t>4.63872708</t>
  </si>
  <si>
    <t>4.63871188</t>
  </si>
  <si>
    <t>4.63869689</t>
  </si>
  <si>
    <t>4.63868215</t>
  </si>
  <si>
    <t>4.63866769</t>
  </si>
  <si>
    <t>4.63865354</t>
  </si>
  <si>
    <t>4.63863973</t>
  </si>
  <si>
    <t>4.63862579</t>
  </si>
  <si>
    <t>4.63861126</t>
  </si>
  <si>
    <t>4.63859616</t>
  </si>
  <si>
    <t>4.63858052</t>
  </si>
  <si>
    <t>4.63856436</t>
  </si>
  <si>
    <t>4.63854772</t>
  </si>
  <si>
    <t>4.6385306</t>
  </si>
  <si>
    <t>4.63851305</t>
  </si>
  <si>
    <t>4.63849507</t>
  </si>
  <si>
    <t>4.63847671</t>
  </si>
  <si>
    <t>4.63845799</t>
  </si>
  <si>
    <t>4.63843893</t>
  </si>
  <si>
    <t>4.63841955</t>
  </si>
  <si>
    <t>4.63839989</t>
  </si>
  <si>
    <t>4.63837996</t>
  </si>
  <si>
    <t>4.63835979</t>
  </si>
  <si>
    <t>4.63833942</t>
  </si>
  <si>
    <t>4.63831885</t>
  </si>
  <si>
    <t>4.63829813</t>
  </si>
  <si>
    <t>4.63827727</t>
  </si>
  <si>
    <t>4.6382563</t>
  </si>
  <si>
    <t>4.63823525</t>
  </si>
  <si>
    <t>4.63821413</t>
  </si>
  <si>
    <t>4.63819299</t>
  </si>
  <si>
    <t>4.63817183</t>
  </si>
  <si>
    <t>4.63815069</t>
  </si>
  <si>
    <t>4.63812959</t>
  </si>
  <si>
    <t>4.63810857</t>
  </si>
  <si>
    <t>4.63808763</t>
  </si>
  <si>
    <t>4.63806681</t>
  </si>
  <si>
    <t>4.63804614</t>
  </si>
  <si>
    <t>4.63802564</t>
  </si>
  <si>
    <t>4.63800533</t>
  </si>
  <si>
    <t>4.63798524</t>
  </si>
  <si>
    <t>4.6379654</t>
  </si>
  <si>
    <t>4.63794583</t>
  </si>
  <si>
    <t>4.63792645</t>
  </si>
  <si>
    <t>4.63790669</t>
  </si>
  <si>
    <t>4.63788647</t>
  </si>
  <si>
    <t>4.63786581</t>
  </si>
  <si>
    <t>4.63784473</t>
  </si>
  <si>
    <t>4.63782324</t>
  </si>
  <si>
    <t>4.63780137</t>
  </si>
  <si>
    <t>4.63777914</t>
  </si>
  <si>
    <t>4.63775657</t>
  </si>
  <si>
    <t>4.63773368</t>
  </si>
  <si>
    <t>4.63771049</t>
  </si>
  <si>
    <t>4.63768702</t>
  </si>
  <si>
    <t>4.63766329</t>
  </si>
  <si>
    <t>4.63763932</t>
  </si>
  <si>
    <t>4.63761512</t>
  </si>
  <si>
    <t>4.63759073</t>
  </si>
  <si>
    <t>4.63756617</t>
  </si>
  <si>
    <t>4.63754144</t>
  </si>
  <si>
    <t>4.63751657</t>
  </si>
  <si>
    <t>4.63749159</t>
  </si>
  <si>
    <t>4.63746651</t>
  </si>
  <si>
    <t>4.63744135</t>
  </si>
  <si>
    <t>4.63741613</t>
  </si>
  <si>
    <t>4.63739088</t>
  </si>
  <si>
    <t>4.63736561</t>
  </si>
  <si>
    <t>4.63734034</t>
  </si>
  <si>
    <t>4.63731509</t>
  </si>
  <si>
    <t>4.63728989</t>
  </si>
  <si>
    <t>4.63726476</t>
  </si>
  <si>
    <t>4.63723971</t>
  </si>
  <si>
    <t>4.63721476</t>
  </si>
  <si>
    <t>4.63718994</t>
  </si>
  <si>
    <t>4.63716526</t>
  </si>
  <si>
    <t>4.63714075</t>
  </si>
  <si>
    <t>4.63711642</t>
  </si>
  <si>
    <t>4.6370923</t>
  </si>
  <si>
    <t>4.63706841</t>
  </si>
  <si>
    <t>4.63704446</t>
  </si>
  <si>
    <t>4.63702016</t>
  </si>
  <si>
    <t>4.63699552</t>
  </si>
  <si>
    <t>4.63697057</t>
  </si>
  <si>
    <t>4.63694532</t>
  </si>
  <si>
    <t>4.63691978</t>
  </si>
  <si>
    <t>4.63689397</t>
  </si>
  <si>
    <t>4.63686789</t>
  </si>
  <si>
    <t>4.63684158</t>
  </si>
  <si>
    <t>4.63681503</t>
  </si>
  <si>
    <t>4.63678828</t>
  </si>
  <si>
    <t>4.63676132</t>
  </si>
  <si>
    <t>4.63673418</t>
  </si>
  <si>
    <t>4.63670687</t>
  </si>
  <si>
    <t>4.63667941</t>
  </si>
  <si>
    <t>4.63665181</t>
  </si>
  <si>
    <t>4.63662409</t>
  </si>
  <si>
    <t>4.63659625</t>
  </si>
  <si>
    <t>4.63656832</t>
  </si>
  <si>
    <t>4.63654031</t>
  </si>
  <si>
    <t>4.63651224</t>
  </si>
  <si>
    <t>4.63648412</t>
  </si>
  <si>
    <t>4.63645596</t>
  </si>
  <si>
    <t>4.63642778</t>
  </si>
  <si>
    <t>4.6363996</t>
  </si>
  <si>
    <t>4.63637143</t>
  </si>
  <si>
    <t>4.63634328</t>
  </si>
  <si>
    <t>4.63631518</t>
  </si>
  <si>
    <t>4.63628712</t>
  </si>
  <si>
    <t>4.63625914</t>
  </si>
  <si>
    <t>4.63623124</t>
  </si>
  <si>
    <t>4.63620344</t>
  </si>
  <si>
    <t>4.63617576</t>
  </si>
  <si>
    <t>4.6361482</t>
  </si>
  <si>
    <t>4.63612079</t>
  </si>
  <si>
    <t>4.63609353</t>
  </si>
  <si>
    <t>4.6360664</t>
  </si>
  <si>
    <t>4.6360391</t>
  </si>
  <si>
    <t>4.63601158</t>
  </si>
  <si>
    <t>4.63598387</t>
  </si>
  <si>
    <t>4.63595595</t>
  </si>
  <si>
    <t>4.63592786</t>
  </si>
  <si>
    <t>4.63589958</t>
  </si>
  <si>
    <t>4.63587114</t>
  </si>
  <si>
    <t>4.63584255</t>
  </si>
  <si>
    <t>4.63581381</t>
  </si>
  <si>
    <t>4.63578492</t>
  </si>
  <si>
    <t>4.63575591</t>
  </si>
  <si>
    <t>4.63572678</t>
  </si>
  <si>
    <t>4.63569754</t>
  </si>
  <si>
    <t>4.6356682</t>
  </si>
  <si>
    <t>4.63563877</t>
  </si>
  <si>
    <t>4.63560925</t>
  </si>
  <si>
    <t>4.63557967</t>
  </si>
  <si>
    <t>4.63555001</t>
  </si>
  <si>
    <t>4.63552031</t>
  </si>
  <si>
    <t>4.63549056</t>
  </si>
  <si>
    <t>4.63546077</t>
  </si>
  <si>
    <t>4.63543096</t>
  </si>
  <si>
    <t>4.63540113</t>
  </si>
  <si>
    <t>4.63537129</t>
  </si>
  <si>
    <t>4.63534145</t>
  </si>
  <si>
    <t>4.63531163</t>
  </si>
  <si>
    <t>4.63528182</t>
  </si>
  <si>
    <t>4.63525205</t>
  </si>
  <si>
    <t>4.63522231</t>
  </si>
  <si>
    <t>4.63519262</t>
  </si>
  <si>
    <t>4.63516299</t>
  </si>
  <si>
    <t>4.63513342</t>
  </si>
  <si>
    <t>4.63510394</t>
  </si>
  <si>
    <t>4.63507453</t>
  </si>
  <si>
    <t>4.63504522</t>
  </si>
  <si>
    <t>4.63501602</t>
  </si>
  <si>
    <t>4.63498683</t>
  </si>
  <si>
    <t>4.63495755</t>
  </si>
  <si>
    <t>4.6349282</t>
  </si>
  <si>
    <t>4.63489877</t>
  </si>
  <si>
    <t>4.63486928</t>
  </si>
  <si>
    <t>4.63483971</t>
  </si>
  <si>
    <t>4.63481008</t>
  </si>
  <si>
    <t>4.63478038</t>
  </si>
  <si>
    <t>4.63475063</t>
  </si>
  <si>
    <t>4.63472083</t>
  </si>
  <si>
    <t>4.63469097</t>
  </si>
  <si>
    <t>4.63466107</t>
  </si>
  <si>
    <t>4.63463112</t>
  </si>
  <si>
    <t>4.63460114</t>
  </si>
  <si>
    <t>4.63457112</t>
  </si>
  <si>
    <t>4.63454106</t>
  </si>
  <si>
    <t>4.63451098</t>
  </si>
  <si>
    <t>4.63448087</t>
  </si>
  <si>
    <t>4.63445073</t>
  </si>
  <si>
    <t>4.63442058</t>
  </si>
  <si>
    <t>4.63439042</t>
  </si>
  <si>
    <t>4.63436024</t>
  </si>
  <si>
    <t>4.63433005</t>
  </si>
  <si>
    <t>4.63429986</t>
  </si>
  <si>
    <t>4.63426967</t>
  </si>
  <si>
    <t>4.63423948</t>
  </si>
  <si>
    <t>4.63420929</t>
  </si>
  <si>
    <t>4.63417912</t>
  </si>
  <si>
    <t>4.63414896</t>
  </si>
  <si>
    <t>4.63411881</t>
  </si>
  <si>
    <t>4.63408869</t>
  </si>
  <si>
    <t>4.63405858</t>
  </si>
  <si>
    <t>4.63402851</t>
  </si>
  <si>
    <t>4.63399846</t>
  </si>
  <si>
    <t>4.63396845</t>
  </si>
  <si>
    <t>4.63393848</t>
  </si>
  <si>
    <t>4.63390855</t>
  </si>
  <si>
    <t>4.63387868</t>
  </si>
  <si>
    <t>4.63384886</t>
  </si>
  <si>
    <t>4.6338191</t>
  </si>
  <si>
    <t>4.63378939</t>
  </si>
  <si>
    <t>4.63375973</t>
  </si>
  <si>
    <t>4.63373012</t>
  </si>
  <si>
    <t>4.63370055</t>
  </si>
  <si>
    <t>4.63367102</t>
  </si>
  <si>
    <t>4.63364154</t>
  </si>
  <si>
    <t>4.63361209</t>
  </si>
  <si>
    <t>4.63358267</t>
  </si>
  <si>
    <t>4.63355329</t>
  </si>
  <si>
    <t>4.63352393</t>
  </si>
  <si>
    <t>4.63349461</t>
  </si>
  <si>
    <t>4.6334653</t>
  </si>
  <si>
    <t>4.63343602</t>
  </si>
  <si>
    <t>4.63340676</t>
  </si>
  <si>
    <t>4.63337752</t>
  </si>
  <si>
    <t>4.63334829</t>
  </si>
  <si>
    <t>4.63331907</t>
  </si>
  <si>
    <t>4.63328986</t>
  </si>
  <si>
    <t>4.63326066</t>
  </si>
  <si>
    <t>4.63323146</t>
  </si>
  <si>
    <t>4.63320227</t>
  </si>
  <si>
    <t>4.63317307</t>
  </si>
  <si>
    <t>4.63314388</t>
  </si>
  <si>
    <t>4.63311467</t>
  </si>
  <si>
    <t>4.63308546</t>
  </si>
  <si>
    <t>4.63305624</t>
  </si>
  <si>
    <t>4.63302701</t>
  </si>
  <si>
    <t>4.63299776</t>
  </si>
  <si>
    <t>4.63296849</t>
  </si>
  <si>
    <t>4.6329392</t>
  </si>
  <si>
    <t>4.63290989</t>
  </si>
  <si>
    <t>4.63288055</t>
  </si>
  <si>
    <t>4.63285119</t>
  </si>
  <si>
    <t>4.63282192</t>
  </si>
  <si>
    <t>4.63279285</t>
  </si>
  <si>
    <t>4.63276397</t>
  </si>
  <si>
    <t>4.63273528</t>
  </si>
  <si>
    <t>4.63270677</t>
  </si>
  <si>
    <t>4.63267843</t>
  </si>
  <si>
    <t>4.63265025</t>
  </si>
  <si>
    <t>4.63262222</t>
  </si>
  <si>
    <t>4.63259433</t>
  </si>
  <si>
    <t>4.63256658</t>
  </si>
  <si>
    <t>4.63253895</t>
  </si>
  <si>
    <t>4.63251144</t>
  </si>
  <si>
    <t>4.63248404</t>
  </si>
  <si>
    <t>4.63245673</t>
  </si>
  <si>
    <t>4.63242952</t>
  </si>
  <si>
    <t>4.63240238</t>
  </si>
  <si>
    <t>4.63237532</t>
  </si>
  <si>
    <t>4.63234833</t>
  </si>
  <si>
    <t>4.63232139</t>
  </si>
  <si>
    <t>4.63229449</t>
  </si>
  <si>
    <t>4.63226764</t>
  </si>
  <si>
    <t>4.63224081</t>
  </si>
  <si>
    <t>4.632214</t>
  </si>
  <si>
    <t>4.63218721</t>
  </si>
  <si>
    <t>4.63216042</t>
  </si>
  <si>
    <t>4.63213362</t>
  </si>
  <si>
    <t>4.63210681</t>
  </si>
  <si>
    <t>4.63207997</t>
  </si>
  <si>
    <t>4.6320531</t>
  </si>
  <si>
    <t>4.63202619</t>
  </si>
  <si>
    <t>4.63199924</t>
  </si>
  <si>
    <t>4.63197222</t>
  </si>
  <si>
    <t>4.63194514</t>
  </si>
  <si>
    <t>4.63191798</t>
  </si>
  <si>
    <t>4.63189073</t>
  </si>
  <si>
    <t>4.6318634</t>
  </si>
  <si>
    <t>4.63183602</t>
  </si>
  <si>
    <t>4.63180894</t>
  </si>
  <si>
    <t>4.63178221</t>
  </si>
  <si>
    <t>4.63175582</t>
  </si>
  <si>
    <t>4.63172974</t>
  </si>
  <si>
    <t>4.63170396</t>
  </si>
  <si>
    <t>4.63167847</t>
  </si>
  <si>
    <t>4.63165325</t>
  </si>
  <si>
    <t>4.63162829</t>
  </si>
  <si>
    <t>4.63160357</t>
  </si>
  <si>
    <t>4.63157907</t>
  </si>
  <si>
    <t>4.63155478</t>
  </si>
  <si>
    <t>4.63153069</t>
  </si>
  <si>
    <t>4.63150679</t>
  </si>
  <si>
    <t>4.63148304</t>
  </si>
  <si>
    <t>4.63145945</t>
  </si>
  <si>
    <t>4.63143599</t>
  </si>
  <si>
    <t>4.63141264</t>
  </si>
  <si>
    <t>4.63138941</t>
  </si>
  <si>
    <t>4.63136626</t>
  </si>
  <si>
    <t>4.63134318</t>
  </si>
  <si>
    <t>4.63132017</t>
  </si>
  <si>
    <t>4.63129719</t>
  </si>
  <si>
    <t>4.63127425</t>
  </si>
  <si>
    <t>4.63125132</t>
  </si>
  <si>
    <t>4.63122838</t>
  </si>
  <si>
    <t>4.63120543</t>
  </si>
  <si>
    <t>4.63118244</t>
  </si>
  <si>
    <t>4.63115941</t>
  </si>
  <si>
    <t>4.63113631</t>
  </si>
  <si>
    <t>4.63111313</t>
  </si>
  <si>
    <t>4.63108986</t>
  </si>
  <si>
    <t>4.63106648</t>
  </si>
  <si>
    <t>4.63104298</t>
  </si>
  <si>
    <t>4.63101934</t>
  </si>
  <si>
    <t>4.63099554</t>
  </si>
  <si>
    <t>4.63097157</t>
  </si>
  <si>
    <t>4.63094778</t>
  </si>
  <si>
    <t>4.63092449</t>
  </si>
  <si>
    <t>4.6309017</t>
  </si>
  <si>
    <t>4.63087938</t>
  </si>
  <si>
    <t>4.6308575</t>
  </si>
  <si>
    <t>4.63083605</t>
  </si>
  <si>
    <t>4.630815</t>
  </si>
  <si>
    <t>4.63079433</t>
  </si>
  <si>
    <t>4.63077402</t>
  </si>
  <si>
    <t>4.63075405</t>
  </si>
  <si>
    <t>4.63073439</t>
  </si>
  <si>
    <t>4.63071503</t>
  </si>
  <si>
    <t>4.63069593</t>
  </si>
  <si>
    <t>4.63067709</t>
  </si>
  <si>
    <t>4.63065847</t>
  </si>
  <si>
    <t>4.63064006</t>
  </si>
  <si>
    <t>4.63062183</t>
  </si>
  <si>
    <t>4.63060376</t>
  </si>
  <si>
    <t>4.63058583</t>
  </si>
  <si>
    <t>4.63056802</t>
  </si>
  <si>
    <t>4.6305503</t>
  </si>
  <si>
    <t>4.63053265</t>
  </si>
  <si>
    <t>4.63051506</t>
  </si>
  <si>
    <t>4.6304975</t>
  </si>
  <si>
    <t>4.63047994</t>
  </si>
  <si>
    <t>4.63046237</t>
  </si>
  <si>
    <t>4.63044476</t>
  </si>
  <si>
    <t>4.63042709</t>
  </si>
  <si>
    <t>4.63040935</t>
  </si>
  <si>
    <t>4.6303915</t>
  </si>
  <si>
    <t>4.63037352</t>
  </si>
  <si>
    <t>4.6303554</t>
  </si>
  <si>
    <t>4.63033711</t>
  </si>
  <si>
    <t>4.63031864</t>
  </si>
  <si>
    <t>4.63029994</t>
  </si>
  <si>
    <t>4.63028102</t>
  </si>
  <si>
    <t>4.63026196</t>
  </si>
  <si>
    <t>4.63024346</t>
  </si>
  <si>
    <t>4.63022563</t>
  </si>
  <si>
    <t>4.63020844</t>
  </si>
  <si>
    <t>4.63019184</t>
  </si>
  <si>
    <t>4.63017582</t>
  </si>
  <si>
    <t>4.63016035</t>
  </si>
  <si>
    <t>4.63014539</t>
  </si>
  <si>
    <t>4.63013092</t>
  </si>
  <si>
    <t>4.63011691</t>
  </si>
  <si>
    <t>4.63010333</t>
  </si>
  <si>
    <t>4.63009014</t>
  </si>
  <si>
    <t>4.63007733</t>
  </si>
  <si>
    <t>4.63006487</t>
  </si>
  <si>
    <t>4.63005272</t>
  </si>
  <si>
    <t>4.63004085</t>
  </si>
  <si>
    <t>4.63002924</t>
  </si>
  <si>
    <t>4.63001785</t>
  </si>
  <si>
    <t>4.63000666</t>
  </si>
  <si>
    <t>4.62999564</t>
  </si>
  <si>
    <t>4.62998477</t>
  </si>
  <si>
    <t>4.629974</t>
  </si>
  <si>
    <t>4.62996331</t>
  </si>
  <si>
    <t>4.62995268</t>
  </si>
  <si>
    <t>4.62994207</t>
  </si>
  <si>
    <t>4.62993146</t>
  </si>
  <si>
    <t>4.62992082</t>
  </si>
  <si>
    <t>4.62991011</t>
  </si>
  <si>
    <t>4.62989931</t>
  </si>
  <si>
    <t>4.62988838</t>
  </si>
  <si>
    <t>4.62987731</t>
  </si>
  <si>
    <t>4.62986606</t>
  </si>
  <si>
    <t>4.62985461</t>
  </si>
  <si>
    <t>4.62984291</t>
  </si>
  <si>
    <t>4.62983095</t>
  </si>
  <si>
    <t>4.6298187</t>
  </si>
  <si>
    <t>4.62980612</t>
  </si>
  <si>
    <t>4.62979368</t>
  </si>
  <si>
    <t>4.62978185</t>
  </si>
  <si>
    <t>4.62977062</t>
  </si>
  <si>
    <t>4.62975996</t>
  </si>
  <si>
    <t>4.62974987</t>
  </si>
  <si>
    <t>4.62974033</t>
  </si>
  <si>
    <t>4.62973132</t>
  </si>
  <si>
    <t>4.62972283</t>
  </si>
  <si>
    <t>4.62971485</t>
  </si>
  <si>
    <t>4.62970735</t>
  </si>
  <si>
    <t>4.62970033</t>
  </si>
  <si>
    <t>4.62969377</t>
  </si>
  <si>
    <t>4.62968765</t>
  </si>
  <si>
    <t>4.62968196</t>
  </si>
  <si>
    <t>4.62967668</t>
  </si>
  <si>
    <t>4.6296718</t>
  </si>
  <si>
    <t>4.62966731</t>
  </si>
  <si>
    <t>4.62966318</t>
  </si>
  <si>
    <t>4.6296594</t>
  </si>
  <si>
    <t>4.62965597</t>
  </si>
  <si>
    <t>4.62965285</t>
  </si>
  <si>
    <t>4.62965005</t>
  </si>
  <si>
    <t>4.62964754</t>
  </si>
  <si>
    <t>4.6296453</t>
  </si>
  <si>
    <t>4.62964333</t>
  </si>
  <si>
    <t>4.6296416</t>
  </si>
  <si>
    <t>4.62964011</t>
  </si>
  <si>
    <t>4.62963883</t>
  </si>
  <si>
    <t>4.62963776</t>
  </si>
  <si>
    <t>4.62963687</t>
  </si>
  <si>
    <t>4.62963615</t>
  </si>
  <si>
    <t>4.6296356</t>
  </si>
  <si>
    <t>4.62963518</t>
  </si>
  <si>
    <t>4.62963489</t>
  </si>
  <si>
    <t>4.62963471</t>
  </si>
  <si>
    <t>4.62963463</t>
  </si>
  <si>
    <t>4.62963469</t>
  </si>
  <si>
    <t>4.62963523</t>
  </si>
  <si>
    <t>4.62963629</t>
  </si>
  <si>
    <t>4.62963784</t>
  </si>
  <si>
    <t>4.62963986</t>
  </si>
  <si>
    <t>4.62964234</t>
  </si>
  <si>
    <t>4.62964524</t>
  </si>
  <si>
    <t>4.62964855</t>
  </si>
  <si>
    <t>4.62965224</t>
  </si>
  <si>
    <t>4.62965629</t>
  </si>
  <si>
    <t>4.62966067</t>
  </si>
  <si>
    <t>4.62966537</t>
  </si>
  <si>
    <t>4.62967036</t>
  </si>
  <si>
    <t>4.62967562</t>
  </si>
  <si>
    <t>4.62968112</t>
  </si>
  <si>
    <t>4.62968685</t>
  </si>
  <si>
    <t>4.62969278</t>
  </si>
  <si>
    <t>4.62969888</t>
  </si>
  <si>
    <t>4.62970514</t>
  </si>
  <si>
    <t>4.62971153</t>
  </si>
  <si>
    <t>4.62971804</t>
  </si>
  <si>
    <t>4.62972463</t>
  </si>
  <si>
    <t>4.62973128</t>
  </si>
  <si>
    <t>4.62973797</t>
  </si>
  <si>
    <t>4.62974469</t>
  </si>
  <si>
    <t>4.6297514</t>
  </si>
  <si>
    <t>4.62975808</t>
  </si>
  <si>
    <t>4.62976472</t>
  </si>
  <si>
    <t>4.62977128</t>
  </si>
  <si>
    <t>4.62977775</t>
  </si>
  <si>
    <t>4.6297841</t>
  </si>
  <si>
    <t>4.62979031</t>
  </si>
  <si>
    <t>4.62979636</t>
  </si>
  <si>
    <t>4.62980222</t>
  </si>
  <si>
    <t>4.62980787</t>
  </si>
  <si>
    <t>4.6298133</t>
  </si>
  <si>
    <t>4.62981847</t>
  </si>
  <si>
    <t>资产评估基础利率曲线（2017年12月31日）</t>
    <phoneticPr fontId="2" type="noConversion"/>
  </si>
  <si>
    <t>CPN</t>
    <phoneticPr fontId="2" type="noConversion"/>
  </si>
  <si>
    <t>FACE</t>
    <phoneticPr fontId="2" type="noConversion"/>
  </si>
  <si>
    <t>FWD</t>
    <phoneticPr fontId="2" type="noConversion"/>
  </si>
  <si>
    <t>DF</t>
    <phoneticPr fontId="2" type="noConversion"/>
  </si>
  <si>
    <t>all</t>
    <phoneticPr fontId="2" type="noConversion"/>
  </si>
  <si>
    <t>基础</t>
    <phoneticPr fontId="2" type="noConversion"/>
  </si>
  <si>
    <t>上升</t>
    <phoneticPr fontId="2" type="noConversion"/>
  </si>
  <si>
    <t>year</t>
    <phoneticPr fontId="2" type="noConversion"/>
  </si>
  <si>
    <t>提前还本型债券</t>
    <phoneticPr fontId="2" type="noConversion"/>
  </si>
  <si>
    <t>17启东城投债</t>
    <phoneticPr fontId="2" type="noConversion"/>
  </si>
  <si>
    <t>17丹投绿色债</t>
    <phoneticPr fontId="2" type="noConversion"/>
  </si>
  <si>
    <t>基础价格</t>
    <phoneticPr fontId="2" type="noConversion"/>
  </si>
  <si>
    <t>利率上升价格</t>
    <phoneticPr fontId="2" type="noConversion"/>
  </si>
  <si>
    <t>spread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</si>
</sst>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 * #,##0.00_ ;_ * \-#,##0.00_ ;_ * &quot;-&quot;??_ ;_ @_ "/>
    <numFmt numFmtId="176" formatCode="#,##0.000"/>
    <numFmt numFmtId="177" formatCode="yyyy/mm/dd"/>
    <numFmt numFmtId="178" formatCode="0.0000000000000%"/>
    <numFmt numFmtId="179" formatCode="_(* #,##0.00_);_(* \(#,##0.00\);_(* &quot;-&quot;??_);_(@_)"/>
    <numFmt numFmtId="180" formatCode="_(* #,##0.0000000_);_(* \(#,##0.0000000\);_(* &quot;-&quot;??_);_(@_)"/>
    <numFmt numFmtId="181" formatCode="0.000000000000%"/>
    <numFmt numFmtId="182" formatCode="0.0000000000%"/>
    <numFmt numFmtId="183" formatCode="0.000"/>
    <numFmt numFmtId="184" formatCode="0.0000%"/>
    <numFmt numFmtId="185" formatCode="##0.00#############;\-##0.00#############"/>
    <numFmt numFmtId="188" formatCode="0.0000_);[Red]\(0.0000\)"/>
  </numFmts>
  <fonts count="2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宋体"/>
      <family val="2"/>
      <scheme val="minor"/>
    </font>
    <font>
      <sz val="10"/>
      <name val="宋体"/>
      <family val="2"/>
      <scheme val="minor"/>
    </font>
    <font>
      <b/>
      <sz val="12"/>
      <color theme="3" tint="0.39997558519241921"/>
      <name val="宋体"/>
      <family val="3"/>
      <charset val="134"/>
      <scheme val="minor"/>
    </font>
    <font>
      <b/>
      <sz val="12"/>
      <color theme="9" tint="-0.249977111117893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10"/>
      <color indexed="9"/>
      <name val="Arial"/>
      <family val="2"/>
    </font>
    <font>
      <sz val="12"/>
      <name val="宋体"/>
      <family val="3"/>
      <charset val="134"/>
    </font>
    <font>
      <b/>
      <sz val="10"/>
      <color indexed="8"/>
      <name val="宋体"/>
      <family val="3"/>
      <charset val="134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宋体"/>
      <family val="3"/>
      <charset val="134"/>
      <scheme val="minor"/>
    </font>
    <font>
      <sz val="10"/>
      <color indexed="64"/>
      <name val="宋体"/>
      <family val="3"/>
      <charset val="134"/>
    </font>
    <font>
      <sz val="9.6"/>
      <color indexed="64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</fills>
  <borders count="37">
    <border>
      <left/>
      <right/>
      <top/>
      <bottom/>
      <diagonal/>
    </border>
    <border>
      <left style="double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3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179" fontId="11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0" fillId="0" borderId="0"/>
  </cellStyleXfs>
  <cellXfs count="176">
    <xf numFmtId="0" fontId="0" fillId="0" borderId="0" xfId="0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0" fontId="6" fillId="0" borderId="6" xfId="0" applyFont="1" applyBorder="1" applyAlignment="1" applyProtection="1">
      <alignment vertic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5" fillId="3" borderId="5" xfId="0" applyFont="1" applyFill="1" applyBorder="1" applyAlignment="1" applyProtection="1">
      <alignment horizontal="center" vertical="center" wrapText="1"/>
    </xf>
    <xf numFmtId="0" fontId="5" fillId="3" borderId="8" xfId="0" applyFont="1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vertical="center"/>
    </xf>
    <xf numFmtId="0" fontId="5" fillId="3" borderId="9" xfId="0" applyFont="1" applyFill="1" applyBorder="1" applyAlignment="1" applyProtection="1">
      <alignment horizontal="justify"/>
    </xf>
    <xf numFmtId="0" fontId="0" fillId="4" borderId="0" xfId="0" applyFill="1">
      <alignment vertical="center"/>
    </xf>
    <xf numFmtId="43" fontId="0" fillId="4" borderId="0" xfId="1" applyFont="1" applyFill="1">
      <alignment vertical="center"/>
    </xf>
    <xf numFmtId="0" fontId="0" fillId="0" borderId="0" xfId="0" applyFill="1">
      <alignment vertical="center"/>
    </xf>
    <xf numFmtId="14" fontId="0" fillId="0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 applyAlignment="1">
      <alignment horizontal="right" vertical="center"/>
    </xf>
    <xf numFmtId="4" fontId="0" fillId="5" borderId="0" xfId="0" applyNumberFormat="1" applyFill="1" applyAlignment="1">
      <alignment horizontal="right" vertical="center"/>
    </xf>
    <xf numFmtId="177" fontId="0" fillId="5" borderId="0" xfId="0" applyNumberFormat="1" applyFill="1" applyAlignment="1">
      <alignment horizontal="right" vertical="center"/>
    </xf>
    <xf numFmtId="10" fontId="6" fillId="6" borderId="4" xfId="0" applyNumberFormat="1" applyFont="1" applyFill="1" applyBorder="1" applyAlignment="1" applyProtection="1">
      <alignment horizontal="right"/>
    </xf>
    <xf numFmtId="10" fontId="6" fillId="6" borderId="0" xfId="0" applyNumberFormat="1" applyFont="1" applyFill="1" applyBorder="1" applyAlignment="1" applyProtection="1">
      <alignment horizontal="right"/>
    </xf>
    <xf numFmtId="14" fontId="0" fillId="6" borderId="0" xfId="0" applyNumberFormat="1" applyFill="1">
      <alignment vertical="center"/>
    </xf>
    <xf numFmtId="0" fontId="9" fillId="0" borderId="0" xfId="0" applyFont="1" applyFill="1">
      <alignment vertical="center"/>
    </xf>
    <xf numFmtId="0" fontId="0" fillId="0" borderId="10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2" fontId="0" fillId="0" borderId="0" xfId="0" applyNumberFormat="1">
      <alignment vertical="center"/>
    </xf>
    <xf numFmtId="49" fontId="3" fillId="4" borderId="1" xfId="0" applyNumberFormat="1" applyFont="1" applyFill="1" applyBorder="1" applyAlignment="1">
      <alignment horizontal="left" vertical="top"/>
    </xf>
    <xf numFmtId="178" fontId="0" fillId="0" borderId="0" xfId="0" applyNumberFormat="1">
      <alignment vertical="center"/>
    </xf>
    <xf numFmtId="0" fontId="12" fillId="0" borderId="0" xfId="3" applyNumberFormat="1" applyFont="1" applyFill="1" applyBorder="1" applyAlignment="1"/>
    <xf numFmtId="0" fontId="11" fillId="0" borderId="0" xfId="3" applyNumberFormat="1" applyFont="1" applyFill="1" applyBorder="1" applyAlignment="1"/>
    <xf numFmtId="0" fontId="11" fillId="0" borderId="0" xfId="3" applyAlignment="1"/>
    <xf numFmtId="0" fontId="11" fillId="0" borderId="6" xfId="3" applyNumberFormat="1" applyFont="1" applyFill="1" applyBorder="1" applyAlignment="1"/>
    <xf numFmtId="0" fontId="13" fillId="0" borderId="3" xfId="3" applyNumberFormat="1" applyFont="1" applyFill="1" applyBorder="1" applyAlignment="1">
      <alignment horizontal="centerContinuous"/>
    </xf>
    <xf numFmtId="0" fontId="11" fillId="0" borderId="18" xfId="3" applyNumberFormat="1" applyFont="1" applyFill="1" applyBorder="1" applyAlignment="1">
      <alignment horizontal="centerContinuous"/>
    </xf>
    <xf numFmtId="0" fontId="11" fillId="0" borderId="19" xfId="3" applyNumberFormat="1" applyFont="1" applyFill="1" applyBorder="1" applyAlignment="1">
      <alignment horizontal="centerContinuous"/>
    </xf>
    <xf numFmtId="0" fontId="13" fillId="0" borderId="18" xfId="3" applyNumberFormat="1" applyFont="1" applyFill="1" applyBorder="1" applyAlignment="1">
      <alignment horizontal="centerContinuous"/>
    </xf>
    <xf numFmtId="0" fontId="13" fillId="0" borderId="19" xfId="3" applyNumberFormat="1" applyFont="1" applyFill="1" applyBorder="1" applyAlignment="1">
      <alignment horizontal="centerContinuous"/>
    </xf>
    <xf numFmtId="0" fontId="11" fillId="0" borderId="20" xfId="3" applyNumberFormat="1" applyFont="1" applyFill="1" applyBorder="1" applyAlignment="1"/>
    <xf numFmtId="0" fontId="14" fillId="7" borderId="21" xfId="4" applyFont="1" applyFill="1" applyBorder="1" applyAlignment="1">
      <alignment horizontal="center" vertical="center"/>
    </xf>
    <xf numFmtId="0" fontId="14" fillId="7" borderId="22" xfId="4" applyFont="1" applyFill="1" applyBorder="1" applyAlignment="1">
      <alignment horizontal="center" vertical="center"/>
    </xf>
    <xf numFmtId="0" fontId="14" fillId="7" borderId="23" xfId="4" applyFont="1" applyFill="1" applyBorder="1" applyAlignment="1">
      <alignment horizontal="center" vertical="center"/>
    </xf>
    <xf numFmtId="0" fontId="14" fillId="7" borderId="24" xfId="4" applyFont="1" applyFill="1" applyBorder="1" applyAlignment="1">
      <alignment horizontal="center" vertical="center"/>
    </xf>
    <xf numFmtId="0" fontId="11" fillId="0" borderId="25" xfId="3" applyNumberFormat="1" applyFont="1" applyFill="1" applyBorder="1" applyAlignment="1"/>
    <xf numFmtId="0" fontId="11" fillId="8" borderId="6" xfId="4" applyFill="1" applyBorder="1" applyAlignment="1"/>
    <xf numFmtId="0" fontId="11" fillId="8" borderId="26" xfId="4" applyFill="1" applyBorder="1" applyAlignment="1"/>
    <xf numFmtId="0" fontId="11" fillId="8" borderId="27" xfId="4" applyFill="1" applyBorder="1" applyAlignment="1"/>
    <xf numFmtId="180" fontId="0" fillId="0" borderId="0" xfId="5" applyNumberFormat="1" applyFont="1" applyBorder="1" applyAlignment="1"/>
    <xf numFmtId="180" fontId="0" fillId="0" borderId="28" xfId="5" applyNumberFormat="1" applyFont="1" applyBorder="1" applyAlignment="1"/>
    <xf numFmtId="0" fontId="11" fillId="8" borderId="25" xfId="4" applyFill="1" applyBorder="1" applyAlignment="1"/>
    <xf numFmtId="0" fontId="11" fillId="8" borderId="0" xfId="4" applyFill="1" applyBorder="1" applyAlignment="1"/>
    <xf numFmtId="0" fontId="11" fillId="8" borderId="28" xfId="4" applyFill="1" applyBorder="1" applyAlignment="1"/>
    <xf numFmtId="0" fontId="11" fillId="8" borderId="20" xfId="4" applyFill="1" applyBorder="1" applyAlignment="1"/>
    <xf numFmtId="0" fontId="11" fillId="8" borderId="29" xfId="4" applyFill="1" applyBorder="1" applyAlignment="1"/>
    <xf numFmtId="0" fontId="11" fillId="8" borderId="30" xfId="4" applyFill="1" applyBorder="1" applyAlignment="1"/>
    <xf numFmtId="180" fontId="0" fillId="0" borderId="29" xfId="5" applyNumberFormat="1" applyFont="1" applyBorder="1" applyAlignment="1"/>
    <xf numFmtId="180" fontId="0" fillId="0" borderId="30" xfId="5" applyNumberFormat="1" applyFont="1" applyBorder="1" applyAlignment="1"/>
    <xf numFmtId="0" fontId="11" fillId="0" borderId="0" xfId="3" applyNumberFormat="1" applyFont="1" applyFill="1" applyBorder="1" applyAlignment="1">
      <alignment horizontal="right"/>
    </xf>
    <xf numFmtId="0" fontId="11" fillId="0" borderId="6" xfId="3" applyNumberFormat="1" applyFont="1" applyFill="1" applyBorder="1" applyAlignment="1">
      <alignment horizontal="right"/>
    </xf>
    <xf numFmtId="0" fontId="11" fillId="9" borderId="31" xfId="3" applyNumberFormat="1" applyFont="1" applyFill="1" applyBorder="1" applyAlignment="1">
      <alignment horizontal="right"/>
    </xf>
    <xf numFmtId="0" fontId="11" fillId="0" borderId="31" xfId="3" applyNumberFormat="1" applyFont="1" applyFill="1" applyBorder="1" applyAlignment="1"/>
    <xf numFmtId="0" fontId="11" fillId="0" borderId="6" xfId="3" applyNumberFormat="1" applyFont="1" applyFill="1" applyBorder="1" applyAlignment="1">
      <alignment horizontal="centerContinuous"/>
    </xf>
    <xf numFmtId="0" fontId="11" fillId="0" borderId="26" xfId="3" applyNumberFormat="1" applyFont="1" applyFill="1" applyBorder="1" applyAlignment="1">
      <alignment horizontal="centerContinuous"/>
    </xf>
    <xf numFmtId="0" fontId="11" fillId="0" borderId="27" xfId="3" applyNumberFormat="1" applyFont="1" applyFill="1" applyBorder="1" applyAlignment="1">
      <alignment horizontal="centerContinuous"/>
    </xf>
    <xf numFmtId="0" fontId="11" fillId="9" borderId="26" xfId="3" applyNumberFormat="1" applyFill="1" applyBorder="1" applyAlignment="1">
      <alignment horizontal="centerContinuous"/>
    </xf>
    <xf numFmtId="0" fontId="11" fillId="9" borderId="26" xfId="3" applyNumberFormat="1" applyFont="1" applyFill="1" applyBorder="1" applyAlignment="1">
      <alignment horizontal="centerContinuous"/>
    </xf>
    <xf numFmtId="0" fontId="11" fillId="9" borderId="27" xfId="3" applyNumberFormat="1" applyFont="1" applyFill="1" applyBorder="1" applyAlignment="1">
      <alignment horizontal="centerContinuous"/>
    </xf>
    <xf numFmtId="0" fontId="11" fillId="0" borderId="20" xfId="3" applyNumberFormat="1" applyFont="1" applyFill="1" applyBorder="1" applyAlignment="1">
      <alignment horizontal="right"/>
    </xf>
    <xf numFmtId="0" fontId="11" fillId="9" borderId="32" xfId="3" applyNumberFormat="1" applyFont="1" applyFill="1" applyBorder="1" applyAlignment="1">
      <alignment horizontal="right"/>
    </xf>
    <xf numFmtId="0" fontId="11" fillId="0" borderId="32" xfId="3" applyNumberFormat="1" applyFont="1" applyFill="1" applyBorder="1" applyAlignment="1">
      <alignment horizontal="right"/>
    </xf>
    <xf numFmtId="0" fontId="11" fillId="0" borderId="29" xfId="3" applyNumberFormat="1" applyFont="1" applyFill="1" applyBorder="1" applyAlignment="1">
      <alignment horizontal="right"/>
    </xf>
    <xf numFmtId="0" fontId="11" fillId="0" borderId="30" xfId="3" applyNumberFormat="1" applyFont="1" applyFill="1" applyBorder="1" applyAlignment="1">
      <alignment horizontal="right"/>
    </xf>
    <xf numFmtId="0" fontId="11" fillId="9" borderId="29" xfId="3" applyNumberFormat="1" applyFill="1" applyBorder="1" applyAlignment="1">
      <alignment horizontal="right"/>
    </xf>
    <xf numFmtId="0" fontId="11" fillId="9" borderId="30" xfId="3" applyNumberFormat="1" applyFill="1" applyBorder="1" applyAlignment="1">
      <alignment horizontal="right"/>
    </xf>
    <xf numFmtId="0" fontId="11" fillId="0" borderId="0" xfId="3" applyFont="1" applyAlignment="1"/>
    <xf numFmtId="10" fontId="0" fillId="0" borderId="25" xfId="6" applyNumberFormat="1" applyFont="1" applyFill="1" applyBorder="1" applyAlignment="1">
      <alignment horizontal="right"/>
    </xf>
    <xf numFmtId="10" fontId="11" fillId="9" borderId="33" xfId="3" applyNumberFormat="1" applyFont="1" applyFill="1" applyBorder="1" applyAlignment="1">
      <alignment horizontal="right"/>
    </xf>
    <xf numFmtId="10" fontId="0" fillId="0" borderId="33" xfId="6" applyNumberFormat="1" applyFont="1" applyFill="1" applyBorder="1" applyAlignment="1">
      <alignment horizontal="right"/>
    </xf>
    <xf numFmtId="10" fontId="0" fillId="0" borderId="0" xfId="6" applyNumberFormat="1" applyFont="1" applyFill="1" applyBorder="1" applyAlignment="1">
      <alignment horizontal="right"/>
    </xf>
    <xf numFmtId="10" fontId="0" fillId="0" borderId="28" xfId="6" applyNumberFormat="1" applyFont="1" applyFill="1" applyBorder="1" applyAlignment="1">
      <alignment horizontal="right"/>
    </xf>
    <xf numFmtId="10" fontId="0" fillId="9" borderId="0" xfId="6" applyNumberFormat="1" applyFont="1" applyFill="1" applyBorder="1" applyAlignment="1">
      <alignment horizontal="right"/>
    </xf>
    <xf numFmtId="10" fontId="0" fillId="9" borderId="28" xfId="6" applyNumberFormat="1" applyFont="1" applyFill="1" applyBorder="1" applyAlignment="1">
      <alignment horizontal="right"/>
    </xf>
    <xf numFmtId="10" fontId="0" fillId="9" borderId="33" xfId="6" applyNumberFormat="1" applyFont="1" applyFill="1" applyBorder="1" applyAlignment="1">
      <alignment horizontal="right"/>
    </xf>
    <xf numFmtId="10" fontId="0" fillId="0" borderId="0" xfId="6" applyNumberFormat="1" applyFont="1" applyFill="1" applyBorder="1" applyAlignment="1"/>
    <xf numFmtId="10" fontId="11" fillId="0" borderId="0" xfId="3" applyNumberFormat="1" applyAlignment="1"/>
    <xf numFmtId="9" fontId="11" fillId="0" borderId="0" xfId="3" applyNumberFormat="1" applyAlignment="1"/>
    <xf numFmtId="10" fontId="0" fillId="0" borderId="0" xfId="6" applyNumberFormat="1" applyFont="1" applyAlignment="1"/>
    <xf numFmtId="0" fontId="11" fillId="0" borderId="0" xfId="3" applyNumberFormat="1" applyAlignment="1"/>
    <xf numFmtId="0" fontId="11" fillId="0" borderId="25" xfId="3" applyNumberFormat="1" applyFill="1" applyBorder="1" applyAlignment="1">
      <alignment horizontal="right"/>
    </xf>
    <xf numFmtId="0" fontId="11" fillId="0" borderId="20" xfId="3" applyNumberFormat="1" applyFill="1" applyBorder="1" applyAlignment="1">
      <alignment horizontal="right"/>
    </xf>
    <xf numFmtId="10" fontId="0" fillId="0" borderId="20" xfId="6" applyNumberFormat="1" applyFont="1" applyFill="1" applyBorder="1" applyAlignment="1">
      <alignment horizontal="right"/>
    </xf>
    <xf numFmtId="10" fontId="0" fillId="9" borderId="32" xfId="6" applyNumberFormat="1" applyFont="1" applyFill="1" applyBorder="1" applyAlignment="1">
      <alignment horizontal="right"/>
    </xf>
    <xf numFmtId="10" fontId="0" fillId="0" borderId="32" xfId="6" applyNumberFormat="1" applyFont="1" applyFill="1" applyBorder="1" applyAlignment="1">
      <alignment horizontal="right"/>
    </xf>
    <xf numFmtId="10" fontId="0" fillId="0" borderId="29" xfId="6" applyNumberFormat="1" applyFont="1" applyFill="1" applyBorder="1" applyAlignment="1">
      <alignment horizontal="right"/>
    </xf>
    <xf numFmtId="10" fontId="0" fillId="0" borderId="30" xfId="6" applyNumberFormat="1" applyFont="1" applyFill="1" applyBorder="1" applyAlignment="1">
      <alignment horizontal="right"/>
    </xf>
    <xf numFmtId="10" fontId="0" fillId="9" borderId="29" xfId="6" applyNumberFormat="1" applyFont="1" applyFill="1" applyBorder="1" applyAlignment="1">
      <alignment horizontal="right"/>
    </xf>
    <xf numFmtId="10" fontId="0" fillId="9" borderId="30" xfId="6" applyNumberFormat="1" applyFont="1" applyFill="1" applyBorder="1" applyAlignment="1">
      <alignment horizontal="right"/>
    </xf>
    <xf numFmtId="0" fontId="11" fillId="0" borderId="3" xfId="3" applyNumberFormat="1" applyFont="1" applyFill="1" applyBorder="1" applyAlignment="1">
      <alignment horizontal="centerContinuous"/>
    </xf>
    <xf numFmtId="0" fontId="11" fillId="9" borderId="3" xfId="3" applyNumberFormat="1" applyFont="1" applyFill="1" applyBorder="1" applyAlignment="1">
      <alignment horizontal="centerContinuous"/>
    </xf>
    <xf numFmtId="0" fontId="11" fillId="9" borderId="18" xfId="3" applyNumberFormat="1" applyFont="1" applyFill="1" applyBorder="1" applyAlignment="1">
      <alignment horizontal="centerContinuous"/>
    </xf>
    <xf numFmtId="0" fontId="11" fillId="9" borderId="20" xfId="3" applyNumberFormat="1" applyFont="1" applyFill="1" applyBorder="1" applyAlignment="1">
      <alignment horizontal="right"/>
    </xf>
    <xf numFmtId="10" fontId="11" fillId="0" borderId="0" xfId="3" applyNumberFormat="1" applyBorder="1" applyAlignment="1"/>
    <xf numFmtId="0" fontId="11" fillId="0" borderId="0" xfId="3" applyBorder="1" applyAlignment="1"/>
    <xf numFmtId="0" fontId="16" fillId="0" borderId="0" xfId="3" applyFont="1" applyAlignment="1">
      <alignment horizontal="left"/>
    </xf>
    <xf numFmtId="0" fontId="13" fillId="0" borderId="0" xfId="3" applyFont="1" applyAlignment="1"/>
    <xf numFmtId="0" fontId="17" fillId="0" borderId="0" xfId="3" applyNumberFormat="1" applyFont="1" applyFill="1" applyBorder="1" applyAlignment="1"/>
    <xf numFmtId="0" fontId="13" fillId="10" borderId="0" xfId="3" applyFont="1" applyFill="1" applyAlignment="1"/>
    <xf numFmtId="0" fontId="16" fillId="0" borderId="0" xfId="3" applyFont="1" applyAlignment="1"/>
    <xf numFmtId="10" fontId="13" fillId="10" borderId="0" xfId="3" applyNumberFormat="1" applyFont="1" applyFill="1" applyAlignment="1"/>
    <xf numFmtId="0" fontId="17" fillId="0" borderId="0" xfId="3" applyNumberFormat="1" applyFont="1" applyFill="1" applyBorder="1" applyAlignment="1">
      <alignment horizontal="center"/>
    </xf>
    <xf numFmtId="9" fontId="17" fillId="10" borderId="0" xfId="3" applyNumberFormat="1" applyFont="1" applyFill="1" applyBorder="1" applyAlignment="1"/>
    <xf numFmtId="0" fontId="18" fillId="0" borderId="0" xfId="3" applyNumberFormat="1" applyFont="1" applyFill="1" applyBorder="1" applyAlignment="1"/>
    <xf numFmtId="0" fontId="18" fillId="0" borderId="7" xfId="3" applyFont="1" applyFill="1" applyBorder="1" applyAlignment="1">
      <alignment horizontal="center"/>
    </xf>
    <xf numFmtId="10" fontId="18" fillId="0" borderId="7" xfId="3" applyNumberFormat="1" applyFont="1" applyFill="1" applyBorder="1" applyAlignment="1">
      <alignment horizontal="center"/>
    </xf>
    <xf numFmtId="0" fontId="18" fillId="0" borderId="33" xfId="3" applyFont="1" applyFill="1" applyBorder="1" applyAlignment="1">
      <alignment horizontal="center"/>
    </xf>
    <xf numFmtId="9" fontId="17" fillId="10" borderId="33" xfId="6" applyFont="1" applyFill="1" applyBorder="1" applyAlignment="1">
      <alignment horizontal="center"/>
    </xf>
    <xf numFmtId="9" fontId="17" fillId="0" borderId="33" xfId="6" applyFont="1" applyFill="1" applyBorder="1" applyAlignment="1">
      <alignment horizontal="center"/>
    </xf>
    <xf numFmtId="9" fontId="17" fillId="0" borderId="0" xfId="3" applyNumberFormat="1" applyFont="1" applyFill="1" applyBorder="1" applyAlignment="1"/>
    <xf numFmtId="0" fontId="17" fillId="0" borderId="33" xfId="3" applyFont="1" applyFill="1" applyBorder="1" applyAlignment="1">
      <alignment horizontal="center"/>
    </xf>
    <xf numFmtId="0" fontId="17" fillId="0" borderId="32" xfId="3" applyFont="1" applyFill="1" applyBorder="1" applyAlignment="1">
      <alignment horizontal="center"/>
    </xf>
    <xf numFmtId="9" fontId="17" fillId="10" borderId="32" xfId="6" applyFont="1" applyFill="1" applyBorder="1" applyAlignment="1">
      <alignment horizontal="center"/>
    </xf>
    <xf numFmtId="9" fontId="17" fillId="0" borderId="32" xfId="6" applyFont="1" applyFill="1" applyBorder="1" applyAlignment="1">
      <alignment horizontal="center"/>
    </xf>
    <xf numFmtId="0" fontId="17" fillId="0" borderId="31" xfId="3" applyFont="1" applyFill="1" applyBorder="1" applyAlignment="1">
      <alignment horizontal="center"/>
    </xf>
    <xf numFmtId="9" fontId="17" fillId="10" borderId="31" xfId="6" applyFont="1" applyFill="1" applyBorder="1" applyAlignment="1">
      <alignment horizontal="center"/>
    </xf>
    <xf numFmtId="9" fontId="17" fillId="0" borderId="31" xfId="6" applyFont="1" applyFill="1" applyBorder="1" applyAlignment="1">
      <alignment horizontal="center"/>
    </xf>
    <xf numFmtId="9" fontId="17" fillId="0" borderId="0" xfId="3" applyNumberFormat="1" applyFont="1" applyFill="1" applyBorder="1" applyAlignment="1">
      <alignment horizontal="center"/>
    </xf>
    <xf numFmtId="182" fontId="11" fillId="0" borderId="0" xfId="3" applyNumberFormat="1" applyFont="1" applyFill="1" applyBorder="1" applyAlignment="1"/>
    <xf numFmtId="182" fontId="0" fillId="0" borderId="0" xfId="6" applyNumberFormat="1" applyFont="1" applyFill="1" applyBorder="1" applyAlignment="1"/>
    <xf numFmtId="182" fontId="0" fillId="0" borderId="0" xfId="6" applyNumberFormat="1" applyFont="1" applyFill="1" applyBorder="1" applyAlignment="1">
      <alignment horizontal="right"/>
    </xf>
    <xf numFmtId="183" fontId="0" fillId="5" borderId="0" xfId="0" applyNumberFormat="1" applyFill="1">
      <alignment vertical="center"/>
    </xf>
    <xf numFmtId="2" fontId="0" fillId="4" borderId="0" xfId="0" applyNumberFormat="1" applyFill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horizontal="center" vertical="center"/>
    </xf>
    <xf numFmtId="2" fontId="0" fillId="11" borderId="0" xfId="0" applyNumberFormat="1" applyFill="1">
      <alignment vertical="center"/>
    </xf>
    <xf numFmtId="181" fontId="0" fillId="0" borderId="0" xfId="0" applyNumberFormat="1">
      <alignment vertical="center"/>
    </xf>
    <xf numFmtId="183" fontId="0" fillId="0" borderId="13" xfId="0" applyNumberFormat="1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183" fontId="0" fillId="0" borderId="15" xfId="0" applyNumberFormat="1" applyBorder="1">
      <alignment vertical="center"/>
    </xf>
    <xf numFmtId="0" fontId="0" fillId="0" borderId="16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0" fontId="0" fillId="0" borderId="0" xfId="0" applyNumberFormat="1" applyBorder="1">
      <alignment vertical="center"/>
    </xf>
    <xf numFmtId="184" fontId="0" fillId="0" borderId="14" xfId="0" applyNumberFormat="1" applyBorder="1">
      <alignment vertical="center"/>
    </xf>
    <xf numFmtId="10" fontId="0" fillId="0" borderId="16" xfId="0" applyNumberFormat="1" applyBorder="1">
      <alignment vertical="center"/>
    </xf>
    <xf numFmtId="184" fontId="0" fillId="0" borderId="17" xfId="0" applyNumberFormat="1" applyBorder="1">
      <alignment vertical="center"/>
    </xf>
    <xf numFmtId="183" fontId="0" fillId="0" borderId="10" xfId="0" applyNumberFormat="1" applyBorder="1">
      <alignment vertical="center"/>
    </xf>
    <xf numFmtId="10" fontId="0" fillId="0" borderId="11" xfId="0" applyNumberFormat="1" applyBorder="1">
      <alignment vertical="center"/>
    </xf>
    <xf numFmtId="184" fontId="0" fillId="0" borderId="12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4" fontId="0" fillId="0" borderId="0" xfId="0" applyNumberFormat="1" applyBorder="1">
      <alignment vertical="center"/>
    </xf>
    <xf numFmtId="0" fontId="0" fillId="13" borderId="0" xfId="0" applyFill="1" applyBorder="1" applyAlignment="1">
      <alignment horizontal="center" vertical="center"/>
    </xf>
    <xf numFmtId="10" fontId="0" fillId="0" borderId="0" xfId="2" applyNumberFormat="1" applyFont="1" applyBorder="1">
      <alignment vertical="center"/>
    </xf>
    <xf numFmtId="10" fontId="0" fillId="0" borderId="11" xfId="2" applyNumberFormat="1" applyFont="1" applyBorder="1">
      <alignment vertical="center"/>
    </xf>
    <xf numFmtId="181" fontId="0" fillId="0" borderId="0" xfId="0" applyNumberFormat="1" applyBorder="1">
      <alignment vertical="center"/>
    </xf>
    <xf numFmtId="0" fontId="0" fillId="0" borderId="17" xfId="0" applyBorder="1">
      <alignment vertical="center"/>
    </xf>
    <xf numFmtId="10" fontId="0" fillId="0" borderId="34" xfId="0" applyNumberFormat="1" applyBorder="1">
      <alignment vertical="center"/>
    </xf>
    <xf numFmtId="10" fontId="0" fillId="0" borderId="35" xfId="0" applyNumberFormat="1" applyBorder="1">
      <alignment vertical="center"/>
    </xf>
    <xf numFmtId="10" fontId="0" fillId="0" borderId="36" xfId="0" applyNumberFormat="1" applyBorder="1">
      <alignment vertical="center"/>
    </xf>
    <xf numFmtId="49" fontId="3" fillId="2" borderId="0" xfId="0" applyNumberFormat="1" applyFont="1" applyFill="1" applyBorder="1" applyAlignment="1">
      <alignment horizontal="center" vertical="center"/>
    </xf>
    <xf numFmtId="0" fontId="21" fillId="0" borderId="0" xfId="7" applyNumberFormat="1" applyFont="1" applyFill="1" applyBorder="1" applyAlignment="1" applyProtection="1">
      <alignment horizontal="left" vertical="center"/>
    </xf>
    <xf numFmtId="185" fontId="21" fillId="0" borderId="0" xfId="7" applyNumberFormat="1" applyFont="1" applyFill="1" applyBorder="1" applyAlignment="1" applyProtection="1">
      <alignment horizontal="right" vertical="center"/>
    </xf>
    <xf numFmtId="49" fontId="3" fillId="2" borderId="7" xfId="0" applyNumberFormat="1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19" fillId="12" borderId="12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6" fillId="0" borderId="7" xfId="0" applyFont="1" applyBorder="1" applyAlignment="1" applyProtection="1">
      <alignment horizontal="center" vertical="center"/>
    </xf>
    <xf numFmtId="188" fontId="0" fillId="5" borderId="0" xfId="0" applyNumberFormat="1" applyFill="1" applyAlignment="1">
      <alignment horizontal="right" vertical="center"/>
    </xf>
  </cellXfs>
  <cellStyles count="8">
    <cellStyle name="Normal 2" xfId="4"/>
    <cellStyle name="百分比" xfId="2" builtinId="5"/>
    <cellStyle name="百分比 2" xfId="6"/>
    <cellStyle name="常规" xfId="0" builtinId="0"/>
    <cellStyle name="常规 2" xfId="3"/>
    <cellStyle name="常规 3" xfId="7"/>
    <cellStyle name="千位分隔" xfId="1" builtinId="3"/>
    <cellStyle name="千位分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9525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运行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445;&#30417;&#21457;10&#21495;&#38468;&#20214;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信息"/>
      <sheetName val="数据下载截屏"/>
      <sheetName val="中债登下载数据"/>
      <sheetName val="基础情景"/>
      <sheetName val="不利情景"/>
      <sheetName val="参数假设"/>
    </sheetNames>
    <sheetDataSet>
      <sheetData sheetId="0"/>
      <sheetData sheetId="1"/>
      <sheetData sheetId="2">
        <row r="4">
          <cell r="L4">
            <v>0</v>
          </cell>
          <cell r="M4">
            <v>2.14565508</v>
          </cell>
        </row>
        <row r="5">
          <cell r="L5">
            <v>1.369863E-2</v>
          </cell>
          <cell r="M5">
            <v>2.3060446400000001</v>
          </cell>
        </row>
        <row r="6">
          <cell r="L6">
            <v>2.739726E-2</v>
          </cell>
          <cell r="M6">
            <v>2.4873379</v>
          </cell>
        </row>
        <row r="7">
          <cell r="L7">
            <v>4.1095890000000003E-2</v>
          </cell>
          <cell r="M7">
            <v>2.6705735499999999</v>
          </cell>
        </row>
        <row r="8">
          <cell r="L8">
            <v>5.4794519999999999E-2</v>
          </cell>
          <cell r="M8">
            <v>2.8369392200000001</v>
          </cell>
        </row>
        <row r="9">
          <cell r="L9">
            <v>6.8493150000000003E-2</v>
          </cell>
          <cell r="M9">
            <v>2.9683522500000001</v>
          </cell>
        </row>
        <row r="10">
          <cell r="L10">
            <v>8.2191780000000006E-2</v>
          </cell>
          <cell r="M10">
            <v>3.04725578</v>
          </cell>
        </row>
        <row r="11">
          <cell r="L11">
            <v>9.5890409999999995E-2</v>
          </cell>
          <cell r="M11">
            <v>3.0821758300000002</v>
          </cell>
        </row>
        <row r="12">
          <cell r="L12">
            <v>0.10958904</v>
          </cell>
          <cell r="M12">
            <v>3.1031627199999998</v>
          </cell>
        </row>
        <row r="13">
          <cell r="L13">
            <v>0.12328767</v>
          </cell>
          <cell r="M13">
            <v>3.11352224</v>
          </cell>
        </row>
        <row r="14">
          <cell r="L14">
            <v>0.13698630000000001</v>
          </cell>
          <cell r="M14">
            <v>3.11641127</v>
          </cell>
        </row>
        <row r="15">
          <cell r="L15">
            <v>0.15068492999999999</v>
          </cell>
          <cell r="M15">
            <v>3.1149942500000001</v>
          </cell>
        </row>
        <row r="16">
          <cell r="L16">
            <v>0.16666700000000001</v>
          </cell>
          <cell r="M16">
            <v>3.11205635</v>
          </cell>
        </row>
        <row r="17">
          <cell r="L17">
            <v>0.17808219</v>
          </cell>
          <cell r="M17">
            <v>3.1105547699999998</v>
          </cell>
        </row>
        <row r="18">
          <cell r="L18">
            <v>0.19178081999999999</v>
          </cell>
          <cell r="M18">
            <v>3.10893855</v>
          </cell>
        </row>
        <row r="19">
          <cell r="L19">
            <v>0.20547945000000001</v>
          </cell>
          <cell r="M19">
            <v>3.1076473</v>
          </cell>
        </row>
        <row r="20">
          <cell r="L20">
            <v>0.21917808</v>
          </cell>
          <cell r="M20">
            <v>3.1067193299999998</v>
          </cell>
        </row>
        <row r="21">
          <cell r="L21">
            <v>0.23287670999999999</v>
          </cell>
          <cell r="M21">
            <v>3.1061401100000001</v>
          </cell>
        </row>
        <row r="22">
          <cell r="L22">
            <v>0.25</v>
          </cell>
          <cell r="M22">
            <v>3.1057349200000002</v>
          </cell>
        </row>
        <row r="23">
          <cell r="L23">
            <v>0.26027397000000002</v>
          </cell>
          <cell r="M23">
            <v>3.10556564</v>
          </cell>
        </row>
        <row r="24">
          <cell r="L24">
            <v>0.27397260000000001</v>
          </cell>
          <cell r="M24">
            <v>3.1052874400000001</v>
          </cell>
        </row>
        <row r="25">
          <cell r="L25">
            <v>0.28767123</v>
          </cell>
          <cell r="M25">
            <v>3.1049547300000002</v>
          </cell>
        </row>
        <row r="26">
          <cell r="L26">
            <v>0.30136985999999999</v>
          </cell>
          <cell r="M26">
            <v>3.10458474</v>
          </cell>
        </row>
        <row r="27">
          <cell r="L27">
            <v>0.31506848999999998</v>
          </cell>
          <cell r="M27">
            <v>3.1041955799999998</v>
          </cell>
        </row>
        <row r="28">
          <cell r="L28">
            <v>0.32876712000000002</v>
          </cell>
          <cell r="M28">
            <v>3.1037937100000002</v>
          </cell>
        </row>
        <row r="29">
          <cell r="L29">
            <v>0.34246575000000001</v>
          </cell>
          <cell r="M29">
            <v>3.1033729600000002</v>
          </cell>
        </row>
        <row r="30">
          <cell r="L30">
            <v>0.35616438</v>
          </cell>
          <cell r="M30">
            <v>3.10294121</v>
          </cell>
        </row>
        <row r="31">
          <cell r="L31">
            <v>0.36986300999999999</v>
          </cell>
          <cell r="M31">
            <v>3.1025018700000002</v>
          </cell>
        </row>
        <row r="32">
          <cell r="L32">
            <v>0.38356163999999998</v>
          </cell>
          <cell r="M32">
            <v>3.1020869800000002</v>
          </cell>
        </row>
        <row r="33">
          <cell r="L33">
            <v>0.39726027000000003</v>
          </cell>
          <cell r="M33">
            <v>3.1017209100000001</v>
          </cell>
        </row>
        <row r="34">
          <cell r="L34">
            <v>0.41095890000000002</v>
          </cell>
          <cell r="M34">
            <v>3.1014240700000002</v>
          </cell>
        </row>
        <row r="35">
          <cell r="L35">
            <v>0.42465753000000001</v>
          </cell>
          <cell r="M35">
            <v>3.101229</v>
          </cell>
        </row>
        <row r="36">
          <cell r="L36">
            <v>0.43835615999999999</v>
          </cell>
          <cell r="M36">
            <v>3.1011640300000001</v>
          </cell>
        </row>
        <row r="37">
          <cell r="L37">
            <v>0.45205478999999998</v>
          </cell>
          <cell r="M37">
            <v>3.1012408300000001</v>
          </cell>
        </row>
        <row r="38">
          <cell r="L38">
            <v>0.46575341999999997</v>
          </cell>
          <cell r="M38">
            <v>3.1014502300000002</v>
          </cell>
        </row>
        <row r="39">
          <cell r="L39">
            <v>0.47945205000000002</v>
          </cell>
          <cell r="M39">
            <v>3.10178456</v>
          </cell>
        </row>
        <row r="40">
          <cell r="L40">
            <v>0.5</v>
          </cell>
          <cell r="M40">
            <v>3.10258324</v>
          </cell>
        </row>
        <row r="41">
          <cell r="L41">
            <v>0.50684932000000005</v>
          </cell>
          <cell r="M41">
            <v>3.10292126</v>
          </cell>
        </row>
        <row r="42">
          <cell r="L42">
            <v>0.52054794999999998</v>
          </cell>
          <cell r="M42">
            <v>3.1036395099999998</v>
          </cell>
        </row>
        <row r="43">
          <cell r="L43">
            <v>0.53424658000000003</v>
          </cell>
          <cell r="M43">
            <v>3.1044207199999998</v>
          </cell>
        </row>
        <row r="44">
          <cell r="L44">
            <v>0.54794520999999996</v>
          </cell>
          <cell r="M44">
            <v>3.1052673099999999</v>
          </cell>
        </row>
        <row r="45">
          <cell r="L45">
            <v>0.56164384000000001</v>
          </cell>
          <cell r="M45">
            <v>3.1061612200000002</v>
          </cell>
        </row>
        <row r="46">
          <cell r="L46">
            <v>0.57534247000000005</v>
          </cell>
          <cell r="M46">
            <v>3.10709064</v>
          </cell>
        </row>
        <row r="47">
          <cell r="L47">
            <v>0.58904109999999998</v>
          </cell>
          <cell r="M47">
            <v>3.10805921</v>
          </cell>
        </row>
        <row r="48">
          <cell r="L48">
            <v>0.60273973000000003</v>
          </cell>
          <cell r="M48">
            <v>3.10907628</v>
          </cell>
        </row>
        <row r="49">
          <cell r="L49">
            <v>0.61643835999999996</v>
          </cell>
          <cell r="M49">
            <v>3.1101415800000001</v>
          </cell>
        </row>
        <row r="50">
          <cell r="L50">
            <v>0.63013699000000001</v>
          </cell>
          <cell r="M50">
            <v>3.1112476199999999</v>
          </cell>
        </row>
        <row r="51">
          <cell r="L51">
            <v>0.64383562000000005</v>
          </cell>
          <cell r="M51">
            <v>3.1123846300000002</v>
          </cell>
        </row>
        <row r="52">
          <cell r="L52">
            <v>0.65753424999999999</v>
          </cell>
          <cell r="M52">
            <v>3.1135303799999998</v>
          </cell>
        </row>
        <row r="53">
          <cell r="L53">
            <v>0.67123288000000003</v>
          </cell>
          <cell r="M53">
            <v>3.1146775500000001</v>
          </cell>
        </row>
        <row r="54">
          <cell r="L54">
            <v>0.68493150999999997</v>
          </cell>
          <cell r="M54">
            <v>3.1158333800000002</v>
          </cell>
        </row>
        <row r="55">
          <cell r="L55">
            <v>0.69863014000000001</v>
          </cell>
          <cell r="M55">
            <v>3.11700241</v>
          </cell>
        </row>
        <row r="56">
          <cell r="L56">
            <v>0.71232877000000006</v>
          </cell>
          <cell r="M56">
            <v>3.1181958700000001</v>
          </cell>
        </row>
        <row r="57">
          <cell r="L57">
            <v>0.72602739999999999</v>
          </cell>
          <cell r="M57">
            <v>3.1194297799999999</v>
          </cell>
        </row>
        <row r="58">
          <cell r="L58">
            <v>0.75</v>
          </cell>
          <cell r="M58">
            <v>3.12170155</v>
          </cell>
        </row>
        <row r="59">
          <cell r="L59">
            <v>0.75342465999999997</v>
          </cell>
          <cell r="M59">
            <v>3.1220399300000001</v>
          </cell>
        </row>
        <row r="60">
          <cell r="L60">
            <v>0.76712329000000001</v>
          </cell>
          <cell r="M60">
            <v>3.1234501099999998</v>
          </cell>
        </row>
        <row r="61">
          <cell r="L61">
            <v>0.78082191999999995</v>
          </cell>
          <cell r="M61">
            <v>3.1249668599999998</v>
          </cell>
        </row>
        <row r="62">
          <cell r="L62">
            <v>0.79452054999999999</v>
          </cell>
          <cell r="M62">
            <v>3.1266129500000002</v>
          </cell>
        </row>
        <row r="63">
          <cell r="L63">
            <v>0.80821918000000004</v>
          </cell>
          <cell r="M63">
            <v>3.1284182299999999</v>
          </cell>
        </row>
        <row r="64">
          <cell r="L64">
            <v>0.82191780999999997</v>
          </cell>
          <cell r="M64">
            <v>3.1303833999999999</v>
          </cell>
        </row>
        <row r="65">
          <cell r="L65">
            <v>0.83561644000000002</v>
          </cell>
          <cell r="M65">
            <v>3.1325099500000002</v>
          </cell>
        </row>
        <row r="66">
          <cell r="L66">
            <v>0.84931506999999995</v>
          </cell>
          <cell r="M66">
            <v>3.13481275</v>
          </cell>
        </row>
        <row r="67">
          <cell r="L67">
            <v>0.86301369999999999</v>
          </cell>
          <cell r="M67">
            <v>3.13729675</v>
          </cell>
        </row>
        <row r="68">
          <cell r="L68">
            <v>0.87671233000000004</v>
          </cell>
          <cell r="M68">
            <v>3.1399585999999999</v>
          </cell>
        </row>
        <row r="69">
          <cell r="L69">
            <v>0.89041095999999997</v>
          </cell>
          <cell r="M69">
            <v>3.1427801299999998</v>
          </cell>
        </row>
        <row r="70">
          <cell r="L70">
            <v>0.90410959000000002</v>
          </cell>
          <cell r="M70">
            <v>3.1457107299999998</v>
          </cell>
        </row>
        <row r="71">
          <cell r="L71">
            <v>0.91780821999999995</v>
          </cell>
          <cell r="M71">
            <v>3.1486912</v>
          </cell>
        </row>
        <row r="72">
          <cell r="L72">
            <v>0.93150685</v>
          </cell>
          <cell r="M72">
            <v>3.15166996</v>
          </cell>
        </row>
        <row r="73">
          <cell r="L73">
            <v>0.94520548000000004</v>
          </cell>
          <cell r="M73">
            <v>3.1546326599999999</v>
          </cell>
        </row>
        <row r="74">
          <cell r="L74">
            <v>0.95890410999999998</v>
          </cell>
          <cell r="M74">
            <v>3.1575687600000002</v>
          </cell>
        </row>
        <row r="75">
          <cell r="L75">
            <v>0.97260274000000002</v>
          </cell>
          <cell r="M75">
            <v>3.1604365699999999</v>
          </cell>
        </row>
        <row r="76">
          <cell r="L76">
            <v>0.98630136999999996</v>
          </cell>
          <cell r="M76">
            <v>3.1631814999999999</v>
          </cell>
        </row>
        <row r="77">
          <cell r="L77">
            <v>1</v>
          </cell>
          <cell r="M77">
            <v>3.16579671</v>
          </cell>
        </row>
        <row r="78">
          <cell r="L78">
            <v>1.0136986299999999</v>
          </cell>
          <cell r="M78">
            <v>3.1684235599999999</v>
          </cell>
        </row>
        <row r="79">
          <cell r="L79">
            <v>1.0273972600000001</v>
          </cell>
          <cell r="M79">
            <v>3.17112551</v>
          </cell>
        </row>
        <row r="80">
          <cell r="L80">
            <v>1.04109589</v>
          </cell>
          <cell r="M80">
            <v>3.17389857</v>
          </cell>
        </row>
        <row r="81">
          <cell r="L81">
            <v>1.05479452</v>
          </cell>
          <cell r="M81">
            <v>3.1767387899999999</v>
          </cell>
        </row>
        <row r="82">
          <cell r="L82">
            <v>1.0684931499999999</v>
          </cell>
          <cell r="M82">
            <v>3.1796421700000002</v>
          </cell>
        </row>
        <row r="83">
          <cell r="L83">
            <v>1.08219178</v>
          </cell>
          <cell r="M83">
            <v>3.1826047599999998</v>
          </cell>
        </row>
        <row r="84">
          <cell r="L84">
            <v>1.09589041</v>
          </cell>
          <cell r="M84">
            <v>3.18562258</v>
          </cell>
        </row>
        <row r="85">
          <cell r="L85">
            <v>1.1095890399999999</v>
          </cell>
          <cell r="M85">
            <v>3.18869165</v>
          </cell>
        </row>
        <row r="86">
          <cell r="L86">
            <v>1.1232876700000001</v>
          </cell>
          <cell r="M86">
            <v>3.191808</v>
          </cell>
        </row>
        <row r="87">
          <cell r="L87">
            <v>1.1369863</v>
          </cell>
          <cell r="M87">
            <v>3.1949676600000001</v>
          </cell>
        </row>
        <row r="88">
          <cell r="L88">
            <v>1.1506849299999999</v>
          </cell>
          <cell r="M88">
            <v>3.19816666</v>
          </cell>
        </row>
        <row r="89">
          <cell r="L89">
            <v>1.1643835600000001</v>
          </cell>
          <cell r="M89">
            <v>3.20140102</v>
          </cell>
        </row>
        <row r="90">
          <cell r="L90">
            <v>1.17808219</v>
          </cell>
          <cell r="M90">
            <v>3.2046667599999998</v>
          </cell>
        </row>
        <row r="91">
          <cell r="L91">
            <v>1.19178082</v>
          </cell>
          <cell r="M91">
            <v>3.2079599299999999</v>
          </cell>
        </row>
        <row r="92">
          <cell r="L92">
            <v>1.2054794499999999</v>
          </cell>
          <cell r="M92">
            <v>3.2112765300000001</v>
          </cell>
        </row>
        <row r="93">
          <cell r="L93">
            <v>1.2191780800000001</v>
          </cell>
          <cell r="M93">
            <v>3.2146126100000001</v>
          </cell>
        </row>
        <row r="94">
          <cell r="L94">
            <v>1.23287671</v>
          </cell>
          <cell r="M94">
            <v>3.2179641800000001</v>
          </cell>
        </row>
        <row r="95">
          <cell r="L95">
            <v>1.2465753399999999</v>
          </cell>
          <cell r="M95">
            <v>3.2213272800000001</v>
          </cell>
        </row>
        <row r="96">
          <cell r="L96">
            <v>1.2602739700000001</v>
          </cell>
          <cell r="M96">
            <v>3.22469793</v>
          </cell>
        </row>
        <row r="97">
          <cell r="L97">
            <v>1.2739726</v>
          </cell>
          <cell r="M97">
            <v>3.22807215</v>
          </cell>
        </row>
        <row r="98">
          <cell r="L98">
            <v>1.2876712299999999</v>
          </cell>
          <cell r="M98">
            <v>3.2314459800000002</v>
          </cell>
        </row>
        <row r="99">
          <cell r="L99">
            <v>1.3013698600000001</v>
          </cell>
          <cell r="M99">
            <v>3.2348154400000002</v>
          </cell>
        </row>
        <row r="100">
          <cell r="L100">
            <v>1.31506849</v>
          </cell>
          <cell r="M100">
            <v>3.2381765599999999</v>
          </cell>
        </row>
        <row r="101">
          <cell r="L101">
            <v>1.32876712</v>
          </cell>
          <cell r="M101">
            <v>3.2415253599999998</v>
          </cell>
        </row>
        <row r="102">
          <cell r="L102">
            <v>1.3424657499999999</v>
          </cell>
          <cell r="M102">
            <v>3.2448578800000001</v>
          </cell>
        </row>
        <row r="103">
          <cell r="L103">
            <v>1.3561643800000001</v>
          </cell>
          <cell r="M103">
            <v>3.24817014</v>
          </cell>
        </row>
        <row r="104">
          <cell r="L104">
            <v>1.36986301</v>
          </cell>
          <cell r="M104">
            <v>3.2514581599999999</v>
          </cell>
        </row>
        <row r="105">
          <cell r="L105">
            <v>1.3835616399999999</v>
          </cell>
          <cell r="M105">
            <v>3.2547179700000002</v>
          </cell>
        </row>
        <row r="106">
          <cell r="L106">
            <v>1.3972602700000001</v>
          </cell>
          <cell r="M106">
            <v>3.2579456000000002</v>
          </cell>
        </row>
        <row r="107">
          <cell r="L107">
            <v>1.4109589</v>
          </cell>
          <cell r="M107">
            <v>3.2611370800000001</v>
          </cell>
        </row>
        <row r="108">
          <cell r="L108">
            <v>1.4246575299999999</v>
          </cell>
          <cell r="M108">
            <v>3.2642884300000001</v>
          </cell>
        </row>
        <row r="109">
          <cell r="L109">
            <v>1.4383561600000001</v>
          </cell>
          <cell r="M109">
            <v>3.2673956899999999</v>
          </cell>
        </row>
        <row r="110">
          <cell r="L110">
            <v>1.45205479</v>
          </cell>
          <cell r="M110">
            <v>3.27045487</v>
          </cell>
        </row>
        <row r="111">
          <cell r="L111">
            <v>1.46575342</v>
          </cell>
          <cell r="M111">
            <v>3.2734619999999999</v>
          </cell>
        </row>
        <row r="112">
          <cell r="L112">
            <v>1.4794520499999999</v>
          </cell>
          <cell r="M112">
            <v>3.27641312</v>
          </cell>
        </row>
        <row r="113">
          <cell r="L113">
            <v>1.4931506800000001</v>
          </cell>
          <cell r="M113">
            <v>3.2793042400000001</v>
          </cell>
        </row>
        <row r="114">
          <cell r="L114">
            <v>1.5068493199999999</v>
          </cell>
          <cell r="M114">
            <v>3.2821289899999999</v>
          </cell>
        </row>
        <row r="115">
          <cell r="L115">
            <v>1.5205479500000001</v>
          </cell>
          <cell r="M115">
            <v>3.2848714299999999</v>
          </cell>
        </row>
        <row r="116">
          <cell r="L116">
            <v>1.53424658</v>
          </cell>
          <cell r="M116">
            <v>3.2875316200000002</v>
          </cell>
        </row>
        <row r="117">
          <cell r="L117">
            <v>1.54794521</v>
          </cell>
          <cell r="M117">
            <v>3.2901122900000002</v>
          </cell>
        </row>
        <row r="118">
          <cell r="L118">
            <v>1.5616438399999999</v>
          </cell>
          <cell r="M118">
            <v>3.2926161700000001</v>
          </cell>
        </row>
        <row r="119">
          <cell r="L119">
            <v>1.5753424700000001</v>
          </cell>
          <cell r="M119">
            <v>3.2950460000000001</v>
          </cell>
        </row>
        <row r="120">
          <cell r="L120">
            <v>1.5890411</v>
          </cell>
          <cell r="M120">
            <v>3.2974045300000001</v>
          </cell>
        </row>
        <row r="121">
          <cell r="L121">
            <v>1.6027397299999999</v>
          </cell>
          <cell r="M121">
            <v>3.2996944699999999</v>
          </cell>
        </row>
        <row r="122">
          <cell r="L122">
            <v>1.6164383600000001</v>
          </cell>
          <cell r="M122">
            <v>3.3019185800000002</v>
          </cell>
        </row>
        <row r="123">
          <cell r="L123">
            <v>1.63013699</v>
          </cell>
          <cell r="M123">
            <v>3.3040795900000002</v>
          </cell>
        </row>
        <row r="124">
          <cell r="L124">
            <v>1.6438356199999999</v>
          </cell>
          <cell r="M124">
            <v>3.3061802199999999</v>
          </cell>
        </row>
        <row r="125">
          <cell r="L125">
            <v>1.6575342500000001</v>
          </cell>
          <cell r="M125">
            <v>3.3082232299999998</v>
          </cell>
        </row>
        <row r="126">
          <cell r="L126">
            <v>1.67123288</v>
          </cell>
          <cell r="M126">
            <v>3.3102113399999999</v>
          </cell>
        </row>
        <row r="127">
          <cell r="L127">
            <v>1.68493151</v>
          </cell>
          <cell r="M127">
            <v>3.3121472999999999</v>
          </cell>
        </row>
        <row r="128">
          <cell r="L128">
            <v>1.6986301399999999</v>
          </cell>
          <cell r="M128">
            <v>3.3140338300000001</v>
          </cell>
        </row>
        <row r="129">
          <cell r="L129">
            <v>1.7123287700000001</v>
          </cell>
          <cell r="M129">
            <v>3.3158736800000002</v>
          </cell>
        </row>
        <row r="130">
          <cell r="L130">
            <v>1.7260274</v>
          </cell>
          <cell r="M130">
            <v>3.3176695700000001</v>
          </cell>
        </row>
        <row r="131">
          <cell r="L131">
            <v>1.7397260299999999</v>
          </cell>
          <cell r="M131">
            <v>3.3194242599999999</v>
          </cell>
        </row>
        <row r="132">
          <cell r="L132">
            <v>1.7534246600000001</v>
          </cell>
          <cell r="M132">
            <v>3.3211404600000001</v>
          </cell>
        </row>
        <row r="133">
          <cell r="L133">
            <v>1.76712329</v>
          </cell>
          <cell r="M133">
            <v>3.3228209299999998</v>
          </cell>
        </row>
        <row r="134">
          <cell r="L134">
            <v>1.7808219199999999</v>
          </cell>
          <cell r="M134">
            <v>3.3244683899999998</v>
          </cell>
        </row>
        <row r="135">
          <cell r="L135">
            <v>1.7945205500000001</v>
          </cell>
          <cell r="M135">
            <v>3.3260855899999999</v>
          </cell>
        </row>
        <row r="136">
          <cell r="L136">
            <v>1.80821918</v>
          </cell>
          <cell r="M136">
            <v>3.32767525</v>
          </cell>
        </row>
        <row r="137">
          <cell r="L137">
            <v>1.82191781</v>
          </cell>
          <cell r="M137">
            <v>3.3292401100000002</v>
          </cell>
        </row>
        <row r="138">
          <cell r="L138">
            <v>1.8356164399999999</v>
          </cell>
          <cell r="M138">
            <v>3.3307829199999999</v>
          </cell>
        </row>
        <row r="139">
          <cell r="L139">
            <v>1.8493150700000001</v>
          </cell>
          <cell r="M139">
            <v>3.3323063999999998</v>
          </cell>
        </row>
        <row r="140">
          <cell r="L140">
            <v>1.8630137</v>
          </cell>
          <cell r="M140">
            <v>3.3338133000000001</v>
          </cell>
        </row>
        <row r="141">
          <cell r="L141">
            <v>1.8767123299999999</v>
          </cell>
          <cell r="M141">
            <v>3.3353063399999998</v>
          </cell>
        </row>
        <row r="142">
          <cell r="L142">
            <v>1.8904109600000001</v>
          </cell>
          <cell r="M142">
            <v>3.3367882799999999</v>
          </cell>
        </row>
        <row r="143">
          <cell r="L143">
            <v>1.90410959</v>
          </cell>
          <cell r="M143">
            <v>3.33826183</v>
          </cell>
        </row>
        <row r="144">
          <cell r="L144">
            <v>1.91780822</v>
          </cell>
          <cell r="M144">
            <v>3.3397297400000001</v>
          </cell>
        </row>
        <row r="145">
          <cell r="L145">
            <v>1.9315068500000001</v>
          </cell>
          <cell r="M145">
            <v>3.3411947400000002</v>
          </cell>
        </row>
        <row r="146">
          <cell r="L146">
            <v>1.94520548</v>
          </cell>
          <cell r="M146">
            <v>3.3426595799999999</v>
          </cell>
        </row>
        <row r="147">
          <cell r="L147">
            <v>1.95890411</v>
          </cell>
          <cell r="M147">
            <v>3.34412698</v>
          </cell>
        </row>
        <row r="148">
          <cell r="L148">
            <v>1.9726027399999999</v>
          </cell>
          <cell r="M148">
            <v>3.3455996899999998</v>
          </cell>
        </row>
        <row r="149">
          <cell r="L149">
            <v>1.9863013700000001</v>
          </cell>
          <cell r="M149">
            <v>3.3470804300000001</v>
          </cell>
        </row>
        <row r="150">
          <cell r="L150">
            <v>2</v>
          </cell>
          <cell r="M150">
            <v>3.3485719500000002</v>
          </cell>
        </row>
        <row r="151">
          <cell r="L151">
            <v>2.0136986299999999</v>
          </cell>
          <cell r="M151">
            <v>3.3500561100000001</v>
          </cell>
        </row>
        <row r="152">
          <cell r="L152">
            <v>2.0273972599999999</v>
          </cell>
          <cell r="M152">
            <v>3.3515136299999999</v>
          </cell>
        </row>
        <row r="153">
          <cell r="L153">
            <v>2.0410958899999998</v>
          </cell>
          <cell r="M153">
            <v>3.3529455700000002</v>
          </cell>
        </row>
        <row r="154">
          <cell r="L154">
            <v>2.0547945200000002</v>
          </cell>
          <cell r="M154">
            <v>3.35435295</v>
          </cell>
        </row>
        <row r="155">
          <cell r="L155">
            <v>2.0684931500000001</v>
          </cell>
          <cell r="M155">
            <v>3.3557368200000002</v>
          </cell>
        </row>
        <row r="156">
          <cell r="L156">
            <v>2.08219178</v>
          </cell>
          <cell r="M156">
            <v>3.3570982300000001</v>
          </cell>
        </row>
        <row r="157">
          <cell r="L157">
            <v>2.09589041</v>
          </cell>
          <cell r="M157">
            <v>3.3584382000000002</v>
          </cell>
        </row>
        <row r="158">
          <cell r="L158">
            <v>2.1095890399999999</v>
          </cell>
          <cell r="M158">
            <v>3.3597577900000002</v>
          </cell>
        </row>
        <row r="159">
          <cell r="L159">
            <v>2.1232876699999998</v>
          </cell>
          <cell r="M159">
            <v>3.3610580400000001</v>
          </cell>
        </row>
        <row r="160">
          <cell r="L160">
            <v>2.1369862999999998</v>
          </cell>
          <cell r="M160">
            <v>3.3623399699999998</v>
          </cell>
        </row>
        <row r="161">
          <cell r="L161">
            <v>2.1506849300000002</v>
          </cell>
          <cell r="M161">
            <v>3.3636046500000001</v>
          </cell>
        </row>
        <row r="162">
          <cell r="L162">
            <v>2.1643835600000001</v>
          </cell>
          <cell r="M162">
            <v>3.3648530999999999</v>
          </cell>
        </row>
        <row r="163">
          <cell r="L163">
            <v>2.17808219</v>
          </cell>
          <cell r="M163">
            <v>3.3660863700000001</v>
          </cell>
        </row>
        <row r="164">
          <cell r="L164">
            <v>2.19178082</v>
          </cell>
          <cell r="M164">
            <v>3.3673054900000001</v>
          </cell>
        </row>
        <row r="165">
          <cell r="L165">
            <v>2.2054794499999999</v>
          </cell>
          <cell r="M165">
            <v>3.3685115200000002</v>
          </cell>
        </row>
        <row r="166">
          <cell r="L166">
            <v>2.2191780799999998</v>
          </cell>
          <cell r="M166">
            <v>3.3697054899999999</v>
          </cell>
        </row>
        <row r="167">
          <cell r="L167">
            <v>2.2328767100000002</v>
          </cell>
          <cell r="M167">
            <v>3.3708884399999999</v>
          </cell>
        </row>
        <row r="168">
          <cell r="L168">
            <v>2.2465753400000001</v>
          </cell>
          <cell r="M168">
            <v>3.3720614100000001</v>
          </cell>
        </row>
        <row r="169">
          <cell r="L169">
            <v>2.2602739700000001</v>
          </cell>
          <cell r="M169">
            <v>3.3732254400000001</v>
          </cell>
        </row>
        <row r="170">
          <cell r="L170">
            <v>2.2739726</v>
          </cell>
          <cell r="M170">
            <v>3.3743815800000001</v>
          </cell>
        </row>
        <row r="171">
          <cell r="L171">
            <v>2.2876712299999999</v>
          </cell>
          <cell r="M171">
            <v>3.37553086</v>
          </cell>
        </row>
        <row r="172">
          <cell r="L172">
            <v>2.3013698599999999</v>
          </cell>
          <cell r="M172">
            <v>3.3766743199999998</v>
          </cell>
        </row>
        <row r="173">
          <cell r="L173">
            <v>2.3150684899999998</v>
          </cell>
          <cell r="M173">
            <v>3.3778130200000001</v>
          </cell>
        </row>
        <row r="174">
          <cell r="L174">
            <v>2.3287671200000002</v>
          </cell>
          <cell r="M174">
            <v>3.37894798</v>
          </cell>
        </row>
        <row r="175">
          <cell r="L175">
            <v>2.3424657500000001</v>
          </cell>
          <cell r="M175">
            <v>3.3800802499999998</v>
          </cell>
        </row>
        <row r="176">
          <cell r="L176">
            <v>2.3561643800000001</v>
          </cell>
          <cell r="M176">
            <v>3.3812108699999999</v>
          </cell>
        </row>
        <row r="177">
          <cell r="L177">
            <v>2.36986301</v>
          </cell>
          <cell r="M177">
            <v>3.3823408800000001</v>
          </cell>
        </row>
        <row r="178">
          <cell r="L178">
            <v>2.3835616399999999</v>
          </cell>
          <cell r="M178">
            <v>3.3834713199999999</v>
          </cell>
        </row>
        <row r="179">
          <cell r="L179">
            <v>2.3972602699999999</v>
          </cell>
          <cell r="M179">
            <v>3.3846032300000002</v>
          </cell>
        </row>
        <row r="180">
          <cell r="L180">
            <v>2.4109588999999998</v>
          </cell>
          <cell r="M180">
            <v>3.3857376600000002</v>
          </cell>
        </row>
        <row r="181">
          <cell r="L181">
            <v>2.4246575300000002</v>
          </cell>
          <cell r="M181">
            <v>3.38687564</v>
          </cell>
        </row>
        <row r="182">
          <cell r="L182">
            <v>2.4383561600000001</v>
          </cell>
          <cell r="M182">
            <v>3.3880182200000002</v>
          </cell>
        </row>
        <row r="183">
          <cell r="L183">
            <v>2.45205479</v>
          </cell>
          <cell r="M183">
            <v>3.38916643</v>
          </cell>
        </row>
        <row r="184">
          <cell r="L184">
            <v>2.46575342</v>
          </cell>
          <cell r="M184">
            <v>3.39032131</v>
          </cell>
        </row>
        <row r="185">
          <cell r="L185">
            <v>2.4794520499999999</v>
          </cell>
          <cell r="M185">
            <v>3.3914839200000002</v>
          </cell>
        </row>
        <row r="186">
          <cell r="L186">
            <v>2.4931506799999998</v>
          </cell>
          <cell r="M186">
            <v>3.3926552800000001</v>
          </cell>
        </row>
        <row r="187">
          <cell r="L187">
            <v>2.5068493200000002</v>
          </cell>
          <cell r="M187">
            <v>3.3938352100000002</v>
          </cell>
        </row>
        <row r="188">
          <cell r="L188">
            <v>2.5205479500000001</v>
          </cell>
          <cell r="M188">
            <v>3.3950169200000002</v>
          </cell>
        </row>
        <row r="189">
          <cell r="L189">
            <v>2.53424658</v>
          </cell>
          <cell r="M189">
            <v>3.3961991299999998</v>
          </cell>
        </row>
        <row r="190">
          <cell r="L190">
            <v>2.54794521</v>
          </cell>
          <cell r="M190">
            <v>3.3973817300000002</v>
          </cell>
        </row>
        <row r="191">
          <cell r="L191">
            <v>2.5616438399999999</v>
          </cell>
          <cell r="M191">
            <v>3.39856464</v>
          </cell>
        </row>
        <row r="192">
          <cell r="L192">
            <v>2.5753424699999998</v>
          </cell>
          <cell r="M192">
            <v>3.39974775</v>
          </cell>
        </row>
        <row r="193">
          <cell r="L193">
            <v>2.5890411000000002</v>
          </cell>
          <cell r="M193">
            <v>3.4009309499999998</v>
          </cell>
        </row>
        <row r="194">
          <cell r="L194">
            <v>2.6027397300000001</v>
          </cell>
          <cell r="M194">
            <v>3.40211416</v>
          </cell>
        </row>
        <row r="195">
          <cell r="L195">
            <v>2.6164383600000001</v>
          </cell>
          <cell r="M195">
            <v>3.4032972799999999</v>
          </cell>
        </row>
        <row r="196">
          <cell r="L196">
            <v>2.63013699</v>
          </cell>
          <cell r="M196">
            <v>3.4044802000000001</v>
          </cell>
        </row>
        <row r="197">
          <cell r="L197">
            <v>2.6438356199999999</v>
          </cell>
          <cell r="M197">
            <v>3.4056628199999999</v>
          </cell>
        </row>
        <row r="198">
          <cell r="L198">
            <v>2.6575342499999999</v>
          </cell>
          <cell r="M198">
            <v>3.4068450499999998</v>
          </cell>
        </row>
        <row r="199">
          <cell r="L199">
            <v>2.6712328799999998</v>
          </cell>
          <cell r="M199">
            <v>3.4080267900000001</v>
          </cell>
        </row>
        <row r="200">
          <cell r="L200">
            <v>2.6849315100000002</v>
          </cell>
          <cell r="M200">
            <v>3.4092079399999999</v>
          </cell>
        </row>
        <row r="201">
          <cell r="L201">
            <v>2.6986301400000001</v>
          </cell>
          <cell r="M201">
            <v>3.4103884</v>
          </cell>
        </row>
        <row r="202">
          <cell r="L202">
            <v>2.7123287700000001</v>
          </cell>
          <cell r="M202">
            <v>3.41156807</v>
          </cell>
        </row>
        <row r="203">
          <cell r="L203">
            <v>2.7260274</v>
          </cell>
          <cell r="M203">
            <v>3.41274685</v>
          </cell>
        </row>
        <row r="204">
          <cell r="L204">
            <v>2.7397260299999999</v>
          </cell>
          <cell r="M204">
            <v>3.4139246499999998</v>
          </cell>
        </row>
        <row r="205">
          <cell r="L205">
            <v>2.7534246599999999</v>
          </cell>
          <cell r="M205">
            <v>3.41510136</v>
          </cell>
        </row>
        <row r="206">
          <cell r="L206">
            <v>2.7671232899999998</v>
          </cell>
          <cell r="M206">
            <v>3.4162768899999998</v>
          </cell>
        </row>
        <row r="207">
          <cell r="L207">
            <v>2.7808219200000002</v>
          </cell>
          <cell r="M207">
            <v>3.4174511299999999</v>
          </cell>
        </row>
        <row r="208">
          <cell r="L208">
            <v>2.7945205500000001</v>
          </cell>
          <cell r="M208">
            <v>3.4186239899999999</v>
          </cell>
        </row>
        <row r="209">
          <cell r="L209">
            <v>2.80821918</v>
          </cell>
          <cell r="M209">
            <v>3.4197953700000001</v>
          </cell>
        </row>
        <row r="210">
          <cell r="L210">
            <v>2.82191781</v>
          </cell>
          <cell r="M210">
            <v>3.4209651700000001</v>
          </cell>
        </row>
        <row r="211">
          <cell r="L211">
            <v>2.8356164399999999</v>
          </cell>
          <cell r="M211">
            <v>3.4221332800000002</v>
          </cell>
        </row>
        <row r="212">
          <cell r="L212">
            <v>2.8493150699999998</v>
          </cell>
          <cell r="M212">
            <v>3.4232996299999998</v>
          </cell>
        </row>
        <row r="213">
          <cell r="L213">
            <v>2.8630137000000002</v>
          </cell>
          <cell r="M213">
            <v>3.4244640899999998</v>
          </cell>
        </row>
        <row r="214">
          <cell r="L214">
            <v>2.8767123300000002</v>
          </cell>
          <cell r="M214">
            <v>3.4256265799999999</v>
          </cell>
        </row>
        <row r="215">
          <cell r="L215">
            <v>2.8904109600000001</v>
          </cell>
          <cell r="M215">
            <v>3.4267869900000001</v>
          </cell>
        </row>
        <row r="216">
          <cell r="L216">
            <v>2.90410959</v>
          </cell>
          <cell r="M216">
            <v>3.4279452400000001</v>
          </cell>
        </row>
        <row r="217">
          <cell r="L217">
            <v>2.91780822</v>
          </cell>
          <cell r="M217">
            <v>3.4291011999999998</v>
          </cell>
        </row>
        <row r="218">
          <cell r="L218">
            <v>2.9315068499999999</v>
          </cell>
          <cell r="M218">
            <v>3.4302548000000002</v>
          </cell>
        </row>
        <row r="219">
          <cell r="L219">
            <v>2.9452054799999998</v>
          </cell>
          <cell r="M219">
            <v>3.4314059299999999</v>
          </cell>
        </row>
        <row r="220">
          <cell r="L220">
            <v>2.9589041100000002</v>
          </cell>
          <cell r="M220">
            <v>3.4325544799999999</v>
          </cell>
        </row>
        <row r="221">
          <cell r="L221">
            <v>2.9726027400000001</v>
          </cell>
          <cell r="M221">
            <v>3.4337003699999999</v>
          </cell>
        </row>
        <row r="222">
          <cell r="L222">
            <v>2.9863013700000001</v>
          </cell>
          <cell r="M222">
            <v>3.43484349</v>
          </cell>
        </row>
        <row r="223">
          <cell r="L223">
            <v>3</v>
          </cell>
          <cell r="M223">
            <v>3.4359837500000001</v>
          </cell>
        </row>
        <row r="224">
          <cell r="L224">
            <v>3.0136986299999999</v>
          </cell>
          <cell r="M224">
            <v>3.43715752</v>
          </cell>
        </row>
        <row r="225">
          <cell r="L225">
            <v>3.0273972599999999</v>
          </cell>
          <cell r="M225">
            <v>3.4383992800000001</v>
          </cell>
        </row>
        <row r="226">
          <cell r="L226">
            <v>3.0410958899999998</v>
          </cell>
          <cell r="M226">
            <v>3.4397060499999998</v>
          </cell>
        </row>
        <row r="227">
          <cell r="L227">
            <v>3.0547945200000002</v>
          </cell>
          <cell r="M227">
            <v>3.4410748500000001</v>
          </cell>
        </row>
        <row r="228">
          <cell r="L228">
            <v>3.0684931500000001</v>
          </cell>
          <cell r="M228">
            <v>3.4425027099999999</v>
          </cell>
        </row>
        <row r="229">
          <cell r="L229">
            <v>3.08219178</v>
          </cell>
          <cell r="M229">
            <v>3.4439866499999998</v>
          </cell>
        </row>
        <row r="230">
          <cell r="L230">
            <v>3.09589041</v>
          </cell>
          <cell r="M230">
            <v>3.44552368</v>
          </cell>
        </row>
        <row r="231">
          <cell r="L231">
            <v>3.1095890399999999</v>
          </cell>
          <cell r="M231">
            <v>3.4471108500000001</v>
          </cell>
        </row>
        <row r="232">
          <cell r="L232">
            <v>3.1232876699999998</v>
          </cell>
          <cell r="M232">
            <v>3.4487451600000001</v>
          </cell>
        </row>
        <row r="233">
          <cell r="L233">
            <v>3.1369862999999998</v>
          </cell>
          <cell r="M233">
            <v>3.4504236499999998</v>
          </cell>
        </row>
        <row r="234">
          <cell r="L234">
            <v>3.1506849300000002</v>
          </cell>
          <cell r="M234">
            <v>3.4521433400000001</v>
          </cell>
        </row>
        <row r="235">
          <cell r="L235">
            <v>3.1643835600000001</v>
          </cell>
          <cell r="M235">
            <v>3.45390124</v>
          </cell>
        </row>
        <row r="236">
          <cell r="L236">
            <v>3.17808219</v>
          </cell>
          <cell r="M236">
            <v>3.4556943900000001</v>
          </cell>
        </row>
        <row r="237">
          <cell r="L237">
            <v>3.19178082</v>
          </cell>
          <cell r="M237">
            <v>3.45751981</v>
          </cell>
        </row>
        <row r="238">
          <cell r="L238">
            <v>3.2054794499999999</v>
          </cell>
          <cell r="M238">
            <v>3.45937451</v>
          </cell>
        </row>
        <row r="239">
          <cell r="L239">
            <v>3.2191780799999998</v>
          </cell>
          <cell r="M239">
            <v>3.4612555299999999</v>
          </cell>
        </row>
        <row r="240">
          <cell r="L240">
            <v>3.2328767100000002</v>
          </cell>
          <cell r="M240">
            <v>3.46315989</v>
          </cell>
        </row>
        <row r="241">
          <cell r="L241">
            <v>3.2465753400000001</v>
          </cell>
          <cell r="M241">
            <v>3.4650846099999999</v>
          </cell>
        </row>
        <row r="242">
          <cell r="L242">
            <v>3.2602739700000001</v>
          </cell>
          <cell r="M242">
            <v>3.4670267099999998</v>
          </cell>
        </row>
        <row r="243">
          <cell r="L243">
            <v>3.2739726</v>
          </cell>
          <cell r="M243">
            <v>3.4689832200000001</v>
          </cell>
        </row>
        <row r="244">
          <cell r="L244">
            <v>3.2876712299999999</v>
          </cell>
          <cell r="M244">
            <v>3.4709511599999998</v>
          </cell>
        </row>
        <row r="245">
          <cell r="L245">
            <v>3.3013698599999999</v>
          </cell>
          <cell r="M245">
            <v>3.4729275500000001</v>
          </cell>
        </row>
        <row r="246">
          <cell r="L246">
            <v>3.3150684899999998</v>
          </cell>
          <cell r="M246">
            <v>3.4749094199999999</v>
          </cell>
        </row>
        <row r="247">
          <cell r="L247">
            <v>3.3287671200000002</v>
          </cell>
          <cell r="M247">
            <v>3.4768938</v>
          </cell>
        </row>
        <row r="248">
          <cell r="L248">
            <v>3.3424657500000001</v>
          </cell>
          <cell r="M248">
            <v>3.4788777</v>
          </cell>
        </row>
        <row r="249">
          <cell r="L249">
            <v>3.3561643800000001</v>
          </cell>
          <cell r="M249">
            <v>3.48085814</v>
          </cell>
        </row>
        <row r="250">
          <cell r="L250">
            <v>3.36986301</v>
          </cell>
          <cell r="M250">
            <v>3.4828321600000001</v>
          </cell>
        </row>
        <row r="251">
          <cell r="L251">
            <v>3.3835616399999999</v>
          </cell>
          <cell r="M251">
            <v>3.4847967799999999</v>
          </cell>
        </row>
        <row r="252">
          <cell r="L252">
            <v>3.3972602699999999</v>
          </cell>
          <cell r="M252">
            <v>3.48674901</v>
          </cell>
        </row>
        <row r="253">
          <cell r="L253">
            <v>3.4109588999999998</v>
          </cell>
          <cell r="M253">
            <v>3.4886858799999998</v>
          </cell>
        </row>
        <row r="254">
          <cell r="L254">
            <v>3.4246575300000002</v>
          </cell>
          <cell r="M254">
            <v>3.4906044199999999</v>
          </cell>
        </row>
        <row r="255">
          <cell r="L255">
            <v>3.4383561600000001</v>
          </cell>
          <cell r="M255">
            <v>3.4925016499999999</v>
          </cell>
        </row>
        <row r="256">
          <cell r="L256">
            <v>3.45205479</v>
          </cell>
          <cell r="M256">
            <v>3.4943745900000001</v>
          </cell>
        </row>
        <row r="257">
          <cell r="L257">
            <v>3.46575342</v>
          </cell>
          <cell r="M257">
            <v>3.4962202699999998</v>
          </cell>
        </row>
        <row r="258">
          <cell r="L258">
            <v>3.4794520499999999</v>
          </cell>
          <cell r="M258">
            <v>3.4980357099999999</v>
          </cell>
        </row>
        <row r="259">
          <cell r="L259">
            <v>3.4931506799999998</v>
          </cell>
          <cell r="M259">
            <v>3.4998179299999999</v>
          </cell>
        </row>
        <row r="260">
          <cell r="L260">
            <v>3.5068493200000002</v>
          </cell>
          <cell r="M260">
            <v>3.5015689999999999</v>
          </cell>
        </row>
        <row r="261">
          <cell r="L261">
            <v>3.5205479500000001</v>
          </cell>
          <cell r="M261">
            <v>3.5033167500000002</v>
          </cell>
        </row>
        <row r="262">
          <cell r="L262">
            <v>3.53424658</v>
          </cell>
          <cell r="M262">
            <v>3.50506465</v>
          </cell>
        </row>
        <row r="263">
          <cell r="L263">
            <v>3.54794521</v>
          </cell>
          <cell r="M263">
            <v>3.5068111800000001</v>
          </cell>
        </row>
        <row r="264">
          <cell r="L264">
            <v>3.5616438399999999</v>
          </cell>
          <cell r="M264">
            <v>3.5085548200000001</v>
          </cell>
        </row>
        <row r="265">
          <cell r="L265">
            <v>3.5753424699999998</v>
          </cell>
          <cell r="M265">
            <v>3.5102940399999998</v>
          </cell>
        </row>
        <row r="266">
          <cell r="L266">
            <v>3.5890411000000002</v>
          </cell>
          <cell r="M266">
            <v>3.5120273399999999</v>
          </cell>
        </row>
        <row r="267">
          <cell r="L267">
            <v>3.6027397300000001</v>
          </cell>
          <cell r="M267">
            <v>3.5137531900000001</v>
          </cell>
        </row>
        <row r="268">
          <cell r="L268">
            <v>3.6164383600000001</v>
          </cell>
          <cell r="M268">
            <v>3.5154700700000001</v>
          </cell>
        </row>
        <row r="269">
          <cell r="L269">
            <v>3.63013699</v>
          </cell>
          <cell r="M269">
            <v>3.5171764599999999</v>
          </cell>
        </row>
        <row r="270">
          <cell r="L270">
            <v>3.6438356199999999</v>
          </cell>
          <cell r="M270">
            <v>3.5188708499999999</v>
          </cell>
        </row>
        <row r="271">
          <cell r="L271">
            <v>3.6575342499999999</v>
          </cell>
          <cell r="M271">
            <v>3.5205517</v>
          </cell>
        </row>
        <row r="272">
          <cell r="L272">
            <v>3.6712328799999998</v>
          </cell>
          <cell r="M272">
            <v>3.5222175099999999</v>
          </cell>
        </row>
        <row r="273">
          <cell r="L273">
            <v>3.6849315100000002</v>
          </cell>
          <cell r="M273">
            <v>3.5238667600000002</v>
          </cell>
        </row>
        <row r="274">
          <cell r="L274">
            <v>3.6986301400000001</v>
          </cell>
          <cell r="M274">
            <v>3.5254979199999998</v>
          </cell>
        </row>
        <row r="275">
          <cell r="L275">
            <v>3.7123287700000001</v>
          </cell>
          <cell r="M275">
            <v>3.52710948</v>
          </cell>
        </row>
        <row r="276">
          <cell r="L276">
            <v>3.7260274</v>
          </cell>
          <cell r="M276">
            <v>3.5286999099999998</v>
          </cell>
        </row>
        <row r="277">
          <cell r="L277">
            <v>3.7397260299999999</v>
          </cell>
          <cell r="M277">
            <v>3.5302677</v>
          </cell>
        </row>
        <row r="278">
          <cell r="L278">
            <v>3.7534246599999999</v>
          </cell>
          <cell r="M278">
            <v>3.53181133</v>
          </cell>
        </row>
        <row r="279">
          <cell r="L279">
            <v>3.7671232899999998</v>
          </cell>
          <cell r="M279">
            <v>3.5333292799999998</v>
          </cell>
        </row>
        <row r="280">
          <cell r="L280">
            <v>3.7808219200000002</v>
          </cell>
          <cell r="M280">
            <v>3.5348200200000002</v>
          </cell>
        </row>
        <row r="281">
          <cell r="L281">
            <v>3.7945205500000001</v>
          </cell>
          <cell r="M281">
            <v>3.5362820500000001</v>
          </cell>
        </row>
        <row r="282">
          <cell r="L282">
            <v>3.80821918</v>
          </cell>
          <cell r="M282">
            <v>3.5377138399999999</v>
          </cell>
        </row>
        <row r="283">
          <cell r="L283">
            <v>3.82191781</v>
          </cell>
          <cell r="M283">
            <v>3.5391138600000001</v>
          </cell>
        </row>
        <row r="284">
          <cell r="L284">
            <v>3.8356164399999999</v>
          </cell>
          <cell r="M284">
            <v>3.5404806099999999</v>
          </cell>
        </row>
        <row r="285">
          <cell r="L285">
            <v>3.8493150699999998</v>
          </cell>
          <cell r="M285">
            <v>3.5418125599999999</v>
          </cell>
        </row>
        <row r="286">
          <cell r="L286">
            <v>3.8630137000000002</v>
          </cell>
          <cell r="M286">
            <v>3.5431081999999998</v>
          </cell>
        </row>
        <row r="287">
          <cell r="L287">
            <v>3.8767123300000002</v>
          </cell>
          <cell r="M287">
            <v>3.5443659900000002</v>
          </cell>
        </row>
        <row r="288">
          <cell r="L288">
            <v>3.8904109600000001</v>
          </cell>
          <cell r="M288">
            <v>3.5455844299999999</v>
          </cell>
        </row>
        <row r="289">
          <cell r="L289">
            <v>3.90410959</v>
          </cell>
          <cell r="M289">
            <v>3.5467620000000002</v>
          </cell>
        </row>
        <row r="290">
          <cell r="L290">
            <v>3.91780822</v>
          </cell>
          <cell r="M290">
            <v>3.5478971700000002</v>
          </cell>
        </row>
        <row r="291">
          <cell r="L291">
            <v>3.9315068499999999</v>
          </cell>
          <cell r="M291">
            <v>3.5489884300000001</v>
          </cell>
        </row>
        <row r="292">
          <cell r="L292">
            <v>3.9452054799999998</v>
          </cell>
          <cell r="M292">
            <v>3.5500342499999999</v>
          </cell>
        </row>
        <row r="293">
          <cell r="L293">
            <v>3.9589041100000002</v>
          </cell>
          <cell r="M293">
            <v>3.55103313</v>
          </cell>
        </row>
        <row r="294">
          <cell r="L294">
            <v>3.9726027400000001</v>
          </cell>
          <cell r="M294">
            <v>3.5519835300000002</v>
          </cell>
        </row>
        <row r="295">
          <cell r="L295">
            <v>3.9863013700000001</v>
          </cell>
          <cell r="M295">
            <v>3.5528839300000001</v>
          </cell>
        </row>
        <row r="296">
          <cell r="L296">
            <v>4</v>
          </cell>
          <cell r="M296">
            <v>3.55373283</v>
          </cell>
        </row>
        <row r="297">
          <cell r="L297">
            <v>4.0136986300000004</v>
          </cell>
          <cell r="M297">
            <v>3.55453792</v>
          </cell>
        </row>
        <row r="298">
          <cell r="L298">
            <v>4.0273972599999999</v>
          </cell>
          <cell r="M298">
            <v>3.55530898</v>
          </cell>
        </row>
        <row r="299">
          <cell r="L299">
            <v>4.0410958900000002</v>
          </cell>
          <cell r="M299">
            <v>3.5560475600000001</v>
          </cell>
        </row>
        <row r="300">
          <cell r="L300">
            <v>4.0547945199999997</v>
          </cell>
          <cell r="M300">
            <v>3.5567552500000001</v>
          </cell>
        </row>
        <row r="301">
          <cell r="L301">
            <v>4.0684931500000001</v>
          </cell>
          <cell r="M301">
            <v>3.5574336099999999</v>
          </cell>
        </row>
        <row r="302">
          <cell r="L302">
            <v>4.0821917799999996</v>
          </cell>
          <cell r="M302">
            <v>3.5580842100000001</v>
          </cell>
        </row>
        <row r="303">
          <cell r="L303">
            <v>4.09589041</v>
          </cell>
          <cell r="M303">
            <v>3.55870862</v>
          </cell>
        </row>
        <row r="304">
          <cell r="L304">
            <v>4.1095890400000004</v>
          </cell>
          <cell r="M304">
            <v>3.5593084300000002</v>
          </cell>
        </row>
        <row r="305">
          <cell r="L305">
            <v>4.1232876699999998</v>
          </cell>
          <cell r="M305">
            <v>3.5598851800000002</v>
          </cell>
        </row>
        <row r="306">
          <cell r="L306">
            <v>4.1369863000000002</v>
          </cell>
          <cell r="M306">
            <v>3.5604404700000001</v>
          </cell>
        </row>
        <row r="307">
          <cell r="L307">
            <v>4.1506849299999997</v>
          </cell>
          <cell r="M307">
            <v>3.5609758500000002</v>
          </cell>
        </row>
        <row r="308">
          <cell r="L308">
            <v>4.1643835600000001</v>
          </cell>
          <cell r="M308">
            <v>3.5614929000000002</v>
          </cell>
        </row>
        <row r="309">
          <cell r="L309">
            <v>4.1780821899999996</v>
          </cell>
          <cell r="M309">
            <v>3.5619931899999999</v>
          </cell>
        </row>
        <row r="310">
          <cell r="L310">
            <v>4.19178082</v>
          </cell>
          <cell r="M310">
            <v>3.56247829</v>
          </cell>
        </row>
        <row r="311">
          <cell r="L311">
            <v>4.2054794500000003</v>
          </cell>
          <cell r="M311">
            <v>3.5629497699999999</v>
          </cell>
        </row>
        <row r="312">
          <cell r="L312">
            <v>4.2191780799999998</v>
          </cell>
          <cell r="M312">
            <v>3.5634092000000002</v>
          </cell>
        </row>
        <row r="313">
          <cell r="L313">
            <v>4.2328767100000002</v>
          </cell>
          <cell r="M313">
            <v>3.5638581500000002</v>
          </cell>
        </row>
        <row r="314">
          <cell r="L314">
            <v>4.2465753399999997</v>
          </cell>
          <cell r="M314">
            <v>3.5642981900000001</v>
          </cell>
        </row>
        <row r="315">
          <cell r="L315">
            <v>4.2602739700000001</v>
          </cell>
          <cell r="M315">
            <v>3.5647308999999998</v>
          </cell>
        </row>
        <row r="316">
          <cell r="L316">
            <v>4.2739725999999996</v>
          </cell>
          <cell r="M316">
            <v>3.5651578499999999</v>
          </cell>
        </row>
        <row r="317">
          <cell r="L317">
            <v>4.2876712299999999</v>
          </cell>
          <cell r="M317">
            <v>3.5655806000000001</v>
          </cell>
        </row>
        <row r="318">
          <cell r="L318">
            <v>4.3013698600000003</v>
          </cell>
          <cell r="M318">
            <v>3.5660007199999999</v>
          </cell>
        </row>
        <row r="319">
          <cell r="L319">
            <v>4.3150684899999998</v>
          </cell>
          <cell r="M319">
            <v>3.5664197899999999</v>
          </cell>
        </row>
        <row r="320">
          <cell r="L320">
            <v>4.3287671200000002</v>
          </cell>
          <cell r="M320">
            <v>3.5668393799999998</v>
          </cell>
        </row>
        <row r="321">
          <cell r="L321">
            <v>4.3424657499999997</v>
          </cell>
          <cell r="M321">
            <v>3.5672610599999999</v>
          </cell>
        </row>
        <row r="322">
          <cell r="L322">
            <v>4.3561643800000001</v>
          </cell>
          <cell r="M322">
            <v>3.5676863999999999</v>
          </cell>
        </row>
        <row r="323">
          <cell r="L323">
            <v>4.3698630100000004</v>
          </cell>
          <cell r="M323">
            <v>3.5681169700000002</v>
          </cell>
        </row>
        <row r="324">
          <cell r="L324">
            <v>4.3835616399999999</v>
          </cell>
          <cell r="M324">
            <v>3.56855433</v>
          </cell>
        </row>
        <row r="325">
          <cell r="L325">
            <v>4.3972602700000003</v>
          </cell>
          <cell r="M325">
            <v>3.56900007</v>
          </cell>
        </row>
        <row r="326">
          <cell r="L326">
            <v>4.4109588999999998</v>
          </cell>
          <cell r="M326">
            <v>3.5694557599999999</v>
          </cell>
        </row>
        <row r="327">
          <cell r="L327">
            <v>4.4246575300000002</v>
          </cell>
          <cell r="M327">
            <v>3.56992295</v>
          </cell>
        </row>
        <row r="328">
          <cell r="L328">
            <v>4.4383561599999997</v>
          </cell>
          <cell r="M328">
            <v>3.5704032300000001</v>
          </cell>
        </row>
        <row r="329">
          <cell r="L329">
            <v>4.45205479</v>
          </cell>
          <cell r="M329">
            <v>3.57089816</v>
          </cell>
        </row>
        <row r="330">
          <cell r="L330">
            <v>4.4657534200000004</v>
          </cell>
          <cell r="M330">
            <v>3.5714093199999999</v>
          </cell>
        </row>
        <row r="331">
          <cell r="L331">
            <v>4.4794520499999999</v>
          </cell>
          <cell r="M331">
            <v>3.5719382799999999</v>
          </cell>
        </row>
        <row r="332">
          <cell r="L332">
            <v>4.4931506800000003</v>
          </cell>
          <cell r="M332">
            <v>3.5724866</v>
          </cell>
        </row>
        <row r="333">
          <cell r="L333">
            <v>4.5068493199999997</v>
          </cell>
          <cell r="M333">
            <v>3.57305406</v>
          </cell>
        </row>
        <row r="334">
          <cell r="L334">
            <v>4.5205479500000001</v>
          </cell>
          <cell r="M334">
            <v>3.57363074</v>
          </cell>
        </row>
        <row r="335">
          <cell r="L335">
            <v>4.5342465799999996</v>
          </cell>
          <cell r="M335">
            <v>3.57421473</v>
          </cell>
        </row>
        <row r="336">
          <cell r="L336">
            <v>4.54794521</v>
          </cell>
          <cell r="M336">
            <v>3.5748058700000001</v>
          </cell>
        </row>
        <row r="337">
          <cell r="L337">
            <v>4.5616438400000003</v>
          </cell>
          <cell r="M337">
            <v>3.5754039799999999</v>
          </cell>
        </row>
        <row r="338">
          <cell r="L338">
            <v>4.5753424699999998</v>
          </cell>
          <cell r="M338">
            <v>3.5760088799999998</v>
          </cell>
        </row>
        <row r="339">
          <cell r="L339">
            <v>4.5890411000000002</v>
          </cell>
          <cell r="M339">
            <v>3.5766203999999999</v>
          </cell>
        </row>
        <row r="340">
          <cell r="L340">
            <v>4.6027397299999997</v>
          </cell>
          <cell r="M340">
            <v>3.57723836</v>
          </cell>
        </row>
        <row r="341">
          <cell r="L341">
            <v>4.6164383600000001</v>
          </cell>
          <cell r="M341">
            <v>3.5778625900000001</v>
          </cell>
        </row>
        <row r="342">
          <cell r="L342">
            <v>4.6301369899999996</v>
          </cell>
          <cell r="M342">
            <v>3.5784929000000001</v>
          </cell>
        </row>
        <row r="343">
          <cell r="L343">
            <v>4.6438356199999999</v>
          </cell>
          <cell r="M343">
            <v>3.57912914</v>
          </cell>
        </row>
        <row r="344">
          <cell r="L344">
            <v>4.6575342500000003</v>
          </cell>
          <cell r="M344">
            <v>3.5797711099999998</v>
          </cell>
        </row>
        <row r="345">
          <cell r="L345">
            <v>4.6712328799999998</v>
          </cell>
          <cell r="M345">
            <v>3.5804186499999999</v>
          </cell>
        </row>
        <row r="346">
          <cell r="L346">
            <v>4.6849315100000002</v>
          </cell>
          <cell r="M346">
            <v>3.5810715800000001</v>
          </cell>
        </row>
        <row r="347">
          <cell r="L347">
            <v>4.6986301399999997</v>
          </cell>
          <cell r="M347">
            <v>3.5817297199999998</v>
          </cell>
        </row>
        <row r="348">
          <cell r="L348">
            <v>4.7123287700000001</v>
          </cell>
          <cell r="M348">
            <v>3.5823929099999998</v>
          </cell>
        </row>
        <row r="349">
          <cell r="L349">
            <v>4.7260274000000004</v>
          </cell>
          <cell r="M349">
            <v>3.5830609600000001</v>
          </cell>
        </row>
        <row r="350">
          <cell r="L350">
            <v>4.7397260299999999</v>
          </cell>
          <cell r="M350">
            <v>3.5837336999999998</v>
          </cell>
        </row>
        <row r="351">
          <cell r="L351">
            <v>4.7534246600000003</v>
          </cell>
          <cell r="M351">
            <v>3.5844109500000001</v>
          </cell>
        </row>
        <row r="352">
          <cell r="L352">
            <v>4.7671232899999998</v>
          </cell>
          <cell r="M352">
            <v>3.5850925400000002</v>
          </cell>
        </row>
        <row r="353">
          <cell r="L353">
            <v>4.7808219200000002</v>
          </cell>
          <cell r="M353">
            <v>3.5857782899999999</v>
          </cell>
        </row>
        <row r="354">
          <cell r="L354">
            <v>4.7945205499999997</v>
          </cell>
          <cell r="M354">
            <v>3.5864680400000002</v>
          </cell>
        </row>
        <row r="355">
          <cell r="L355">
            <v>4.80821918</v>
          </cell>
          <cell r="M355">
            <v>3.5871616</v>
          </cell>
        </row>
        <row r="356">
          <cell r="L356">
            <v>4.8219178100000004</v>
          </cell>
          <cell r="M356">
            <v>3.5878587899999999</v>
          </cell>
        </row>
        <row r="357">
          <cell r="L357">
            <v>4.8356164399999999</v>
          </cell>
          <cell r="M357">
            <v>3.58855945</v>
          </cell>
        </row>
        <row r="358">
          <cell r="L358">
            <v>4.8493150700000003</v>
          </cell>
          <cell r="M358">
            <v>3.5892633900000002</v>
          </cell>
        </row>
        <row r="359">
          <cell r="L359">
            <v>4.8630136999999998</v>
          </cell>
          <cell r="M359">
            <v>3.58997045</v>
          </cell>
        </row>
        <row r="360">
          <cell r="L360">
            <v>4.8767123300000002</v>
          </cell>
          <cell r="M360">
            <v>3.5906804399999999</v>
          </cell>
        </row>
        <row r="361">
          <cell r="L361">
            <v>4.8904109599999996</v>
          </cell>
          <cell r="M361">
            <v>3.5913932000000002</v>
          </cell>
        </row>
        <row r="362">
          <cell r="L362">
            <v>4.90410959</v>
          </cell>
          <cell r="M362">
            <v>3.5921085399999999</v>
          </cell>
        </row>
        <row r="363">
          <cell r="L363">
            <v>4.9178082200000004</v>
          </cell>
          <cell r="M363">
            <v>3.5928263</v>
          </cell>
        </row>
        <row r="364">
          <cell r="L364">
            <v>4.9315068499999999</v>
          </cell>
          <cell r="M364">
            <v>3.5935462899999999</v>
          </cell>
        </row>
        <row r="365">
          <cell r="L365">
            <v>4.9452054800000003</v>
          </cell>
          <cell r="M365">
            <v>3.5942683400000002</v>
          </cell>
        </row>
        <row r="366">
          <cell r="L366">
            <v>4.9589041099999998</v>
          </cell>
          <cell r="M366">
            <v>3.5949922700000001</v>
          </cell>
        </row>
        <row r="367">
          <cell r="L367">
            <v>4.9726027400000001</v>
          </cell>
          <cell r="M367">
            <v>3.5957179199999998</v>
          </cell>
        </row>
        <row r="368">
          <cell r="L368">
            <v>4.9863013699999996</v>
          </cell>
          <cell r="M368">
            <v>3.5964451</v>
          </cell>
        </row>
        <row r="369">
          <cell r="L369">
            <v>5</v>
          </cell>
          <cell r="M369">
            <v>3.5971736499999998</v>
          </cell>
        </row>
        <row r="370">
          <cell r="L370">
            <v>5.0136986300000004</v>
          </cell>
          <cell r="M370">
            <v>3.59798858</v>
          </cell>
        </row>
        <row r="371">
          <cell r="L371">
            <v>5.0273972599999999</v>
          </cell>
          <cell r="M371">
            <v>3.59897029</v>
          </cell>
        </row>
        <row r="372">
          <cell r="L372">
            <v>5.0410958900000002</v>
          </cell>
          <cell r="M372">
            <v>3.6001116099999999</v>
          </cell>
        </row>
        <row r="373">
          <cell r="L373">
            <v>5.0547945199999997</v>
          </cell>
          <cell r="M373">
            <v>3.60140539</v>
          </cell>
        </row>
        <row r="374">
          <cell r="L374">
            <v>5.0684931500000001</v>
          </cell>
          <cell r="M374">
            <v>3.60284446</v>
          </cell>
        </row>
        <row r="375">
          <cell r="L375">
            <v>5.0821917799999996</v>
          </cell>
          <cell r="M375">
            <v>3.6044216800000002</v>
          </cell>
        </row>
        <row r="376">
          <cell r="L376">
            <v>5.09589041</v>
          </cell>
          <cell r="M376">
            <v>3.6061298800000001</v>
          </cell>
        </row>
        <row r="377">
          <cell r="L377">
            <v>5.1095890400000004</v>
          </cell>
          <cell r="M377">
            <v>3.6079618999999998</v>
          </cell>
        </row>
        <row r="378">
          <cell r="L378">
            <v>5.1232876699999998</v>
          </cell>
          <cell r="M378">
            <v>3.6099106000000001</v>
          </cell>
        </row>
        <row r="379">
          <cell r="L379">
            <v>5.1369863000000002</v>
          </cell>
          <cell r="M379">
            <v>3.6119688000000001</v>
          </cell>
        </row>
        <row r="380">
          <cell r="L380">
            <v>5.1506849299999997</v>
          </cell>
          <cell r="M380">
            <v>3.6141293600000002</v>
          </cell>
        </row>
        <row r="381">
          <cell r="L381">
            <v>5.1643835600000001</v>
          </cell>
          <cell r="M381">
            <v>3.61638511</v>
          </cell>
        </row>
        <row r="382">
          <cell r="L382">
            <v>5.1780821899999996</v>
          </cell>
          <cell r="M382">
            <v>3.6187288999999998</v>
          </cell>
        </row>
        <row r="383">
          <cell r="L383">
            <v>5.19178082</v>
          </cell>
          <cell r="M383">
            <v>3.6211535700000002</v>
          </cell>
        </row>
        <row r="384">
          <cell r="L384">
            <v>5.2054794500000003</v>
          </cell>
          <cell r="M384">
            <v>3.6236519500000002</v>
          </cell>
        </row>
        <row r="385">
          <cell r="L385">
            <v>5.2191780799999998</v>
          </cell>
          <cell r="M385">
            <v>3.6262169100000001</v>
          </cell>
        </row>
        <row r="386">
          <cell r="L386">
            <v>5.2328767100000002</v>
          </cell>
          <cell r="M386">
            <v>3.6288412700000001</v>
          </cell>
        </row>
        <row r="387">
          <cell r="L387">
            <v>5.2465753399999997</v>
          </cell>
          <cell r="M387">
            <v>3.6315178800000001</v>
          </cell>
        </row>
        <row r="388">
          <cell r="L388">
            <v>5.2602739700000001</v>
          </cell>
          <cell r="M388">
            <v>3.63423958</v>
          </cell>
        </row>
        <row r="389">
          <cell r="L389">
            <v>5.2739725999999996</v>
          </cell>
          <cell r="M389">
            <v>3.6369992099999999</v>
          </cell>
        </row>
        <row r="390">
          <cell r="L390">
            <v>5.2876712299999999</v>
          </cell>
          <cell r="M390">
            <v>3.6397896200000002</v>
          </cell>
        </row>
        <row r="391">
          <cell r="L391">
            <v>5.3013698600000003</v>
          </cell>
          <cell r="M391">
            <v>3.6426036499999999</v>
          </cell>
        </row>
        <row r="392">
          <cell r="L392">
            <v>5.3150684899999998</v>
          </cell>
          <cell r="M392">
            <v>3.6454341399999999</v>
          </cell>
        </row>
        <row r="393">
          <cell r="L393">
            <v>5.3287671200000002</v>
          </cell>
          <cell r="M393">
            <v>3.6482739300000002</v>
          </cell>
        </row>
        <row r="394">
          <cell r="L394">
            <v>5.3424657499999997</v>
          </cell>
          <cell r="M394">
            <v>3.65111586</v>
          </cell>
        </row>
        <row r="395">
          <cell r="L395">
            <v>5.3561643800000001</v>
          </cell>
          <cell r="M395">
            <v>3.65395278</v>
          </cell>
        </row>
        <row r="396">
          <cell r="L396">
            <v>5.3698630100000004</v>
          </cell>
          <cell r="M396">
            <v>3.6567775400000002</v>
          </cell>
        </row>
        <row r="397">
          <cell r="L397">
            <v>5.3835616399999999</v>
          </cell>
          <cell r="M397">
            <v>3.6595829599999998</v>
          </cell>
        </row>
        <row r="398">
          <cell r="L398">
            <v>5.3972602700000003</v>
          </cell>
          <cell r="M398">
            <v>3.6623619000000001</v>
          </cell>
        </row>
        <row r="399">
          <cell r="L399">
            <v>5.4109588999999998</v>
          </cell>
          <cell r="M399">
            <v>3.6651071900000001</v>
          </cell>
        </row>
        <row r="400">
          <cell r="L400">
            <v>5.4246575300000002</v>
          </cell>
          <cell r="M400">
            <v>3.6678116900000002</v>
          </cell>
        </row>
        <row r="401">
          <cell r="L401">
            <v>5.4383561599999997</v>
          </cell>
          <cell r="M401">
            <v>3.6704682200000001</v>
          </cell>
        </row>
        <row r="402">
          <cell r="L402">
            <v>5.45205479</v>
          </cell>
          <cell r="M402">
            <v>3.67306964</v>
          </cell>
        </row>
        <row r="403">
          <cell r="L403">
            <v>5.4657534200000004</v>
          </cell>
          <cell r="M403">
            <v>3.6756087900000001</v>
          </cell>
        </row>
        <row r="404">
          <cell r="L404">
            <v>5.4794520499999999</v>
          </cell>
          <cell r="M404">
            <v>3.6780784999999998</v>
          </cell>
        </row>
        <row r="405">
          <cell r="L405">
            <v>5.4931506800000003</v>
          </cell>
          <cell r="M405">
            <v>3.6804716200000001</v>
          </cell>
        </row>
        <row r="406">
          <cell r="L406">
            <v>5.5068493199999997</v>
          </cell>
          <cell r="M406">
            <v>3.6827974299999999</v>
          </cell>
        </row>
        <row r="407">
          <cell r="L407">
            <v>5.5205479500000001</v>
          </cell>
          <cell r="M407">
            <v>3.6851485799999999</v>
          </cell>
        </row>
        <row r="408">
          <cell r="L408">
            <v>5.5342465799999996</v>
          </cell>
          <cell r="M408">
            <v>3.68753734</v>
          </cell>
        </row>
        <row r="409">
          <cell r="L409">
            <v>5.54794521</v>
          </cell>
          <cell r="M409">
            <v>3.6899597000000002</v>
          </cell>
        </row>
        <row r="410">
          <cell r="L410">
            <v>5.5616438400000003</v>
          </cell>
          <cell r="M410">
            <v>3.6924116499999999</v>
          </cell>
        </row>
        <row r="411">
          <cell r="L411">
            <v>5.5753424699999998</v>
          </cell>
          <cell r="M411">
            <v>3.6948891800000001</v>
          </cell>
        </row>
        <row r="412">
          <cell r="L412">
            <v>5.5890411000000002</v>
          </cell>
          <cell r="M412">
            <v>3.6973882599999999</v>
          </cell>
        </row>
        <row r="413">
          <cell r="L413">
            <v>5.6027397299999997</v>
          </cell>
          <cell r="M413">
            <v>3.6999048800000001</v>
          </cell>
        </row>
        <row r="414">
          <cell r="L414">
            <v>5.6164383600000001</v>
          </cell>
          <cell r="M414">
            <v>3.7024350300000002</v>
          </cell>
        </row>
        <row r="415">
          <cell r="L415">
            <v>5.6301369899999996</v>
          </cell>
          <cell r="M415">
            <v>3.7049746899999998</v>
          </cell>
        </row>
        <row r="416">
          <cell r="L416">
            <v>5.6438356199999999</v>
          </cell>
          <cell r="M416">
            <v>3.7075198399999998</v>
          </cell>
        </row>
        <row r="417">
          <cell r="L417">
            <v>5.6575342500000003</v>
          </cell>
          <cell r="M417">
            <v>3.7100664800000001</v>
          </cell>
        </row>
        <row r="418">
          <cell r="L418">
            <v>5.6712328799999998</v>
          </cell>
          <cell r="M418">
            <v>3.7126105699999998</v>
          </cell>
        </row>
        <row r="419">
          <cell r="L419">
            <v>5.6849315100000002</v>
          </cell>
          <cell r="M419">
            <v>3.7151481099999999</v>
          </cell>
        </row>
        <row r="420">
          <cell r="L420">
            <v>5.6986301399999997</v>
          </cell>
          <cell r="M420">
            <v>3.7176750900000002</v>
          </cell>
        </row>
        <row r="421">
          <cell r="L421">
            <v>5.7123287700000001</v>
          </cell>
          <cell r="M421">
            <v>3.7201874799999999</v>
          </cell>
        </row>
        <row r="422">
          <cell r="L422">
            <v>5.7260274000000004</v>
          </cell>
          <cell r="M422">
            <v>3.7226812800000002</v>
          </cell>
        </row>
        <row r="423">
          <cell r="L423">
            <v>5.7397260299999999</v>
          </cell>
          <cell r="M423">
            <v>3.7251524599999999</v>
          </cell>
        </row>
        <row r="424">
          <cell r="L424">
            <v>5.7534246600000003</v>
          </cell>
          <cell r="M424">
            <v>3.7275970100000002</v>
          </cell>
        </row>
        <row r="425">
          <cell r="L425">
            <v>5.7671232899999998</v>
          </cell>
          <cell r="M425">
            <v>3.7300109099999998</v>
          </cell>
        </row>
        <row r="426">
          <cell r="L426">
            <v>5.7808219200000002</v>
          </cell>
          <cell r="M426">
            <v>3.7323901500000001</v>
          </cell>
        </row>
        <row r="427">
          <cell r="L427">
            <v>5.7945205499999997</v>
          </cell>
          <cell r="M427">
            <v>3.7347307199999999</v>
          </cell>
        </row>
        <row r="428">
          <cell r="L428">
            <v>5.80821918</v>
          </cell>
          <cell r="M428">
            <v>3.73702859</v>
          </cell>
        </row>
        <row r="429">
          <cell r="L429">
            <v>5.8219178100000004</v>
          </cell>
          <cell r="M429">
            <v>3.7392797600000001</v>
          </cell>
        </row>
        <row r="430">
          <cell r="L430">
            <v>5.8356164399999999</v>
          </cell>
          <cell r="M430">
            <v>3.7414801999999998</v>
          </cell>
        </row>
        <row r="431">
          <cell r="L431">
            <v>5.8493150700000003</v>
          </cell>
          <cell r="M431">
            <v>3.7436259000000001</v>
          </cell>
        </row>
        <row r="432">
          <cell r="L432">
            <v>5.8630136999999998</v>
          </cell>
          <cell r="M432">
            <v>3.7457128499999999</v>
          </cell>
        </row>
        <row r="433">
          <cell r="L433">
            <v>5.8767123300000002</v>
          </cell>
          <cell r="M433">
            <v>3.7477370300000001</v>
          </cell>
        </row>
        <row r="434">
          <cell r="L434">
            <v>5.8904109599999996</v>
          </cell>
          <cell r="M434">
            <v>3.74969442</v>
          </cell>
        </row>
        <row r="435">
          <cell r="L435">
            <v>5.90410959</v>
          </cell>
          <cell r="M435">
            <v>3.7515810100000002</v>
          </cell>
        </row>
        <row r="436">
          <cell r="L436">
            <v>5.9178082200000004</v>
          </cell>
          <cell r="M436">
            <v>3.7533927899999999</v>
          </cell>
        </row>
        <row r="437">
          <cell r="L437">
            <v>5.9315068499999999</v>
          </cell>
          <cell r="M437">
            <v>3.7551257300000001</v>
          </cell>
        </row>
        <row r="438">
          <cell r="L438">
            <v>5.9452054800000003</v>
          </cell>
          <cell r="M438">
            <v>3.7567758200000001</v>
          </cell>
        </row>
        <row r="439">
          <cell r="L439">
            <v>5.9589041099999998</v>
          </cell>
          <cell r="M439">
            <v>3.75833905</v>
          </cell>
        </row>
        <row r="440">
          <cell r="L440">
            <v>5.9726027400000001</v>
          </cell>
          <cell r="M440">
            <v>3.7598114100000002</v>
          </cell>
        </row>
        <row r="441">
          <cell r="L441">
            <v>5.9863013699999996</v>
          </cell>
          <cell r="M441">
            <v>3.7611888599999999</v>
          </cell>
        </row>
        <row r="442">
          <cell r="L442">
            <v>6</v>
          </cell>
          <cell r="M442">
            <v>3.7624674100000002</v>
          </cell>
        </row>
        <row r="443">
          <cell r="L443">
            <v>6.0136986300000004</v>
          </cell>
          <cell r="M443">
            <v>3.76365536</v>
          </cell>
        </row>
        <row r="444">
          <cell r="L444">
            <v>6.0273972599999999</v>
          </cell>
          <cell r="M444">
            <v>3.7647658599999998</v>
          </cell>
        </row>
        <row r="445">
          <cell r="L445">
            <v>6.0410958900000002</v>
          </cell>
          <cell r="M445">
            <v>3.7658021599999998</v>
          </cell>
        </row>
        <row r="446">
          <cell r="L446">
            <v>6.0547945199999997</v>
          </cell>
          <cell r="M446">
            <v>3.7667674999999998</v>
          </cell>
        </row>
        <row r="447">
          <cell r="L447">
            <v>6.0684931500000001</v>
          </cell>
          <cell r="M447">
            <v>3.7676651300000001</v>
          </cell>
        </row>
        <row r="448">
          <cell r="L448">
            <v>6.0821917799999996</v>
          </cell>
          <cell r="M448">
            <v>3.7684982900000001</v>
          </cell>
        </row>
        <row r="449">
          <cell r="L449">
            <v>6.09589041</v>
          </cell>
          <cell r="M449">
            <v>3.7692702100000002</v>
          </cell>
        </row>
        <row r="450">
          <cell r="L450">
            <v>6.1095890400000004</v>
          </cell>
          <cell r="M450">
            <v>3.76998415</v>
          </cell>
        </row>
        <row r="451">
          <cell r="L451">
            <v>6.1232876699999998</v>
          </cell>
          <cell r="M451">
            <v>3.7706433499999998</v>
          </cell>
        </row>
        <row r="452">
          <cell r="L452">
            <v>6.1369863000000002</v>
          </cell>
          <cell r="M452">
            <v>3.77125105</v>
          </cell>
        </row>
        <row r="453">
          <cell r="L453">
            <v>6.1506849299999997</v>
          </cell>
          <cell r="M453">
            <v>3.7718105</v>
          </cell>
        </row>
        <row r="454">
          <cell r="L454">
            <v>6.1643835600000001</v>
          </cell>
          <cell r="M454">
            <v>3.7723249299999999</v>
          </cell>
        </row>
        <row r="455">
          <cell r="L455">
            <v>6.1780821899999996</v>
          </cell>
          <cell r="M455">
            <v>3.7727976000000001</v>
          </cell>
        </row>
        <row r="456">
          <cell r="L456">
            <v>6.19178082</v>
          </cell>
          <cell r="M456">
            <v>3.7732317399999999</v>
          </cell>
        </row>
        <row r="457">
          <cell r="L457">
            <v>6.2054794500000003</v>
          </cell>
          <cell r="M457">
            <v>3.7736306000000002</v>
          </cell>
        </row>
        <row r="458">
          <cell r="L458">
            <v>6.2191780799999998</v>
          </cell>
          <cell r="M458">
            <v>3.7739974200000002</v>
          </cell>
        </row>
        <row r="459">
          <cell r="L459">
            <v>6.2328767100000002</v>
          </cell>
          <cell r="M459">
            <v>3.7743354500000001</v>
          </cell>
        </row>
        <row r="460">
          <cell r="L460">
            <v>6.2465753399999997</v>
          </cell>
          <cell r="M460">
            <v>3.77464793</v>
          </cell>
        </row>
        <row r="461">
          <cell r="L461">
            <v>6.2602739700000001</v>
          </cell>
          <cell r="M461">
            <v>3.7749381</v>
          </cell>
        </row>
        <row r="462">
          <cell r="L462">
            <v>6.2739725999999996</v>
          </cell>
          <cell r="M462">
            <v>3.7752092099999999</v>
          </cell>
        </row>
        <row r="463">
          <cell r="L463">
            <v>6.2876712299999999</v>
          </cell>
          <cell r="M463">
            <v>3.7754644900000001</v>
          </cell>
        </row>
        <row r="464">
          <cell r="L464">
            <v>6.3013698600000003</v>
          </cell>
          <cell r="M464">
            <v>3.7757071999999998</v>
          </cell>
        </row>
        <row r="465">
          <cell r="L465">
            <v>6.3150684899999998</v>
          </cell>
          <cell r="M465">
            <v>3.7759405699999999</v>
          </cell>
        </row>
        <row r="466">
          <cell r="L466">
            <v>6.3287671200000002</v>
          </cell>
          <cell r="M466">
            <v>3.7761678500000002</v>
          </cell>
        </row>
        <row r="467">
          <cell r="L467">
            <v>6.3424657499999997</v>
          </cell>
          <cell r="M467">
            <v>3.77639229</v>
          </cell>
        </row>
        <row r="468">
          <cell r="L468">
            <v>6.3561643800000001</v>
          </cell>
          <cell r="M468">
            <v>3.77661712</v>
          </cell>
        </row>
        <row r="469">
          <cell r="L469">
            <v>6.3698630100000004</v>
          </cell>
          <cell r="M469">
            <v>3.7768455900000002</v>
          </cell>
        </row>
        <row r="470">
          <cell r="L470">
            <v>6.3835616399999999</v>
          </cell>
          <cell r="M470">
            <v>3.7770809500000002</v>
          </cell>
        </row>
        <row r="471">
          <cell r="L471">
            <v>6.3972602700000003</v>
          </cell>
          <cell r="M471">
            <v>3.77732643</v>
          </cell>
        </row>
        <row r="472">
          <cell r="L472">
            <v>6.4109588999999998</v>
          </cell>
          <cell r="M472">
            <v>3.7775852799999998</v>
          </cell>
        </row>
        <row r="473">
          <cell r="L473">
            <v>6.4246575300000002</v>
          </cell>
          <cell r="M473">
            <v>3.7778607499999999</v>
          </cell>
        </row>
        <row r="474">
          <cell r="L474">
            <v>6.4383561599999997</v>
          </cell>
          <cell r="M474">
            <v>3.7781560700000001</v>
          </cell>
        </row>
        <row r="475">
          <cell r="L475">
            <v>6.45205479</v>
          </cell>
          <cell r="M475">
            <v>3.7784744899999998</v>
          </cell>
        </row>
        <row r="476">
          <cell r="L476">
            <v>6.4657534200000004</v>
          </cell>
          <cell r="M476">
            <v>3.7788192600000001</v>
          </cell>
        </row>
        <row r="477">
          <cell r="L477">
            <v>6.4794520499999999</v>
          </cell>
          <cell r="M477">
            <v>3.7791936100000001</v>
          </cell>
        </row>
        <row r="478">
          <cell r="L478">
            <v>6.4931506800000003</v>
          </cell>
          <cell r="M478">
            <v>3.7796007899999999</v>
          </cell>
        </row>
        <row r="479">
          <cell r="L479">
            <v>6.5068493199999997</v>
          </cell>
          <cell r="M479">
            <v>3.78003636</v>
          </cell>
        </row>
        <row r="480">
          <cell r="L480">
            <v>6.5205479500000001</v>
          </cell>
          <cell r="M480">
            <v>3.7804566999999998</v>
          </cell>
        </row>
        <row r="481">
          <cell r="L481">
            <v>6.5342465799999996</v>
          </cell>
          <cell r="M481">
            <v>3.78085549</v>
          </cell>
        </row>
        <row r="482">
          <cell r="L482">
            <v>6.54794521</v>
          </cell>
          <cell r="M482">
            <v>3.7812340199999999</v>
          </cell>
        </row>
        <row r="483">
          <cell r="L483">
            <v>6.5616438400000003</v>
          </cell>
          <cell r="M483">
            <v>3.7815935600000001</v>
          </cell>
        </row>
        <row r="484">
          <cell r="L484">
            <v>6.5753424699999998</v>
          </cell>
          <cell r="M484">
            <v>3.78193541</v>
          </cell>
        </row>
        <row r="485">
          <cell r="L485">
            <v>6.5890411000000002</v>
          </cell>
          <cell r="M485">
            <v>3.7822608400000002</v>
          </cell>
        </row>
        <row r="486">
          <cell r="L486">
            <v>6.6027397299999997</v>
          </cell>
          <cell r="M486">
            <v>3.7825711399999999</v>
          </cell>
        </row>
        <row r="487">
          <cell r="L487">
            <v>6.6164383600000001</v>
          </cell>
          <cell r="M487">
            <v>3.7828675999999999</v>
          </cell>
        </row>
        <row r="488">
          <cell r="L488">
            <v>6.6301369899999996</v>
          </cell>
          <cell r="M488">
            <v>3.7831514899999998</v>
          </cell>
        </row>
        <row r="489">
          <cell r="L489">
            <v>6.6438356199999999</v>
          </cell>
          <cell r="M489">
            <v>3.7834241099999999</v>
          </cell>
        </row>
        <row r="490">
          <cell r="L490">
            <v>6.6575342500000003</v>
          </cell>
          <cell r="M490">
            <v>3.7836867299999999</v>
          </cell>
        </row>
        <row r="491">
          <cell r="L491">
            <v>6.6712328799999998</v>
          </cell>
          <cell r="M491">
            <v>3.7839406499999999</v>
          </cell>
        </row>
        <row r="492">
          <cell r="L492">
            <v>6.6849315100000002</v>
          </cell>
          <cell r="M492">
            <v>3.7841871399999998</v>
          </cell>
        </row>
        <row r="493">
          <cell r="L493">
            <v>6.6986301399999997</v>
          </cell>
          <cell r="M493">
            <v>3.7844274900000001</v>
          </cell>
        </row>
        <row r="494">
          <cell r="L494">
            <v>6.7123287700000001</v>
          </cell>
          <cell r="M494">
            <v>3.7846629900000002</v>
          </cell>
        </row>
        <row r="495">
          <cell r="L495">
            <v>6.7260274000000004</v>
          </cell>
          <cell r="M495">
            <v>3.7848949099999998</v>
          </cell>
        </row>
        <row r="496">
          <cell r="L496">
            <v>6.7397260299999999</v>
          </cell>
          <cell r="M496">
            <v>3.7851245499999999</v>
          </cell>
        </row>
        <row r="497">
          <cell r="L497">
            <v>6.7534246600000003</v>
          </cell>
          <cell r="M497">
            <v>3.78535318</v>
          </cell>
        </row>
        <row r="498">
          <cell r="L498">
            <v>6.7671232899999998</v>
          </cell>
          <cell r="M498">
            <v>3.7855820900000001</v>
          </cell>
        </row>
        <row r="499">
          <cell r="L499">
            <v>6.7808219200000002</v>
          </cell>
          <cell r="M499">
            <v>3.78581257</v>
          </cell>
        </row>
        <row r="500">
          <cell r="L500">
            <v>6.7945205499999997</v>
          </cell>
          <cell r="M500">
            <v>3.78604589</v>
          </cell>
        </row>
        <row r="501">
          <cell r="L501">
            <v>6.80821918</v>
          </cell>
          <cell r="M501">
            <v>3.7862833500000002</v>
          </cell>
        </row>
        <row r="502">
          <cell r="L502">
            <v>6.8219178100000004</v>
          </cell>
          <cell r="M502">
            <v>3.7865262199999998</v>
          </cell>
        </row>
        <row r="503">
          <cell r="L503">
            <v>6.8356164399999999</v>
          </cell>
          <cell r="M503">
            <v>3.7867758</v>
          </cell>
        </row>
        <row r="504">
          <cell r="L504">
            <v>6.8493150700000003</v>
          </cell>
          <cell r="M504">
            <v>3.7870333600000001</v>
          </cell>
        </row>
        <row r="505">
          <cell r="L505">
            <v>6.8630136999999998</v>
          </cell>
          <cell r="M505">
            <v>3.7873001899999998</v>
          </cell>
        </row>
        <row r="506">
          <cell r="L506">
            <v>6.8767123300000002</v>
          </cell>
          <cell r="M506">
            <v>3.7875775699999998</v>
          </cell>
        </row>
        <row r="507">
          <cell r="L507">
            <v>6.8904109599999996</v>
          </cell>
          <cell r="M507">
            <v>3.7878668000000002</v>
          </cell>
        </row>
        <row r="508">
          <cell r="L508">
            <v>6.90410959</v>
          </cell>
          <cell r="M508">
            <v>3.7881691399999999</v>
          </cell>
        </row>
        <row r="509">
          <cell r="L509">
            <v>6.9178082200000004</v>
          </cell>
          <cell r="M509">
            <v>3.78848589</v>
          </cell>
        </row>
        <row r="510">
          <cell r="L510">
            <v>6.9315068499999999</v>
          </cell>
          <cell r="M510">
            <v>3.7888183299999998</v>
          </cell>
        </row>
        <row r="511">
          <cell r="L511">
            <v>6.9452054800000003</v>
          </cell>
          <cell r="M511">
            <v>3.7891677399999999</v>
          </cell>
        </row>
        <row r="512">
          <cell r="L512">
            <v>6.9589041099999998</v>
          </cell>
          <cell r="M512">
            <v>3.78953541</v>
          </cell>
        </row>
        <row r="513">
          <cell r="L513">
            <v>6.9726027400000001</v>
          </cell>
          <cell r="M513">
            <v>3.78992262</v>
          </cell>
        </row>
        <row r="514">
          <cell r="L514">
            <v>6.9863013699999996</v>
          </cell>
          <cell r="M514">
            <v>3.7903306699999999</v>
          </cell>
        </row>
        <row r="515">
          <cell r="L515">
            <v>7</v>
          </cell>
          <cell r="M515">
            <v>3.79076082</v>
          </cell>
        </row>
        <row r="516">
          <cell r="L516">
            <v>7.0136986300000004</v>
          </cell>
          <cell r="M516">
            <v>3.7912289299999999</v>
          </cell>
        </row>
        <row r="517">
          <cell r="L517">
            <v>7.0273972599999999</v>
          </cell>
          <cell r="M517">
            <v>3.7917484899999998</v>
          </cell>
        </row>
        <row r="518">
          <cell r="L518">
            <v>7.0410958900000002</v>
          </cell>
          <cell r="M518">
            <v>3.7923172900000002</v>
          </cell>
        </row>
        <row r="519">
          <cell r="L519">
            <v>7.0547945199999997</v>
          </cell>
          <cell r="M519">
            <v>3.7929330800000001</v>
          </cell>
        </row>
        <row r="520">
          <cell r="L520">
            <v>7.0684931500000001</v>
          </cell>
          <cell r="M520">
            <v>3.79359365</v>
          </cell>
        </row>
        <row r="521">
          <cell r="L521">
            <v>7.0821917799999996</v>
          </cell>
          <cell r="M521">
            <v>3.79429675</v>
          </cell>
        </row>
        <row r="522">
          <cell r="L522">
            <v>7.09589041</v>
          </cell>
          <cell r="M522">
            <v>3.7950401500000002</v>
          </cell>
        </row>
        <row r="523">
          <cell r="L523">
            <v>7.1095890400000004</v>
          </cell>
          <cell r="M523">
            <v>3.7958216299999998</v>
          </cell>
        </row>
        <row r="524">
          <cell r="L524">
            <v>7.1232876699999998</v>
          </cell>
          <cell r="M524">
            <v>3.7966389600000001</v>
          </cell>
        </row>
        <row r="525">
          <cell r="L525">
            <v>7.1369863000000002</v>
          </cell>
          <cell r="M525">
            <v>3.7974899</v>
          </cell>
        </row>
        <row r="526">
          <cell r="L526">
            <v>7.1506849299999997</v>
          </cell>
          <cell r="M526">
            <v>3.79837223</v>
          </cell>
        </row>
        <row r="527">
          <cell r="L527">
            <v>7.1643835600000001</v>
          </cell>
          <cell r="M527">
            <v>3.7992837100000001</v>
          </cell>
        </row>
        <row r="528">
          <cell r="L528">
            <v>7.1780821899999996</v>
          </cell>
          <cell r="M528">
            <v>3.80022211</v>
          </cell>
        </row>
        <row r="529">
          <cell r="L529">
            <v>7.19178082</v>
          </cell>
          <cell r="M529">
            <v>3.8011852099999999</v>
          </cell>
        </row>
        <row r="530">
          <cell r="L530">
            <v>7.2054794500000003</v>
          </cell>
          <cell r="M530">
            <v>3.80217077</v>
          </cell>
        </row>
        <row r="531">
          <cell r="L531">
            <v>7.2191780799999998</v>
          </cell>
          <cell r="M531">
            <v>3.8031765499999999</v>
          </cell>
        </row>
        <row r="532">
          <cell r="L532">
            <v>7.2328767100000002</v>
          </cell>
          <cell r="M532">
            <v>3.80420034</v>
          </cell>
        </row>
        <row r="533">
          <cell r="L533">
            <v>7.2465753399999997</v>
          </cell>
          <cell r="M533">
            <v>3.8052399000000001</v>
          </cell>
        </row>
        <row r="534">
          <cell r="L534">
            <v>7.2602739700000001</v>
          </cell>
          <cell r="M534">
            <v>3.8062930000000001</v>
          </cell>
        </row>
        <row r="535">
          <cell r="L535">
            <v>7.2739725999999996</v>
          </cell>
          <cell r="M535">
            <v>3.8073574099999998</v>
          </cell>
        </row>
        <row r="536">
          <cell r="L536">
            <v>7.2876712299999999</v>
          </cell>
          <cell r="M536">
            <v>3.8084308899999999</v>
          </cell>
        </row>
        <row r="537">
          <cell r="L537">
            <v>7.3013698600000003</v>
          </cell>
          <cell r="M537">
            <v>3.80951123</v>
          </cell>
        </row>
        <row r="538">
          <cell r="L538">
            <v>7.3150684899999998</v>
          </cell>
          <cell r="M538">
            <v>3.8105961800000001</v>
          </cell>
        </row>
        <row r="539">
          <cell r="L539">
            <v>7.3287671200000002</v>
          </cell>
          <cell r="M539">
            <v>3.8116835199999999</v>
          </cell>
        </row>
        <row r="540">
          <cell r="L540">
            <v>7.3424657499999997</v>
          </cell>
          <cell r="M540">
            <v>3.8127710100000001</v>
          </cell>
        </row>
        <row r="541">
          <cell r="L541">
            <v>7.3561643800000001</v>
          </cell>
          <cell r="M541">
            <v>3.81385643</v>
          </cell>
        </row>
        <row r="542">
          <cell r="L542">
            <v>7.3698630100000004</v>
          </cell>
          <cell r="M542">
            <v>3.8149375399999998</v>
          </cell>
        </row>
        <row r="543">
          <cell r="L543">
            <v>7.3835616399999999</v>
          </cell>
          <cell r="M543">
            <v>3.8160121199999999</v>
          </cell>
        </row>
        <row r="544">
          <cell r="L544">
            <v>7.3972602700000003</v>
          </cell>
          <cell r="M544">
            <v>3.81707793</v>
          </cell>
        </row>
        <row r="545">
          <cell r="L545">
            <v>7.4109588999999998</v>
          </cell>
          <cell r="M545">
            <v>3.8181327500000002</v>
          </cell>
        </row>
        <row r="546">
          <cell r="L546">
            <v>7.4246575300000002</v>
          </cell>
          <cell r="M546">
            <v>3.8191743300000001</v>
          </cell>
        </row>
        <row r="547">
          <cell r="L547">
            <v>7.4383561599999997</v>
          </cell>
          <cell r="M547">
            <v>3.8202004600000001</v>
          </cell>
        </row>
        <row r="548">
          <cell r="L548">
            <v>7.45205479</v>
          </cell>
          <cell r="M548">
            <v>3.8212089100000002</v>
          </cell>
        </row>
        <row r="549">
          <cell r="L549">
            <v>7.4657534200000004</v>
          </cell>
          <cell r="M549">
            <v>3.8221974300000001</v>
          </cell>
        </row>
        <row r="550">
          <cell r="L550">
            <v>7.4794520499999999</v>
          </cell>
          <cell r="M550">
            <v>3.8231638000000001</v>
          </cell>
        </row>
        <row r="551">
          <cell r="L551">
            <v>7.4931506800000003</v>
          </cell>
          <cell r="M551">
            <v>3.8241057899999999</v>
          </cell>
        </row>
        <row r="552">
          <cell r="L552">
            <v>7.5068493199999997</v>
          </cell>
          <cell r="M552">
            <v>3.8250253000000001</v>
          </cell>
        </row>
        <row r="553">
          <cell r="L553">
            <v>7.5205479500000001</v>
          </cell>
          <cell r="M553">
            <v>3.82594543</v>
          </cell>
        </row>
        <row r="554">
          <cell r="L554">
            <v>7.5342465799999996</v>
          </cell>
          <cell r="M554">
            <v>3.8268693699999998</v>
          </cell>
        </row>
        <row r="555">
          <cell r="L555">
            <v>7.54794521</v>
          </cell>
          <cell r="M555">
            <v>3.8277962699999999</v>
          </cell>
        </row>
        <row r="556">
          <cell r="L556">
            <v>7.5616438400000003</v>
          </cell>
          <cell r="M556">
            <v>3.8287252399999998</v>
          </cell>
        </row>
        <row r="557">
          <cell r="L557">
            <v>7.5753424699999998</v>
          </cell>
          <cell r="M557">
            <v>3.8296554299999999</v>
          </cell>
        </row>
        <row r="558">
          <cell r="L558">
            <v>7.5890411000000002</v>
          </cell>
          <cell r="M558">
            <v>3.8305859600000001</v>
          </cell>
        </row>
        <row r="559">
          <cell r="L559">
            <v>7.6027397299999997</v>
          </cell>
          <cell r="M559">
            <v>3.8315159599999999</v>
          </cell>
        </row>
        <row r="560">
          <cell r="L560">
            <v>7.6164383600000001</v>
          </cell>
          <cell r="M560">
            <v>3.8324445599999999</v>
          </cell>
        </row>
        <row r="561">
          <cell r="L561">
            <v>7.6301369899999996</v>
          </cell>
          <cell r="M561">
            <v>3.8333708999999998</v>
          </cell>
        </row>
        <row r="562">
          <cell r="L562">
            <v>7.6438356199999999</v>
          </cell>
          <cell r="M562">
            <v>3.8342941000000001</v>
          </cell>
        </row>
        <row r="563">
          <cell r="L563">
            <v>7.6575342500000003</v>
          </cell>
          <cell r="M563">
            <v>3.83521329</v>
          </cell>
        </row>
        <row r="564">
          <cell r="L564">
            <v>7.6712328799999998</v>
          </cell>
          <cell r="M564">
            <v>3.8361276200000001</v>
          </cell>
        </row>
        <row r="565">
          <cell r="L565">
            <v>7.6849315100000002</v>
          </cell>
          <cell r="M565">
            <v>3.8370362</v>
          </cell>
        </row>
        <row r="566">
          <cell r="L566">
            <v>7.6986301399999997</v>
          </cell>
          <cell r="M566">
            <v>3.8379381600000002</v>
          </cell>
        </row>
        <row r="567">
          <cell r="L567">
            <v>7.7123287700000001</v>
          </cell>
          <cell r="M567">
            <v>3.8388326500000001</v>
          </cell>
        </row>
        <row r="568">
          <cell r="L568">
            <v>7.7260274000000004</v>
          </cell>
          <cell r="M568">
            <v>3.8397187800000001</v>
          </cell>
        </row>
        <row r="569">
          <cell r="L569">
            <v>7.7397260299999999</v>
          </cell>
          <cell r="M569">
            <v>3.8405956899999998</v>
          </cell>
        </row>
        <row r="570">
          <cell r="L570">
            <v>7.7534246600000003</v>
          </cell>
          <cell r="M570">
            <v>3.8414625099999999</v>
          </cell>
        </row>
        <row r="571">
          <cell r="L571">
            <v>7.7671232899999998</v>
          </cell>
          <cell r="M571">
            <v>3.84231838</v>
          </cell>
        </row>
        <row r="572">
          <cell r="L572">
            <v>7.7808219200000002</v>
          </cell>
          <cell r="M572">
            <v>3.8431624100000001</v>
          </cell>
        </row>
        <row r="573">
          <cell r="L573">
            <v>7.7945205499999997</v>
          </cell>
          <cell r="M573">
            <v>3.8439937500000001</v>
          </cell>
        </row>
        <row r="574">
          <cell r="L574">
            <v>7.80821918</v>
          </cell>
          <cell r="M574">
            <v>3.84481151</v>
          </cell>
        </row>
        <row r="575">
          <cell r="L575">
            <v>7.8219178100000004</v>
          </cell>
          <cell r="M575">
            <v>3.84561485</v>
          </cell>
        </row>
        <row r="576">
          <cell r="L576">
            <v>7.8356164399999999</v>
          </cell>
          <cell r="M576">
            <v>3.8464028699999999</v>
          </cell>
        </row>
        <row r="577">
          <cell r="L577">
            <v>7.8493150700000003</v>
          </cell>
          <cell r="M577">
            <v>3.8471747199999999</v>
          </cell>
        </row>
        <row r="578">
          <cell r="L578">
            <v>7.8630136999999998</v>
          </cell>
          <cell r="M578">
            <v>3.84792953</v>
          </cell>
        </row>
        <row r="579">
          <cell r="L579">
            <v>7.8767123300000002</v>
          </cell>
          <cell r="M579">
            <v>3.8486664199999998</v>
          </cell>
        </row>
        <row r="580">
          <cell r="L580">
            <v>7.8904109599999996</v>
          </cell>
          <cell r="M580">
            <v>3.84938453</v>
          </cell>
        </row>
        <row r="581">
          <cell r="L581">
            <v>7.90410959</v>
          </cell>
          <cell r="M581">
            <v>3.8500829900000002</v>
          </cell>
        </row>
        <row r="582">
          <cell r="L582">
            <v>7.9178082200000004</v>
          </cell>
          <cell r="M582">
            <v>3.8507609199999999</v>
          </cell>
        </row>
        <row r="583">
          <cell r="L583">
            <v>7.9315068499999999</v>
          </cell>
          <cell r="M583">
            <v>3.85141746</v>
          </cell>
        </row>
        <row r="584">
          <cell r="L584">
            <v>7.9452054800000003</v>
          </cell>
          <cell r="M584">
            <v>3.8520517500000002</v>
          </cell>
        </row>
        <row r="585">
          <cell r="L585">
            <v>7.9589041099999998</v>
          </cell>
          <cell r="M585">
            <v>3.8526628999999999</v>
          </cell>
        </row>
        <row r="586">
          <cell r="L586">
            <v>7.9726027400000001</v>
          </cell>
          <cell r="M586">
            <v>3.8532500500000002</v>
          </cell>
        </row>
        <row r="587">
          <cell r="L587">
            <v>7.9863013699999996</v>
          </cell>
          <cell r="M587">
            <v>3.8538123400000002</v>
          </cell>
        </row>
        <row r="588">
          <cell r="L588">
            <v>8</v>
          </cell>
          <cell r="M588">
            <v>3.8543488899999998</v>
          </cell>
        </row>
        <row r="589">
          <cell r="L589">
            <v>8.0136986300000004</v>
          </cell>
          <cell r="M589">
            <v>3.8548654299999998</v>
          </cell>
        </row>
        <row r="590">
          <cell r="L590">
            <v>8.0273972600000008</v>
          </cell>
          <cell r="M590">
            <v>3.8553685799999999</v>
          </cell>
        </row>
        <row r="591">
          <cell r="L591">
            <v>8.0410958899999994</v>
          </cell>
          <cell r="M591">
            <v>3.8558588</v>
          </cell>
        </row>
        <row r="592">
          <cell r="L592">
            <v>8.0547945199999997</v>
          </cell>
          <cell r="M592">
            <v>3.85633655</v>
          </cell>
        </row>
        <row r="593">
          <cell r="L593">
            <v>8.0684931500000001</v>
          </cell>
          <cell r="M593">
            <v>3.8568023</v>
          </cell>
        </row>
        <row r="594">
          <cell r="L594">
            <v>8.0821917800000005</v>
          </cell>
          <cell r="M594">
            <v>3.8572565000000001</v>
          </cell>
        </row>
        <row r="595">
          <cell r="L595">
            <v>8.0958904100000009</v>
          </cell>
          <cell r="M595">
            <v>3.85769962</v>
          </cell>
        </row>
        <row r="596">
          <cell r="L596">
            <v>8.1095890399999995</v>
          </cell>
          <cell r="M596">
            <v>3.8581321100000001</v>
          </cell>
        </row>
        <row r="597">
          <cell r="L597">
            <v>8.1232876699999998</v>
          </cell>
          <cell r="M597">
            <v>3.8585544399999998</v>
          </cell>
        </row>
        <row r="598">
          <cell r="L598">
            <v>8.1369863000000002</v>
          </cell>
          <cell r="M598">
            <v>3.8589670599999999</v>
          </cell>
        </row>
        <row r="599">
          <cell r="L599">
            <v>8.1506849300000006</v>
          </cell>
          <cell r="M599">
            <v>3.8593704500000001</v>
          </cell>
        </row>
        <row r="600">
          <cell r="L600">
            <v>8.1643835599999992</v>
          </cell>
          <cell r="M600">
            <v>3.85976505</v>
          </cell>
        </row>
        <row r="601">
          <cell r="L601">
            <v>8.1780821899999996</v>
          </cell>
          <cell r="M601">
            <v>3.8601513399999998</v>
          </cell>
        </row>
        <row r="602">
          <cell r="L602">
            <v>8.19178082</v>
          </cell>
          <cell r="M602">
            <v>3.8605297699999999</v>
          </cell>
        </row>
        <row r="603">
          <cell r="L603">
            <v>8.2054794500000003</v>
          </cell>
          <cell r="M603">
            <v>3.8609008</v>
          </cell>
        </row>
        <row r="604">
          <cell r="L604">
            <v>8.2191780800000007</v>
          </cell>
          <cell r="M604">
            <v>3.8612648900000002</v>
          </cell>
        </row>
        <row r="605">
          <cell r="L605">
            <v>8.2328767099999993</v>
          </cell>
          <cell r="M605">
            <v>3.8616225100000001</v>
          </cell>
        </row>
        <row r="606">
          <cell r="L606">
            <v>8.2465753399999997</v>
          </cell>
          <cell r="M606">
            <v>3.8619741200000002</v>
          </cell>
        </row>
        <row r="607">
          <cell r="L607">
            <v>8.2602739700000001</v>
          </cell>
          <cell r="M607">
            <v>3.8623201699999998</v>
          </cell>
        </row>
        <row r="608">
          <cell r="L608">
            <v>8.2739726000000005</v>
          </cell>
          <cell r="M608">
            <v>3.8626611199999998</v>
          </cell>
        </row>
        <row r="609">
          <cell r="L609">
            <v>8.2876712300000008</v>
          </cell>
          <cell r="M609">
            <v>3.8629974499999999</v>
          </cell>
        </row>
        <row r="610">
          <cell r="L610">
            <v>8.3013698599999994</v>
          </cell>
          <cell r="M610">
            <v>3.8633296100000001</v>
          </cell>
        </row>
        <row r="611">
          <cell r="L611">
            <v>8.3150684899999998</v>
          </cell>
          <cell r="M611">
            <v>3.8636580500000002</v>
          </cell>
        </row>
        <row r="612">
          <cell r="L612">
            <v>8.3287671200000002</v>
          </cell>
          <cell r="M612">
            <v>3.86398325</v>
          </cell>
        </row>
        <row r="613">
          <cell r="L613">
            <v>8.3424657500000006</v>
          </cell>
          <cell r="M613">
            <v>3.8643056599999999</v>
          </cell>
        </row>
        <row r="614">
          <cell r="L614">
            <v>8.3561643799999992</v>
          </cell>
          <cell r="M614">
            <v>3.8646257500000001</v>
          </cell>
        </row>
        <row r="615">
          <cell r="L615">
            <v>8.3698630099999995</v>
          </cell>
          <cell r="M615">
            <v>3.8649439700000001</v>
          </cell>
        </row>
        <row r="616">
          <cell r="L616">
            <v>8.3835616399999999</v>
          </cell>
          <cell r="M616">
            <v>3.8652607799999998</v>
          </cell>
        </row>
        <row r="617">
          <cell r="L617">
            <v>8.3972602700000003</v>
          </cell>
          <cell r="M617">
            <v>3.8655766499999999</v>
          </cell>
        </row>
        <row r="618">
          <cell r="L618">
            <v>8.4109589000000007</v>
          </cell>
          <cell r="M618">
            <v>3.8658920399999999</v>
          </cell>
        </row>
        <row r="619">
          <cell r="L619">
            <v>8.4246575299999993</v>
          </cell>
          <cell r="M619">
            <v>3.8662074</v>
          </cell>
        </row>
        <row r="620">
          <cell r="L620">
            <v>8.4383561599999997</v>
          </cell>
          <cell r="M620">
            <v>3.86652321</v>
          </cell>
        </row>
        <row r="621">
          <cell r="L621">
            <v>8.45205479</v>
          </cell>
          <cell r="M621">
            <v>3.8668399099999999</v>
          </cell>
        </row>
        <row r="622">
          <cell r="L622">
            <v>8.4657534200000004</v>
          </cell>
          <cell r="M622">
            <v>3.86715798</v>
          </cell>
        </row>
        <row r="623">
          <cell r="L623">
            <v>8.4794520500000008</v>
          </cell>
          <cell r="M623">
            <v>3.8674778700000001</v>
          </cell>
        </row>
        <row r="624">
          <cell r="L624">
            <v>8.4931506799999994</v>
          </cell>
          <cell r="M624">
            <v>3.8678000400000001</v>
          </cell>
        </row>
        <row r="625">
          <cell r="L625">
            <v>8.5068493200000006</v>
          </cell>
          <cell r="M625">
            <v>3.86812399</v>
          </cell>
        </row>
        <row r="626">
          <cell r="L626">
            <v>8.5205479499999992</v>
          </cell>
          <cell r="M626">
            <v>3.8684441899999999</v>
          </cell>
        </row>
        <row r="627">
          <cell r="L627">
            <v>8.5342465799999996</v>
          </cell>
          <cell r="M627">
            <v>3.8687596900000001</v>
          </cell>
        </row>
        <row r="628">
          <cell r="L628">
            <v>8.54794521</v>
          </cell>
          <cell r="M628">
            <v>3.8690704999999999</v>
          </cell>
        </row>
        <row r="629">
          <cell r="L629">
            <v>8.5616438400000003</v>
          </cell>
          <cell r="M629">
            <v>3.8693766200000002</v>
          </cell>
        </row>
        <row r="630">
          <cell r="L630">
            <v>8.5753424700000007</v>
          </cell>
          <cell r="M630">
            <v>3.8696780400000002</v>
          </cell>
        </row>
        <row r="631">
          <cell r="L631">
            <v>8.5890410999999993</v>
          </cell>
          <cell r="M631">
            <v>3.8699747699999998</v>
          </cell>
        </row>
        <row r="632">
          <cell r="L632">
            <v>8.6027397299999997</v>
          </cell>
          <cell r="M632">
            <v>3.8702668099999999</v>
          </cell>
        </row>
        <row r="633">
          <cell r="L633">
            <v>8.6164383600000001</v>
          </cell>
          <cell r="M633">
            <v>3.8705541499999998</v>
          </cell>
        </row>
        <row r="634">
          <cell r="L634">
            <v>8.6301369900000005</v>
          </cell>
          <cell r="M634">
            <v>3.8708368000000002</v>
          </cell>
        </row>
        <row r="635">
          <cell r="L635">
            <v>8.6438356200000008</v>
          </cell>
          <cell r="M635">
            <v>3.8711147600000002</v>
          </cell>
        </row>
        <row r="636">
          <cell r="L636">
            <v>8.6575342499999994</v>
          </cell>
          <cell r="M636">
            <v>3.8713880199999999</v>
          </cell>
        </row>
        <row r="637">
          <cell r="L637">
            <v>8.6712328799999998</v>
          </cell>
          <cell r="M637">
            <v>3.8716565900000002</v>
          </cell>
        </row>
        <row r="638">
          <cell r="L638">
            <v>8.6849315100000002</v>
          </cell>
          <cell r="M638">
            <v>3.8719204700000001</v>
          </cell>
        </row>
        <row r="639">
          <cell r="L639">
            <v>8.6986301400000006</v>
          </cell>
          <cell r="M639">
            <v>3.87217966</v>
          </cell>
        </row>
        <row r="640">
          <cell r="L640">
            <v>8.7123287699999992</v>
          </cell>
          <cell r="M640">
            <v>3.8724341600000001</v>
          </cell>
        </row>
        <row r="641">
          <cell r="L641">
            <v>8.7260273999999995</v>
          </cell>
          <cell r="M641">
            <v>3.8726839700000002</v>
          </cell>
        </row>
        <row r="642">
          <cell r="L642">
            <v>8.7397260299999999</v>
          </cell>
          <cell r="M642">
            <v>3.87292909</v>
          </cell>
        </row>
        <row r="643">
          <cell r="L643">
            <v>8.7534246600000003</v>
          </cell>
          <cell r="M643">
            <v>3.8731695199999998</v>
          </cell>
        </row>
        <row r="644">
          <cell r="L644">
            <v>8.7671232900000007</v>
          </cell>
          <cell r="M644">
            <v>3.8734052600000002</v>
          </cell>
        </row>
        <row r="645">
          <cell r="L645">
            <v>8.7808219199999993</v>
          </cell>
          <cell r="M645">
            <v>3.8736363100000002</v>
          </cell>
        </row>
        <row r="646">
          <cell r="L646">
            <v>8.7945205499999997</v>
          </cell>
          <cell r="M646">
            <v>3.8738626699999998</v>
          </cell>
        </row>
        <row r="647">
          <cell r="L647">
            <v>8.80821918</v>
          </cell>
          <cell r="M647">
            <v>3.87408434</v>
          </cell>
        </row>
        <row r="648">
          <cell r="L648">
            <v>8.8219178100000004</v>
          </cell>
          <cell r="M648">
            <v>3.8743013300000002</v>
          </cell>
        </row>
        <row r="649">
          <cell r="L649">
            <v>8.8356164400000008</v>
          </cell>
          <cell r="M649">
            <v>3.8745136200000001</v>
          </cell>
        </row>
        <row r="650">
          <cell r="L650">
            <v>8.8493150699999994</v>
          </cell>
          <cell r="M650">
            <v>3.87472123</v>
          </cell>
        </row>
        <row r="651">
          <cell r="L651">
            <v>8.8630136999999998</v>
          </cell>
          <cell r="M651">
            <v>3.87492415</v>
          </cell>
        </row>
        <row r="652">
          <cell r="L652">
            <v>8.8767123300000002</v>
          </cell>
          <cell r="M652">
            <v>3.8751223800000001</v>
          </cell>
        </row>
        <row r="653">
          <cell r="L653">
            <v>8.8904109600000005</v>
          </cell>
          <cell r="M653">
            <v>3.8753159300000002</v>
          </cell>
        </row>
        <row r="654">
          <cell r="L654">
            <v>8.9041095899999991</v>
          </cell>
          <cell r="M654">
            <v>3.8755047899999999</v>
          </cell>
        </row>
        <row r="655">
          <cell r="L655">
            <v>8.9178082199999995</v>
          </cell>
          <cell r="M655">
            <v>3.8756889700000001</v>
          </cell>
        </row>
        <row r="656">
          <cell r="L656">
            <v>8.9315068499999999</v>
          </cell>
          <cell r="M656">
            <v>3.87586846</v>
          </cell>
        </row>
        <row r="657">
          <cell r="L657">
            <v>8.9452054800000003</v>
          </cell>
          <cell r="M657">
            <v>3.8760432599999999</v>
          </cell>
        </row>
        <row r="658">
          <cell r="L658">
            <v>8.9589041100000006</v>
          </cell>
          <cell r="M658">
            <v>3.8762133799999998</v>
          </cell>
        </row>
        <row r="659">
          <cell r="L659">
            <v>8.9726027399999992</v>
          </cell>
          <cell r="M659">
            <v>3.8763788099999998</v>
          </cell>
        </row>
        <row r="660">
          <cell r="L660">
            <v>8.9863013699999996</v>
          </cell>
          <cell r="M660">
            <v>3.8765395599999999</v>
          </cell>
        </row>
        <row r="661">
          <cell r="L661">
            <v>9</v>
          </cell>
          <cell r="M661">
            <v>3.8766956299999999</v>
          </cell>
        </row>
        <row r="662">
          <cell r="L662">
            <v>9.0136986300000004</v>
          </cell>
          <cell r="M662">
            <v>3.8768391200000001</v>
          </cell>
        </row>
        <row r="663">
          <cell r="L663">
            <v>9.0273972600000008</v>
          </cell>
          <cell r="M663">
            <v>3.87696285</v>
          </cell>
        </row>
        <row r="664">
          <cell r="L664">
            <v>9.0410958899999994</v>
          </cell>
          <cell r="M664">
            <v>3.8770678200000002</v>
          </cell>
        </row>
        <row r="665">
          <cell r="L665">
            <v>9.0547945199999997</v>
          </cell>
          <cell r="M665">
            <v>3.8771550700000001</v>
          </cell>
        </row>
        <row r="666">
          <cell r="L666">
            <v>9.0684931500000001</v>
          </cell>
          <cell r="M666">
            <v>3.8772256299999999</v>
          </cell>
        </row>
        <row r="667">
          <cell r="L667">
            <v>9.0821917800000005</v>
          </cell>
          <cell r="M667">
            <v>3.8772805099999998</v>
          </cell>
        </row>
        <row r="668">
          <cell r="L668">
            <v>9.0958904100000009</v>
          </cell>
          <cell r="M668">
            <v>3.87732074</v>
          </cell>
        </row>
        <row r="669">
          <cell r="L669">
            <v>9.1095890399999995</v>
          </cell>
          <cell r="M669">
            <v>3.87734734</v>
          </cell>
        </row>
        <row r="670">
          <cell r="L670">
            <v>9.1232876699999998</v>
          </cell>
          <cell r="M670">
            <v>3.8773613400000002</v>
          </cell>
        </row>
        <row r="671">
          <cell r="L671">
            <v>9.1369863000000002</v>
          </cell>
          <cell r="M671">
            <v>3.8773637700000001</v>
          </cell>
        </row>
        <row r="672">
          <cell r="L672">
            <v>9.1506849300000006</v>
          </cell>
          <cell r="M672">
            <v>3.8773556500000002</v>
          </cell>
        </row>
        <row r="673">
          <cell r="L673">
            <v>9.1643835599999992</v>
          </cell>
          <cell r="M673">
            <v>3.87733799</v>
          </cell>
        </row>
        <row r="674">
          <cell r="L674">
            <v>9.1780821899999996</v>
          </cell>
          <cell r="M674">
            <v>3.87731184</v>
          </cell>
        </row>
        <row r="675">
          <cell r="L675">
            <v>9.19178082</v>
          </cell>
          <cell r="M675">
            <v>3.8772782000000001</v>
          </cell>
        </row>
        <row r="676">
          <cell r="L676">
            <v>9.2054794500000003</v>
          </cell>
          <cell r="M676">
            <v>3.87723811</v>
          </cell>
        </row>
        <row r="677">
          <cell r="L677">
            <v>9.2191780800000007</v>
          </cell>
          <cell r="M677">
            <v>3.8771925999999999</v>
          </cell>
        </row>
        <row r="678">
          <cell r="L678">
            <v>9.2328767099999993</v>
          </cell>
          <cell r="M678">
            <v>3.87714267</v>
          </cell>
        </row>
        <row r="679">
          <cell r="L679">
            <v>9.2465753399999997</v>
          </cell>
          <cell r="M679">
            <v>3.8770893700000002</v>
          </cell>
        </row>
        <row r="680">
          <cell r="L680">
            <v>9.2602739700000001</v>
          </cell>
          <cell r="M680">
            <v>3.8770337100000001</v>
          </cell>
        </row>
        <row r="681">
          <cell r="L681">
            <v>9.2739726000000005</v>
          </cell>
          <cell r="M681">
            <v>3.87697672</v>
          </cell>
        </row>
        <row r="682">
          <cell r="L682">
            <v>9.2876712300000008</v>
          </cell>
          <cell r="M682">
            <v>3.8769194200000001</v>
          </cell>
        </row>
        <row r="683">
          <cell r="L683">
            <v>9.3013698599999994</v>
          </cell>
          <cell r="M683">
            <v>3.8768628399999998</v>
          </cell>
        </row>
        <row r="684">
          <cell r="L684">
            <v>9.3150684899999998</v>
          </cell>
          <cell r="M684">
            <v>3.8768079900000001</v>
          </cell>
        </row>
        <row r="685">
          <cell r="L685">
            <v>9.3287671200000002</v>
          </cell>
          <cell r="M685">
            <v>3.8767559199999999</v>
          </cell>
        </row>
        <row r="686">
          <cell r="L686">
            <v>9.3424657500000006</v>
          </cell>
          <cell r="M686">
            <v>3.8767076399999998</v>
          </cell>
        </row>
        <row r="687">
          <cell r="L687">
            <v>9.3561643799999992</v>
          </cell>
          <cell r="M687">
            <v>3.8766641700000002</v>
          </cell>
        </row>
        <row r="688">
          <cell r="L688">
            <v>9.3698630099999995</v>
          </cell>
          <cell r="M688">
            <v>3.8766265400000002</v>
          </cell>
        </row>
        <row r="689">
          <cell r="L689">
            <v>9.3835616399999999</v>
          </cell>
          <cell r="M689">
            <v>3.8765957700000002</v>
          </cell>
        </row>
        <row r="690">
          <cell r="L690">
            <v>9.3972602700000003</v>
          </cell>
          <cell r="M690">
            <v>3.8765728899999998</v>
          </cell>
        </row>
        <row r="691">
          <cell r="L691">
            <v>9.4109589000000007</v>
          </cell>
          <cell r="M691">
            <v>3.8765589299999998</v>
          </cell>
        </row>
        <row r="692">
          <cell r="L692">
            <v>9.4246575299999993</v>
          </cell>
          <cell r="M692">
            <v>3.8765548999999999</v>
          </cell>
        </row>
        <row r="693">
          <cell r="L693">
            <v>9.4383561599999997</v>
          </cell>
          <cell r="M693">
            <v>3.87656183</v>
          </cell>
        </row>
        <row r="694">
          <cell r="L694">
            <v>9.45205479</v>
          </cell>
          <cell r="M694">
            <v>3.87658075</v>
          </cell>
        </row>
        <row r="695">
          <cell r="L695">
            <v>9.4657534200000004</v>
          </cell>
          <cell r="M695">
            <v>3.87661269</v>
          </cell>
        </row>
        <row r="696">
          <cell r="L696">
            <v>9.4794520500000008</v>
          </cell>
          <cell r="M696">
            <v>3.87665865</v>
          </cell>
        </row>
        <row r="697">
          <cell r="L697">
            <v>9.4931506799999994</v>
          </cell>
          <cell r="M697">
            <v>3.8767196799999999</v>
          </cell>
        </row>
        <row r="698">
          <cell r="L698">
            <v>9.5068493200000006</v>
          </cell>
          <cell r="M698">
            <v>3.8767936999999999</v>
          </cell>
        </row>
        <row r="699">
          <cell r="L699">
            <v>9.5205479499999992</v>
          </cell>
          <cell r="M699">
            <v>3.8768630599999998</v>
          </cell>
        </row>
        <row r="700">
          <cell r="L700">
            <v>9.5342465799999996</v>
          </cell>
          <cell r="M700">
            <v>3.8769253099999998</v>
          </cell>
        </row>
        <row r="701">
          <cell r="L701">
            <v>9.54794521</v>
          </cell>
          <cell r="M701">
            <v>3.8769810699999998</v>
          </cell>
        </row>
        <row r="702">
          <cell r="L702">
            <v>9.5616438400000003</v>
          </cell>
          <cell r="M702">
            <v>3.8770309599999999</v>
          </cell>
        </row>
        <row r="703">
          <cell r="L703">
            <v>9.5753424700000007</v>
          </cell>
          <cell r="M703">
            <v>3.8770756</v>
          </cell>
        </row>
        <row r="704">
          <cell r="L704">
            <v>9.5890410999999993</v>
          </cell>
          <cell r="M704">
            <v>3.8771156000000002</v>
          </cell>
        </row>
        <row r="705">
          <cell r="L705">
            <v>9.6027397299999997</v>
          </cell>
          <cell r="M705">
            <v>3.8771515999999999</v>
          </cell>
        </row>
        <row r="706">
          <cell r="L706">
            <v>9.6164383600000001</v>
          </cell>
          <cell r="M706">
            <v>3.8771842099999998</v>
          </cell>
        </row>
        <row r="707">
          <cell r="L707">
            <v>9.6301369900000005</v>
          </cell>
          <cell r="M707">
            <v>3.8772140400000001</v>
          </cell>
        </row>
        <row r="708">
          <cell r="L708">
            <v>9.6438356200000008</v>
          </cell>
          <cell r="M708">
            <v>3.8772417300000002</v>
          </cell>
        </row>
        <row r="709">
          <cell r="L709">
            <v>9.6575342499999994</v>
          </cell>
          <cell r="M709">
            <v>3.8772678799999998</v>
          </cell>
        </row>
        <row r="710">
          <cell r="L710">
            <v>9.6712328799999998</v>
          </cell>
          <cell r="M710">
            <v>3.87729313</v>
          </cell>
        </row>
        <row r="711">
          <cell r="L711">
            <v>9.6849315100000002</v>
          </cell>
          <cell r="M711">
            <v>3.8773180799999998</v>
          </cell>
        </row>
        <row r="712">
          <cell r="L712">
            <v>9.6986301400000006</v>
          </cell>
          <cell r="M712">
            <v>3.8773433700000002</v>
          </cell>
        </row>
        <row r="713">
          <cell r="L713">
            <v>9.7123287699999992</v>
          </cell>
          <cell r="M713">
            <v>3.8773696100000001</v>
          </cell>
        </row>
        <row r="714">
          <cell r="L714">
            <v>9.7260273999999995</v>
          </cell>
          <cell r="M714">
            <v>3.8773974099999999</v>
          </cell>
        </row>
        <row r="715">
          <cell r="L715">
            <v>9.7397260299999999</v>
          </cell>
          <cell r="M715">
            <v>3.8774274100000001</v>
          </cell>
        </row>
        <row r="716">
          <cell r="L716">
            <v>9.7534246600000003</v>
          </cell>
          <cell r="M716">
            <v>3.8774602200000001</v>
          </cell>
        </row>
        <row r="717">
          <cell r="L717">
            <v>9.7671232900000007</v>
          </cell>
          <cell r="M717">
            <v>3.8774964600000001</v>
          </cell>
        </row>
        <row r="718">
          <cell r="L718">
            <v>9.7808219199999993</v>
          </cell>
          <cell r="M718">
            <v>3.87753675</v>
          </cell>
        </row>
        <row r="719">
          <cell r="L719">
            <v>9.7945205499999997</v>
          </cell>
          <cell r="M719">
            <v>3.8775817099999998</v>
          </cell>
        </row>
        <row r="720">
          <cell r="L720">
            <v>9.80821918</v>
          </cell>
          <cell r="M720">
            <v>3.8776319699999999</v>
          </cell>
        </row>
        <row r="721">
          <cell r="L721">
            <v>9.8219178100000004</v>
          </cell>
          <cell r="M721">
            <v>3.8776881300000001</v>
          </cell>
        </row>
        <row r="722">
          <cell r="L722">
            <v>9.8356164400000008</v>
          </cell>
          <cell r="M722">
            <v>3.8777508300000001</v>
          </cell>
        </row>
        <row r="723">
          <cell r="L723">
            <v>9.8493150699999994</v>
          </cell>
          <cell r="M723">
            <v>3.8778206800000001</v>
          </cell>
        </row>
        <row r="724">
          <cell r="L724">
            <v>9.8630136999999998</v>
          </cell>
          <cell r="M724">
            <v>3.8778983</v>
          </cell>
        </row>
        <row r="725">
          <cell r="L725">
            <v>9.8767123300000002</v>
          </cell>
          <cell r="M725">
            <v>3.87798431</v>
          </cell>
        </row>
        <row r="726">
          <cell r="L726">
            <v>9.8904109600000005</v>
          </cell>
          <cell r="M726">
            <v>3.8780793400000002</v>
          </cell>
        </row>
        <row r="727">
          <cell r="L727">
            <v>9.9041095899999991</v>
          </cell>
          <cell r="M727">
            <v>3.8781839900000001</v>
          </cell>
        </row>
        <row r="728">
          <cell r="L728">
            <v>9.9178082199999995</v>
          </cell>
          <cell r="M728">
            <v>3.8782988999999999</v>
          </cell>
        </row>
        <row r="729">
          <cell r="L729">
            <v>9.9315068499999999</v>
          </cell>
          <cell r="M729">
            <v>3.8784246900000001</v>
          </cell>
        </row>
        <row r="730">
          <cell r="L730">
            <v>9.9452054800000003</v>
          </cell>
          <cell r="M730">
            <v>3.8785619599999999</v>
          </cell>
        </row>
        <row r="731">
          <cell r="L731">
            <v>9.9589041100000006</v>
          </cell>
          <cell r="M731">
            <v>3.8787113500000001</v>
          </cell>
        </row>
        <row r="732">
          <cell r="L732">
            <v>9.9726027399999992</v>
          </cell>
          <cell r="M732">
            <v>3.8788734699999998</v>
          </cell>
        </row>
        <row r="733">
          <cell r="L733">
            <v>9.9863013699999996</v>
          </cell>
          <cell r="M733">
            <v>3.8790489500000001</v>
          </cell>
        </row>
        <row r="734">
          <cell r="L734">
            <v>10</v>
          </cell>
          <cell r="M734">
            <v>3.8792384000000002</v>
          </cell>
        </row>
        <row r="735">
          <cell r="L735">
            <v>10.01369863</v>
          </cell>
          <cell r="M735">
            <v>3.8794438900000001</v>
          </cell>
        </row>
        <row r="736">
          <cell r="L736">
            <v>10.027397260000001</v>
          </cell>
          <cell r="M736">
            <v>3.8796666200000001</v>
          </cell>
        </row>
        <row r="737">
          <cell r="L737">
            <v>10.041095889999999</v>
          </cell>
          <cell r="M737">
            <v>3.8799058199999998</v>
          </cell>
        </row>
        <row r="738">
          <cell r="L738">
            <v>10.05479452</v>
          </cell>
          <cell r="M738">
            <v>3.8801607699999998</v>
          </cell>
        </row>
        <row r="739">
          <cell r="L739">
            <v>10.06849315</v>
          </cell>
          <cell r="M739">
            <v>3.8804307300000001</v>
          </cell>
        </row>
        <row r="740">
          <cell r="L740">
            <v>10.08219178</v>
          </cell>
          <cell r="M740">
            <v>3.8807149700000001</v>
          </cell>
        </row>
        <row r="741">
          <cell r="L741">
            <v>10.095890410000001</v>
          </cell>
          <cell r="M741">
            <v>3.8810127300000001</v>
          </cell>
        </row>
        <row r="742">
          <cell r="L742">
            <v>10.109589039999999</v>
          </cell>
          <cell r="M742">
            <v>3.8813232900000001</v>
          </cell>
        </row>
        <row r="743">
          <cell r="L743">
            <v>10.12328767</v>
          </cell>
          <cell r="M743">
            <v>3.8816459000000001</v>
          </cell>
        </row>
        <row r="744">
          <cell r="L744">
            <v>10.1369863</v>
          </cell>
          <cell r="M744">
            <v>3.8819798300000001</v>
          </cell>
        </row>
        <row r="745">
          <cell r="L745">
            <v>10.150684930000001</v>
          </cell>
          <cell r="M745">
            <v>3.8823243399999998</v>
          </cell>
        </row>
        <row r="746">
          <cell r="L746">
            <v>10.164383559999999</v>
          </cell>
          <cell r="M746">
            <v>3.8826787</v>
          </cell>
        </row>
        <row r="747">
          <cell r="L747">
            <v>10.17808219</v>
          </cell>
          <cell r="M747">
            <v>3.8830421500000001</v>
          </cell>
        </row>
        <row r="748">
          <cell r="L748">
            <v>10.19178082</v>
          </cell>
          <cell r="M748">
            <v>3.8834139699999999</v>
          </cell>
        </row>
        <row r="749">
          <cell r="L749">
            <v>10.20547945</v>
          </cell>
          <cell r="M749">
            <v>3.8837934199999999</v>
          </cell>
        </row>
        <row r="750">
          <cell r="L750">
            <v>10.219178080000001</v>
          </cell>
          <cell r="M750">
            <v>3.8841797599999999</v>
          </cell>
        </row>
        <row r="751">
          <cell r="L751">
            <v>10.232876709999999</v>
          </cell>
          <cell r="M751">
            <v>3.8845722500000002</v>
          </cell>
        </row>
        <row r="752">
          <cell r="L752">
            <v>10.24657534</v>
          </cell>
          <cell r="M752">
            <v>3.88497015</v>
          </cell>
        </row>
        <row r="753">
          <cell r="L753">
            <v>10.26027397</v>
          </cell>
          <cell r="M753">
            <v>3.8853727299999998</v>
          </cell>
        </row>
        <row r="754">
          <cell r="L754">
            <v>10.2739726</v>
          </cell>
          <cell r="M754">
            <v>3.8857792400000002</v>
          </cell>
        </row>
        <row r="755">
          <cell r="L755">
            <v>10.287671230000001</v>
          </cell>
          <cell r="M755">
            <v>3.8861889500000002</v>
          </cell>
        </row>
        <row r="756">
          <cell r="L756">
            <v>10.301369859999999</v>
          </cell>
          <cell r="M756">
            <v>3.8866011199999999</v>
          </cell>
        </row>
        <row r="757">
          <cell r="L757">
            <v>10.31506849</v>
          </cell>
          <cell r="M757">
            <v>3.8870150200000002</v>
          </cell>
        </row>
        <row r="758">
          <cell r="L758">
            <v>10.32876712</v>
          </cell>
          <cell r="M758">
            <v>3.8874298999999999</v>
          </cell>
        </row>
        <row r="759">
          <cell r="L759">
            <v>10.342465750000001</v>
          </cell>
          <cell r="M759">
            <v>3.8878450199999999</v>
          </cell>
        </row>
        <row r="760">
          <cell r="L760">
            <v>10.356164379999999</v>
          </cell>
          <cell r="M760">
            <v>3.8882596500000002</v>
          </cell>
        </row>
        <row r="761">
          <cell r="L761">
            <v>10.36986301</v>
          </cell>
          <cell r="M761">
            <v>3.8886730599999999</v>
          </cell>
        </row>
        <row r="762">
          <cell r="L762">
            <v>10.38356164</v>
          </cell>
          <cell r="M762">
            <v>3.8890844900000001</v>
          </cell>
        </row>
        <row r="763">
          <cell r="L763">
            <v>10.39726027</v>
          </cell>
          <cell r="M763">
            <v>3.8894932199999999</v>
          </cell>
        </row>
        <row r="764">
          <cell r="L764">
            <v>10.410958900000001</v>
          </cell>
          <cell r="M764">
            <v>3.8898985000000001</v>
          </cell>
        </row>
        <row r="765">
          <cell r="L765">
            <v>10.424657529999999</v>
          </cell>
          <cell r="M765">
            <v>3.8902996000000001</v>
          </cell>
        </row>
        <row r="766">
          <cell r="L766">
            <v>10.43835616</v>
          </cell>
          <cell r="M766">
            <v>3.8906957800000002</v>
          </cell>
        </row>
        <row r="767">
          <cell r="L767">
            <v>10.45205479</v>
          </cell>
          <cell r="M767">
            <v>3.8910863</v>
          </cell>
        </row>
        <row r="768">
          <cell r="L768">
            <v>10.46575342</v>
          </cell>
          <cell r="M768">
            <v>3.8914704200000001</v>
          </cell>
        </row>
        <row r="769">
          <cell r="L769">
            <v>10.479452050000001</v>
          </cell>
          <cell r="M769">
            <v>3.89184741</v>
          </cell>
        </row>
        <row r="770">
          <cell r="L770">
            <v>10.493150679999999</v>
          </cell>
          <cell r="M770">
            <v>3.8922165299999998</v>
          </cell>
        </row>
        <row r="771">
          <cell r="L771">
            <v>10.506849320000001</v>
          </cell>
          <cell r="M771">
            <v>3.8925807699999999</v>
          </cell>
        </row>
        <row r="772">
          <cell r="L772">
            <v>10.520547949999999</v>
          </cell>
          <cell r="M772">
            <v>3.89296183</v>
          </cell>
        </row>
        <row r="773">
          <cell r="L773">
            <v>10.53424658</v>
          </cell>
          <cell r="M773">
            <v>3.8933625799999998</v>
          </cell>
        </row>
        <row r="774">
          <cell r="L774">
            <v>10.54794521</v>
          </cell>
          <cell r="M774">
            <v>3.8937821499999998</v>
          </cell>
        </row>
        <row r="775">
          <cell r="L775">
            <v>10.56164384</v>
          </cell>
          <cell r="M775">
            <v>3.8942196999999998</v>
          </cell>
        </row>
        <row r="776">
          <cell r="L776">
            <v>10.575342470000001</v>
          </cell>
          <cell r="M776">
            <v>3.8946743499999998</v>
          </cell>
        </row>
        <row r="777">
          <cell r="L777">
            <v>10.589041099999999</v>
          </cell>
          <cell r="M777">
            <v>3.8951452500000001</v>
          </cell>
        </row>
        <row r="778">
          <cell r="L778">
            <v>10.60273973</v>
          </cell>
          <cell r="M778">
            <v>3.8956315300000002</v>
          </cell>
        </row>
        <row r="779">
          <cell r="L779">
            <v>10.61643836</v>
          </cell>
          <cell r="M779">
            <v>3.89613232</v>
          </cell>
        </row>
        <row r="780">
          <cell r="L780">
            <v>10.63013699</v>
          </cell>
          <cell r="M780">
            <v>3.8966467800000002</v>
          </cell>
        </row>
        <row r="781">
          <cell r="L781">
            <v>10.643835620000001</v>
          </cell>
          <cell r="M781">
            <v>3.89717402</v>
          </cell>
        </row>
        <row r="782">
          <cell r="L782">
            <v>10.657534249999999</v>
          </cell>
          <cell r="M782">
            <v>3.8977132000000001</v>
          </cell>
        </row>
        <row r="783">
          <cell r="L783">
            <v>10.67123288</v>
          </cell>
          <cell r="M783">
            <v>3.89826344</v>
          </cell>
        </row>
        <row r="784">
          <cell r="L784">
            <v>10.68493151</v>
          </cell>
          <cell r="M784">
            <v>3.8988238900000001</v>
          </cell>
        </row>
        <row r="785">
          <cell r="L785">
            <v>10.698630140000001</v>
          </cell>
          <cell r="M785">
            <v>3.8993936900000001</v>
          </cell>
        </row>
        <row r="786">
          <cell r="L786">
            <v>10.712328769999999</v>
          </cell>
          <cell r="M786">
            <v>3.8999719599999998</v>
          </cell>
        </row>
        <row r="787">
          <cell r="L787">
            <v>10.7260274</v>
          </cell>
          <cell r="M787">
            <v>3.9005578600000002</v>
          </cell>
        </row>
        <row r="788">
          <cell r="L788">
            <v>10.73972603</v>
          </cell>
          <cell r="M788">
            <v>3.9011505099999999</v>
          </cell>
        </row>
        <row r="789">
          <cell r="L789">
            <v>10.75342466</v>
          </cell>
          <cell r="M789">
            <v>3.9017490499999998</v>
          </cell>
        </row>
        <row r="790">
          <cell r="L790">
            <v>10.767123290000001</v>
          </cell>
          <cell r="M790">
            <v>3.9023526199999998</v>
          </cell>
        </row>
        <row r="791">
          <cell r="L791">
            <v>10.780821919999999</v>
          </cell>
          <cell r="M791">
            <v>3.9029603700000002</v>
          </cell>
        </row>
        <row r="792">
          <cell r="L792">
            <v>10.79452055</v>
          </cell>
          <cell r="M792">
            <v>3.90357142</v>
          </cell>
        </row>
        <row r="793">
          <cell r="L793">
            <v>10.80821918</v>
          </cell>
          <cell r="M793">
            <v>3.9041849100000001</v>
          </cell>
        </row>
        <row r="794">
          <cell r="L794">
            <v>10.82191781</v>
          </cell>
          <cell r="M794">
            <v>3.9047999899999999</v>
          </cell>
        </row>
        <row r="795">
          <cell r="L795">
            <v>10.835616440000001</v>
          </cell>
          <cell r="M795">
            <v>3.9054157799999998</v>
          </cell>
        </row>
        <row r="796">
          <cell r="L796">
            <v>10.849315069999999</v>
          </cell>
          <cell r="M796">
            <v>3.9060314300000001</v>
          </cell>
        </row>
        <row r="797">
          <cell r="L797">
            <v>10.8630137</v>
          </cell>
          <cell r="M797">
            <v>3.9066460699999999</v>
          </cell>
        </row>
        <row r="798">
          <cell r="L798">
            <v>10.87671233</v>
          </cell>
          <cell r="M798">
            <v>3.9072588499999998</v>
          </cell>
        </row>
        <row r="799">
          <cell r="L799">
            <v>10.890410960000001</v>
          </cell>
          <cell r="M799">
            <v>3.90786889</v>
          </cell>
        </row>
        <row r="800">
          <cell r="L800">
            <v>10.904109589999999</v>
          </cell>
          <cell r="M800">
            <v>3.9084753399999999</v>
          </cell>
        </row>
        <row r="801">
          <cell r="L801">
            <v>10.91780822</v>
          </cell>
          <cell r="M801">
            <v>3.9090773300000001</v>
          </cell>
        </row>
        <row r="802">
          <cell r="L802">
            <v>10.93150685</v>
          </cell>
          <cell r="M802">
            <v>3.9096740099999998</v>
          </cell>
        </row>
        <row r="803">
          <cell r="L803">
            <v>10.94520548</v>
          </cell>
          <cell r="M803">
            <v>3.9102644999999998</v>
          </cell>
        </row>
        <row r="804">
          <cell r="L804">
            <v>10.958904110000001</v>
          </cell>
          <cell r="M804">
            <v>3.91084795</v>
          </cell>
        </row>
        <row r="805">
          <cell r="L805">
            <v>10.972602739999999</v>
          </cell>
          <cell r="M805">
            <v>3.9114235000000002</v>
          </cell>
        </row>
        <row r="806">
          <cell r="L806">
            <v>10.98630137</v>
          </cell>
          <cell r="M806">
            <v>3.91199027</v>
          </cell>
        </row>
        <row r="807">
          <cell r="L807">
            <v>11</v>
          </cell>
          <cell r="M807">
            <v>3.9125474200000001</v>
          </cell>
        </row>
        <row r="808">
          <cell r="L808">
            <v>11.01369863</v>
          </cell>
          <cell r="M808">
            <v>3.9131081399999998</v>
          </cell>
        </row>
        <row r="809">
          <cell r="L809">
            <v>11.027397260000001</v>
          </cell>
          <cell r="M809">
            <v>3.91368575</v>
          </cell>
        </row>
        <row r="810">
          <cell r="L810">
            <v>11.041095889999999</v>
          </cell>
          <cell r="M810">
            <v>3.91427952</v>
          </cell>
        </row>
        <row r="811">
          <cell r="L811">
            <v>11.05479452</v>
          </cell>
          <cell r="M811">
            <v>3.9148887299999999</v>
          </cell>
        </row>
        <row r="812">
          <cell r="L812">
            <v>11.06849315</v>
          </cell>
          <cell r="M812">
            <v>3.9155126600000001</v>
          </cell>
        </row>
        <row r="813">
          <cell r="L813">
            <v>11.08219178</v>
          </cell>
          <cell r="M813">
            <v>3.9161505700000001</v>
          </cell>
        </row>
        <row r="814">
          <cell r="L814">
            <v>11.095890410000001</v>
          </cell>
          <cell r="M814">
            <v>3.9168017499999999</v>
          </cell>
        </row>
        <row r="815">
          <cell r="L815">
            <v>11.109589039999999</v>
          </cell>
          <cell r="M815">
            <v>3.9174654699999998</v>
          </cell>
        </row>
        <row r="816">
          <cell r="L816">
            <v>11.12328767</v>
          </cell>
          <cell r="M816">
            <v>3.9181410099999998</v>
          </cell>
        </row>
        <row r="817">
          <cell r="L817">
            <v>11.1369863</v>
          </cell>
          <cell r="M817">
            <v>3.9188276499999999</v>
          </cell>
        </row>
        <row r="818">
          <cell r="L818">
            <v>11.150684930000001</v>
          </cell>
          <cell r="M818">
            <v>3.9195246500000001</v>
          </cell>
        </row>
        <row r="819">
          <cell r="L819">
            <v>11.164383559999999</v>
          </cell>
          <cell r="M819">
            <v>3.9202313100000001</v>
          </cell>
        </row>
        <row r="820">
          <cell r="L820">
            <v>11.17808219</v>
          </cell>
          <cell r="M820">
            <v>3.9209468900000002</v>
          </cell>
        </row>
        <row r="821">
          <cell r="L821">
            <v>11.19178082</v>
          </cell>
          <cell r="M821">
            <v>3.9216706800000001</v>
          </cell>
        </row>
        <row r="822">
          <cell r="L822">
            <v>11.20547945</v>
          </cell>
          <cell r="M822">
            <v>3.9224019399999999</v>
          </cell>
        </row>
        <row r="823">
          <cell r="L823">
            <v>11.219178080000001</v>
          </cell>
          <cell r="M823">
            <v>3.9231399499999999</v>
          </cell>
        </row>
        <row r="824">
          <cell r="L824">
            <v>11.232876709999999</v>
          </cell>
          <cell r="M824">
            <v>3.9238840000000001</v>
          </cell>
        </row>
        <row r="825">
          <cell r="L825">
            <v>11.24657534</v>
          </cell>
          <cell r="M825">
            <v>3.9246333500000001</v>
          </cell>
        </row>
        <row r="826">
          <cell r="L826">
            <v>11.26027397</v>
          </cell>
          <cell r="M826">
            <v>3.9253872799999998</v>
          </cell>
        </row>
        <row r="827">
          <cell r="L827">
            <v>11.2739726</v>
          </cell>
          <cell r="M827">
            <v>3.92614508</v>
          </cell>
        </row>
        <row r="828">
          <cell r="L828">
            <v>11.287671230000001</v>
          </cell>
          <cell r="M828">
            <v>3.9269060100000002</v>
          </cell>
        </row>
        <row r="829">
          <cell r="L829">
            <v>11.301369859999999</v>
          </cell>
          <cell r="M829">
            <v>3.9276693499999999</v>
          </cell>
        </row>
        <row r="830">
          <cell r="L830">
            <v>11.31506849</v>
          </cell>
          <cell r="M830">
            <v>3.9284343800000001</v>
          </cell>
        </row>
        <row r="831">
          <cell r="L831">
            <v>11.32876712</v>
          </cell>
          <cell r="M831">
            <v>3.9292003700000002</v>
          </cell>
        </row>
        <row r="832">
          <cell r="L832">
            <v>11.342465750000001</v>
          </cell>
          <cell r="M832">
            <v>3.9299666100000001</v>
          </cell>
        </row>
        <row r="833">
          <cell r="L833">
            <v>11.356164379999999</v>
          </cell>
          <cell r="M833">
            <v>3.9307323599999999</v>
          </cell>
        </row>
        <row r="834">
          <cell r="L834">
            <v>11.36986301</v>
          </cell>
          <cell r="M834">
            <v>3.9314969099999999</v>
          </cell>
        </row>
        <row r="835">
          <cell r="L835">
            <v>11.38356164</v>
          </cell>
          <cell r="M835">
            <v>3.9322595300000001</v>
          </cell>
        </row>
        <row r="836">
          <cell r="L836">
            <v>11.39726027</v>
          </cell>
          <cell r="M836">
            <v>3.93301949</v>
          </cell>
        </row>
        <row r="837">
          <cell r="L837">
            <v>11.410958900000001</v>
          </cell>
          <cell r="M837">
            <v>3.9337760799999999</v>
          </cell>
        </row>
        <row r="838">
          <cell r="L838">
            <v>11.424657529999999</v>
          </cell>
          <cell r="M838">
            <v>3.9345285699999999</v>
          </cell>
        </row>
        <row r="839">
          <cell r="L839">
            <v>11.43835616</v>
          </cell>
          <cell r="M839">
            <v>3.9352762299999999</v>
          </cell>
        </row>
        <row r="840">
          <cell r="L840">
            <v>11.45205479</v>
          </cell>
          <cell r="M840">
            <v>3.9360183399999999</v>
          </cell>
        </row>
        <row r="841">
          <cell r="L841">
            <v>11.46575342</v>
          </cell>
          <cell r="M841">
            <v>3.9367541899999998</v>
          </cell>
        </row>
        <row r="842">
          <cell r="L842">
            <v>11.479452050000001</v>
          </cell>
          <cell r="M842">
            <v>3.93748304</v>
          </cell>
        </row>
        <row r="843">
          <cell r="L843">
            <v>11.493150679999999</v>
          </cell>
          <cell r="M843">
            <v>3.9382041700000001</v>
          </cell>
        </row>
        <row r="844">
          <cell r="L844">
            <v>11.506849320000001</v>
          </cell>
          <cell r="M844">
            <v>3.9389197299999998</v>
          </cell>
        </row>
        <row r="845">
          <cell r="L845">
            <v>11.520547949999999</v>
          </cell>
          <cell r="M845">
            <v>3.93964632</v>
          </cell>
        </row>
        <row r="846">
          <cell r="L846">
            <v>11.53424658</v>
          </cell>
          <cell r="M846">
            <v>3.94038624</v>
          </cell>
        </row>
        <row r="847">
          <cell r="L847">
            <v>11.54794521</v>
          </cell>
          <cell r="M847">
            <v>3.94113888</v>
          </cell>
        </row>
        <row r="848">
          <cell r="L848">
            <v>11.56164384</v>
          </cell>
          <cell r="M848">
            <v>3.9419036799999998</v>
          </cell>
        </row>
        <row r="849">
          <cell r="L849">
            <v>11.575342470000001</v>
          </cell>
          <cell r="M849">
            <v>3.9426800399999999</v>
          </cell>
        </row>
        <row r="850">
          <cell r="L850">
            <v>11.589041099999999</v>
          </cell>
          <cell r="M850">
            <v>3.9434673899999999</v>
          </cell>
        </row>
        <row r="851">
          <cell r="L851">
            <v>11.60273973</v>
          </cell>
          <cell r="M851">
            <v>3.9442651400000002</v>
          </cell>
        </row>
        <row r="852">
          <cell r="L852">
            <v>11.61643836</v>
          </cell>
          <cell r="M852">
            <v>3.9450727099999998</v>
          </cell>
        </row>
        <row r="853">
          <cell r="L853">
            <v>11.63013699</v>
          </cell>
          <cell r="M853">
            <v>3.9458895200000002</v>
          </cell>
        </row>
        <row r="854">
          <cell r="L854">
            <v>11.643835620000001</v>
          </cell>
          <cell r="M854">
            <v>3.9467149699999999</v>
          </cell>
        </row>
        <row r="855">
          <cell r="L855">
            <v>11.657534249999999</v>
          </cell>
          <cell r="M855">
            <v>3.9475484999999999</v>
          </cell>
        </row>
        <row r="856">
          <cell r="L856">
            <v>11.67123288</v>
          </cell>
          <cell r="M856">
            <v>3.9483895100000002</v>
          </cell>
        </row>
        <row r="857">
          <cell r="L857">
            <v>11.68493151</v>
          </cell>
          <cell r="M857">
            <v>3.9492374200000002</v>
          </cell>
        </row>
        <row r="858">
          <cell r="L858">
            <v>11.698630140000001</v>
          </cell>
          <cell r="M858">
            <v>3.9500916500000001</v>
          </cell>
        </row>
        <row r="859">
          <cell r="L859">
            <v>11.712328769999999</v>
          </cell>
          <cell r="M859">
            <v>3.9509516100000002</v>
          </cell>
        </row>
        <row r="860">
          <cell r="L860">
            <v>11.7260274</v>
          </cell>
          <cell r="M860">
            <v>3.95181673</v>
          </cell>
        </row>
        <row r="861">
          <cell r="L861">
            <v>11.73972603</v>
          </cell>
          <cell r="M861">
            <v>3.9526864100000001</v>
          </cell>
        </row>
        <row r="862">
          <cell r="L862">
            <v>11.75342466</v>
          </cell>
          <cell r="M862">
            <v>3.9535600799999999</v>
          </cell>
        </row>
        <row r="863">
          <cell r="L863">
            <v>11.767123290000001</v>
          </cell>
          <cell r="M863">
            <v>3.9544371599999999</v>
          </cell>
        </row>
        <row r="864">
          <cell r="L864">
            <v>11.780821919999999</v>
          </cell>
          <cell r="M864">
            <v>3.9553170500000001</v>
          </cell>
        </row>
        <row r="865">
          <cell r="L865">
            <v>11.79452055</v>
          </cell>
          <cell r="M865">
            <v>3.95619918</v>
          </cell>
        </row>
        <row r="866">
          <cell r="L866">
            <v>11.80821918</v>
          </cell>
          <cell r="M866">
            <v>3.9570829600000001</v>
          </cell>
        </row>
        <row r="867">
          <cell r="L867">
            <v>11.82191781</v>
          </cell>
          <cell r="M867">
            <v>3.95796781</v>
          </cell>
        </row>
        <row r="868">
          <cell r="L868">
            <v>11.835616440000001</v>
          </cell>
          <cell r="M868">
            <v>3.95885314</v>
          </cell>
        </row>
        <row r="869">
          <cell r="L869">
            <v>11.849315069999999</v>
          </cell>
          <cell r="M869">
            <v>3.9597383800000001</v>
          </cell>
        </row>
        <row r="870">
          <cell r="L870">
            <v>11.8630137</v>
          </cell>
          <cell r="M870">
            <v>3.9606229399999999</v>
          </cell>
        </row>
        <row r="871">
          <cell r="L871">
            <v>11.87671233</v>
          </cell>
          <cell r="M871">
            <v>3.9615062299999999</v>
          </cell>
        </row>
        <row r="872">
          <cell r="L872">
            <v>11.890410960000001</v>
          </cell>
          <cell r="M872">
            <v>3.96238768</v>
          </cell>
        </row>
        <row r="873">
          <cell r="L873">
            <v>11.904109589999999</v>
          </cell>
          <cell r="M873">
            <v>3.9632667000000001</v>
          </cell>
        </row>
        <row r="874">
          <cell r="L874">
            <v>11.91780822</v>
          </cell>
          <cell r="M874">
            <v>3.9641427</v>
          </cell>
        </row>
        <row r="875">
          <cell r="L875">
            <v>11.93150685</v>
          </cell>
          <cell r="M875">
            <v>3.96501511</v>
          </cell>
        </row>
        <row r="876">
          <cell r="L876">
            <v>11.94520548</v>
          </cell>
          <cell r="M876">
            <v>3.96588334</v>
          </cell>
        </row>
        <row r="877">
          <cell r="L877">
            <v>11.958904110000001</v>
          </cell>
          <cell r="M877">
            <v>3.9667468000000001</v>
          </cell>
        </row>
        <row r="878">
          <cell r="L878">
            <v>11.972602739999999</v>
          </cell>
          <cell r="M878">
            <v>3.9676049199999999</v>
          </cell>
        </row>
        <row r="879">
          <cell r="L879">
            <v>11.98630137</v>
          </cell>
          <cell r="M879">
            <v>3.9684571100000001</v>
          </cell>
        </row>
        <row r="880">
          <cell r="L880">
            <v>12</v>
          </cell>
          <cell r="M880">
            <v>3.96930278</v>
          </cell>
        </row>
        <row r="881">
          <cell r="L881">
            <v>12.01369863</v>
          </cell>
          <cell r="M881">
            <v>3.9701502799999999</v>
          </cell>
        </row>
        <row r="882">
          <cell r="L882">
            <v>12.027397260000001</v>
          </cell>
          <cell r="M882">
            <v>3.97100805</v>
          </cell>
        </row>
        <row r="883">
          <cell r="L883">
            <v>12.041095889999999</v>
          </cell>
          <cell r="M883">
            <v>3.9718756399999999</v>
          </cell>
        </row>
        <row r="884">
          <cell r="L884">
            <v>12.05479452</v>
          </cell>
          <cell r="M884">
            <v>3.9727526200000001</v>
          </cell>
        </row>
        <row r="885">
          <cell r="L885">
            <v>12.06849315</v>
          </cell>
          <cell r="M885">
            <v>3.9736385300000001</v>
          </cell>
        </row>
        <row r="886">
          <cell r="L886">
            <v>12.08219178</v>
          </cell>
          <cell r="M886">
            <v>3.9745329599999999</v>
          </cell>
        </row>
        <row r="887">
          <cell r="L887">
            <v>12.095890410000001</v>
          </cell>
          <cell r="M887">
            <v>3.97543545</v>
          </cell>
        </row>
        <row r="888">
          <cell r="L888">
            <v>12.109589039999999</v>
          </cell>
          <cell r="M888">
            <v>3.9763455599999999</v>
          </cell>
        </row>
        <row r="889">
          <cell r="L889">
            <v>12.12328767</v>
          </cell>
          <cell r="M889">
            <v>3.9772628600000002</v>
          </cell>
        </row>
        <row r="890">
          <cell r="L890">
            <v>12.1369863</v>
          </cell>
          <cell r="M890">
            <v>3.9781868999999999</v>
          </cell>
        </row>
        <row r="891">
          <cell r="L891">
            <v>12.150684930000001</v>
          </cell>
          <cell r="M891">
            <v>3.9791172499999998</v>
          </cell>
        </row>
        <row r="892">
          <cell r="L892">
            <v>12.164383559999999</v>
          </cell>
          <cell r="M892">
            <v>3.9800534600000002</v>
          </cell>
        </row>
        <row r="893">
          <cell r="L893">
            <v>12.17808219</v>
          </cell>
          <cell r="M893">
            <v>3.9809950999999999</v>
          </cell>
        </row>
        <row r="894">
          <cell r="L894">
            <v>12.19178082</v>
          </cell>
          <cell r="M894">
            <v>3.98194172</v>
          </cell>
        </row>
        <row r="895">
          <cell r="L895">
            <v>12.20547945</v>
          </cell>
          <cell r="M895">
            <v>3.98289289</v>
          </cell>
        </row>
        <row r="896">
          <cell r="L896">
            <v>12.219178080000001</v>
          </cell>
          <cell r="M896">
            <v>3.98384816</v>
          </cell>
        </row>
        <row r="897">
          <cell r="L897">
            <v>12.232876709999999</v>
          </cell>
          <cell r="M897">
            <v>3.9848070999999998</v>
          </cell>
        </row>
        <row r="898">
          <cell r="L898">
            <v>12.24657534</v>
          </cell>
          <cell r="M898">
            <v>3.98576927</v>
          </cell>
        </row>
        <row r="899">
          <cell r="L899">
            <v>12.26027397</v>
          </cell>
          <cell r="M899">
            <v>3.9867342200000002</v>
          </cell>
        </row>
        <row r="900">
          <cell r="L900">
            <v>12.2739726</v>
          </cell>
          <cell r="M900">
            <v>3.9877015199999999</v>
          </cell>
        </row>
        <row r="901">
          <cell r="L901">
            <v>12.287671230000001</v>
          </cell>
          <cell r="M901">
            <v>3.98867072</v>
          </cell>
        </row>
        <row r="902">
          <cell r="L902">
            <v>12.301369859999999</v>
          </cell>
          <cell r="M902">
            <v>3.9896413900000001</v>
          </cell>
        </row>
        <row r="903">
          <cell r="L903">
            <v>12.31506849</v>
          </cell>
          <cell r="M903">
            <v>3.9906130900000001</v>
          </cell>
        </row>
        <row r="904">
          <cell r="L904">
            <v>12.32876712</v>
          </cell>
          <cell r="M904">
            <v>3.9915853700000001</v>
          </cell>
        </row>
        <row r="905">
          <cell r="L905">
            <v>12.342465750000001</v>
          </cell>
          <cell r="M905">
            <v>3.9925578000000002</v>
          </cell>
        </row>
        <row r="906">
          <cell r="L906">
            <v>12.356164379999999</v>
          </cell>
          <cell r="M906">
            <v>3.9935299400000002</v>
          </cell>
        </row>
        <row r="907">
          <cell r="L907">
            <v>12.36986301</v>
          </cell>
          <cell r="M907">
            <v>3.9945013399999998</v>
          </cell>
        </row>
        <row r="908">
          <cell r="L908">
            <v>12.38356164</v>
          </cell>
          <cell r="M908">
            <v>3.9954715699999999</v>
          </cell>
        </row>
        <row r="909">
          <cell r="L909">
            <v>12.39726027</v>
          </cell>
          <cell r="M909">
            <v>3.9964401899999999</v>
          </cell>
        </row>
        <row r="910">
          <cell r="L910">
            <v>12.410958900000001</v>
          </cell>
          <cell r="M910">
            <v>3.9974067500000001</v>
          </cell>
        </row>
        <row r="911">
          <cell r="L911">
            <v>12.424657529999999</v>
          </cell>
          <cell r="M911">
            <v>3.9983708199999999</v>
          </cell>
        </row>
        <row r="912">
          <cell r="L912">
            <v>12.43835616</v>
          </cell>
          <cell r="M912">
            <v>3.9993319600000001</v>
          </cell>
        </row>
        <row r="913">
          <cell r="L913">
            <v>12.45205479</v>
          </cell>
          <cell r="M913">
            <v>4.0002897300000004</v>
          </cell>
        </row>
        <row r="914">
          <cell r="L914">
            <v>12.46575342</v>
          </cell>
          <cell r="M914">
            <v>4.0012436899999999</v>
          </cell>
        </row>
        <row r="915">
          <cell r="L915">
            <v>12.479452050000001</v>
          </cell>
          <cell r="M915">
            <v>4.0021933900000004</v>
          </cell>
        </row>
        <row r="916">
          <cell r="L916">
            <v>12.493150679999999</v>
          </cell>
          <cell r="M916">
            <v>4.0031384000000001</v>
          </cell>
        </row>
        <row r="917">
          <cell r="L917">
            <v>12.506849320000001</v>
          </cell>
          <cell r="M917">
            <v>4.0040798400000002</v>
          </cell>
        </row>
        <row r="918">
          <cell r="L918">
            <v>12.520547949999999</v>
          </cell>
          <cell r="M918">
            <v>4.0050266800000003</v>
          </cell>
        </row>
        <row r="919">
          <cell r="L919">
            <v>12.53424658</v>
          </cell>
          <cell r="M919">
            <v>4.0059801999999998</v>
          </cell>
        </row>
        <row r="920">
          <cell r="L920">
            <v>12.54794521</v>
          </cell>
          <cell r="M920">
            <v>4.0069400999999996</v>
          </cell>
        </row>
        <row r="921">
          <cell r="L921">
            <v>12.56164384</v>
          </cell>
          <cell r="M921">
            <v>4.0079060899999996</v>
          </cell>
        </row>
        <row r="922">
          <cell r="L922">
            <v>12.575342470000001</v>
          </cell>
          <cell r="M922">
            <v>4.0088778600000001</v>
          </cell>
        </row>
        <row r="923">
          <cell r="L923">
            <v>12.589041099999999</v>
          </cell>
          <cell r="M923">
            <v>4.0098551499999999</v>
          </cell>
        </row>
        <row r="924">
          <cell r="L924">
            <v>12.60273973</v>
          </cell>
          <cell r="M924">
            <v>4.0108376400000001</v>
          </cell>
        </row>
        <row r="925">
          <cell r="L925">
            <v>12.61643836</v>
          </cell>
          <cell r="M925">
            <v>4.0118250499999997</v>
          </cell>
        </row>
        <row r="926">
          <cell r="L926">
            <v>12.63013699</v>
          </cell>
          <cell r="M926">
            <v>4.0128170799999996</v>
          </cell>
        </row>
        <row r="927">
          <cell r="L927">
            <v>12.643835620000001</v>
          </cell>
          <cell r="M927">
            <v>4.0138134499999998</v>
          </cell>
        </row>
        <row r="928">
          <cell r="L928">
            <v>12.657534249999999</v>
          </cell>
          <cell r="M928">
            <v>4.0148138600000003</v>
          </cell>
        </row>
        <row r="929">
          <cell r="L929">
            <v>12.67123288</v>
          </cell>
          <cell r="M929">
            <v>4.0158180200000002</v>
          </cell>
        </row>
        <row r="930">
          <cell r="L930">
            <v>12.68493151</v>
          </cell>
          <cell r="M930">
            <v>4.0168256400000004</v>
          </cell>
        </row>
        <row r="931">
          <cell r="L931">
            <v>12.698630140000001</v>
          </cell>
          <cell r="M931">
            <v>4.0178364200000001</v>
          </cell>
        </row>
        <row r="932">
          <cell r="L932">
            <v>12.712328769999999</v>
          </cell>
          <cell r="M932">
            <v>4.01885008</v>
          </cell>
        </row>
        <row r="933">
          <cell r="L933">
            <v>12.7260274</v>
          </cell>
          <cell r="M933">
            <v>4.0198663200000002</v>
          </cell>
        </row>
        <row r="934">
          <cell r="L934">
            <v>12.73972603</v>
          </cell>
          <cell r="M934">
            <v>4.0208848399999999</v>
          </cell>
        </row>
        <row r="935">
          <cell r="L935">
            <v>12.75342466</v>
          </cell>
          <cell r="M935">
            <v>4.0219053599999999</v>
          </cell>
        </row>
        <row r="936">
          <cell r="L936">
            <v>12.767123290000001</v>
          </cell>
          <cell r="M936">
            <v>4.0229275900000001</v>
          </cell>
        </row>
        <row r="937">
          <cell r="L937">
            <v>12.780821919999999</v>
          </cell>
          <cell r="M937">
            <v>4.0239512299999998</v>
          </cell>
        </row>
        <row r="938">
          <cell r="L938">
            <v>12.79452055</v>
          </cell>
          <cell r="M938">
            <v>4.0249759799999998</v>
          </cell>
        </row>
        <row r="939">
          <cell r="L939">
            <v>12.80821918</v>
          </cell>
          <cell r="M939">
            <v>4.02600157</v>
          </cell>
        </row>
        <row r="940">
          <cell r="L940">
            <v>12.82191781</v>
          </cell>
          <cell r="M940">
            <v>4.0270276899999997</v>
          </cell>
        </row>
        <row r="941">
          <cell r="L941">
            <v>12.835616440000001</v>
          </cell>
          <cell r="M941">
            <v>4.0280540599999997</v>
          </cell>
        </row>
        <row r="942">
          <cell r="L942">
            <v>12.849315069999999</v>
          </cell>
          <cell r="M942">
            <v>4.02908037</v>
          </cell>
        </row>
        <row r="943">
          <cell r="L943">
            <v>12.8630137</v>
          </cell>
          <cell r="M943">
            <v>4.0301063499999996</v>
          </cell>
        </row>
        <row r="944">
          <cell r="L944">
            <v>12.87671233</v>
          </cell>
          <cell r="M944">
            <v>4.0311316899999996</v>
          </cell>
        </row>
        <row r="945">
          <cell r="L945">
            <v>12.890410960000001</v>
          </cell>
          <cell r="M945">
            <v>4.0321561099999998</v>
          </cell>
        </row>
        <row r="946">
          <cell r="L946">
            <v>12.904109589999999</v>
          </cell>
          <cell r="M946">
            <v>4.0331793100000004</v>
          </cell>
        </row>
        <row r="947">
          <cell r="L947">
            <v>12.91780822</v>
          </cell>
          <cell r="M947">
            <v>4.0342010000000004</v>
          </cell>
        </row>
        <row r="948">
          <cell r="L948">
            <v>12.93150685</v>
          </cell>
          <cell r="M948">
            <v>4.0352208899999997</v>
          </cell>
        </row>
        <row r="949">
          <cell r="L949">
            <v>12.94520548</v>
          </cell>
          <cell r="M949">
            <v>4.0362386800000003</v>
          </cell>
        </row>
        <row r="950">
          <cell r="L950">
            <v>12.958904110000001</v>
          </cell>
          <cell r="M950">
            <v>4.0372540900000002</v>
          </cell>
        </row>
        <row r="951">
          <cell r="L951">
            <v>12.972602739999999</v>
          </cell>
          <cell r="M951">
            <v>4.0382668199999996</v>
          </cell>
        </row>
        <row r="952">
          <cell r="L952">
            <v>12.98630137</v>
          </cell>
          <cell r="M952">
            <v>4.0392765800000001</v>
          </cell>
        </row>
        <row r="953">
          <cell r="L953">
            <v>13</v>
          </cell>
          <cell r="M953">
            <v>4.04028308</v>
          </cell>
        </row>
        <row r="954">
          <cell r="L954">
            <v>13.01369863</v>
          </cell>
          <cell r="M954">
            <v>4.0412895100000004</v>
          </cell>
        </row>
        <row r="955">
          <cell r="L955">
            <v>13.027397260000001</v>
          </cell>
          <cell r="M955">
            <v>4.0422991899999996</v>
          </cell>
        </row>
        <row r="956">
          <cell r="L956">
            <v>13.041095889999999</v>
          </cell>
          <cell r="M956">
            <v>4.0433119599999996</v>
          </cell>
        </row>
        <row r="957">
          <cell r="L957">
            <v>13.05479452</v>
          </cell>
          <cell r="M957">
            <v>4.0443277000000002</v>
          </cell>
        </row>
        <row r="958">
          <cell r="L958">
            <v>13.06849315</v>
          </cell>
          <cell r="M958">
            <v>4.0453462699999996</v>
          </cell>
        </row>
        <row r="959">
          <cell r="L959">
            <v>13.08219178</v>
          </cell>
          <cell r="M959">
            <v>4.0463675099999996</v>
          </cell>
        </row>
        <row r="960">
          <cell r="L960">
            <v>13.095890410000001</v>
          </cell>
          <cell r="M960">
            <v>4.0473913100000001</v>
          </cell>
        </row>
        <row r="961">
          <cell r="L961">
            <v>13.109589039999999</v>
          </cell>
          <cell r="M961">
            <v>4.0484175100000002</v>
          </cell>
        </row>
        <row r="962">
          <cell r="L962">
            <v>13.12328767</v>
          </cell>
          <cell r="M962">
            <v>4.0494459699999998</v>
          </cell>
        </row>
        <row r="963">
          <cell r="L963">
            <v>13.1369863</v>
          </cell>
          <cell r="M963">
            <v>4.0504765699999998</v>
          </cell>
        </row>
        <row r="964">
          <cell r="L964">
            <v>13.150684930000001</v>
          </cell>
          <cell r="M964">
            <v>4.0515091600000002</v>
          </cell>
        </row>
        <row r="965">
          <cell r="L965">
            <v>13.164383559999999</v>
          </cell>
          <cell r="M965">
            <v>4.0525435999999999</v>
          </cell>
        </row>
        <row r="966">
          <cell r="L966">
            <v>13.17808219</v>
          </cell>
          <cell r="M966">
            <v>4.0535797499999999</v>
          </cell>
        </row>
        <row r="967">
          <cell r="L967">
            <v>13.19178082</v>
          </cell>
          <cell r="M967">
            <v>4.0546174800000001</v>
          </cell>
        </row>
        <row r="968">
          <cell r="L968">
            <v>13.20547945</v>
          </cell>
          <cell r="M968">
            <v>4.0556566399999996</v>
          </cell>
        </row>
        <row r="969">
          <cell r="L969">
            <v>13.219178080000001</v>
          </cell>
          <cell r="M969">
            <v>4.0566970900000001</v>
          </cell>
        </row>
        <row r="970">
          <cell r="L970">
            <v>13.232876709999999</v>
          </cell>
          <cell r="M970">
            <v>4.0577387099999997</v>
          </cell>
        </row>
        <row r="971">
          <cell r="L971">
            <v>13.24657534</v>
          </cell>
          <cell r="M971">
            <v>4.0587813400000003</v>
          </cell>
        </row>
        <row r="972">
          <cell r="L972">
            <v>13.26027397</v>
          </cell>
          <cell r="M972">
            <v>4.05982485</v>
          </cell>
        </row>
        <row r="973">
          <cell r="L973">
            <v>13.2739726</v>
          </cell>
          <cell r="M973">
            <v>4.0608690999999997</v>
          </cell>
        </row>
        <row r="974">
          <cell r="L974">
            <v>13.287671230000001</v>
          </cell>
          <cell r="M974">
            <v>4.0619139500000001</v>
          </cell>
        </row>
        <row r="975">
          <cell r="L975">
            <v>13.301369859999999</v>
          </cell>
          <cell r="M975">
            <v>4.0629592700000003</v>
          </cell>
        </row>
        <row r="976">
          <cell r="L976">
            <v>13.31506849</v>
          </cell>
          <cell r="M976">
            <v>4.0640049100000004</v>
          </cell>
        </row>
        <row r="977">
          <cell r="L977">
            <v>13.32876712</v>
          </cell>
          <cell r="M977">
            <v>4.0650507400000002</v>
          </cell>
        </row>
        <row r="978">
          <cell r="L978">
            <v>13.342465750000001</v>
          </cell>
          <cell r="M978">
            <v>4.0660966099999998</v>
          </cell>
        </row>
        <row r="979">
          <cell r="L979">
            <v>13.356164379999999</v>
          </cell>
          <cell r="M979">
            <v>4.0671423899999999</v>
          </cell>
        </row>
        <row r="980">
          <cell r="L980">
            <v>13.36986301</v>
          </cell>
          <cell r="M980">
            <v>4.0681879399999996</v>
          </cell>
        </row>
        <row r="981">
          <cell r="L981">
            <v>13.38356164</v>
          </cell>
          <cell r="M981">
            <v>4.0692331099999999</v>
          </cell>
        </row>
        <row r="982">
          <cell r="L982">
            <v>13.39726027</v>
          </cell>
          <cell r="M982">
            <v>4.0702777799999996</v>
          </cell>
        </row>
        <row r="983">
          <cell r="L983">
            <v>13.410958900000001</v>
          </cell>
          <cell r="M983">
            <v>4.0713217999999998</v>
          </cell>
        </row>
        <row r="984">
          <cell r="L984">
            <v>13.424657529999999</v>
          </cell>
          <cell r="M984">
            <v>4.0723650400000002</v>
          </cell>
        </row>
        <row r="985">
          <cell r="L985">
            <v>13.43835616</v>
          </cell>
          <cell r="M985">
            <v>4.0734073400000002</v>
          </cell>
        </row>
        <row r="986">
          <cell r="L986">
            <v>13.45205479</v>
          </cell>
          <cell r="M986">
            <v>4.0744485900000003</v>
          </cell>
        </row>
        <row r="987">
          <cell r="L987">
            <v>13.46575342</v>
          </cell>
          <cell r="M987">
            <v>4.0754886299999997</v>
          </cell>
        </row>
        <row r="988">
          <cell r="L988">
            <v>13.479452050000001</v>
          </cell>
          <cell r="M988">
            <v>4.0765273200000003</v>
          </cell>
        </row>
        <row r="989">
          <cell r="L989">
            <v>13.493150679999999</v>
          </cell>
          <cell r="M989">
            <v>4.07756454</v>
          </cell>
        </row>
        <row r="990">
          <cell r="L990">
            <v>13.506849320000001</v>
          </cell>
          <cell r="M990">
            <v>4.0786002899999998</v>
          </cell>
        </row>
        <row r="991">
          <cell r="L991">
            <v>13.520547949999999</v>
          </cell>
          <cell r="M991">
            <v>4.07963539</v>
          </cell>
        </row>
        <row r="992">
          <cell r="L992">
            <v>13.53424658</v>
          </cell>
          <cell r="M992">
            <v>4.0806700100000004</v>
          </cell>
        </row>
        <row r="993">
          <cell r="L993">
            <v>13.54794521</v>
          </cell>
          <cell r="M993">
            <v>4.0817041700000001</v>
          </cell>
        </row>
        <row r="994">
          <cell r="L994">
            <v>13.56164384</v>
          </cell>
          <cell r="M994">
            <v>4.0827378899999998</v>
          </cell>
        </row>
        <row r="995">
          <cell r="L995">
            <v>13.575342470000001</v>
          </cell>
          <cell r="M995">
            <v>4.0837711900000002</v>
          </cell>
        </row>
        <row r="996">
          <cell r="L996">
            <v>13.589041099999999</v>
          </cell>
          <cell r="M996">
            <v>4.0848041000000004</v>
          </cell>
        </row>
        <row r="997">
          <cell r="L997">
            <v>13.60273973</v>
          </cell>
          <cell r="M997">
            <v>4.0858366300000002</v>
          </cell>
        </row>
        <row r="998">
          <cell r="L998">
            <v>13.61643836</v>
          </cell>
          <cell r="M998">
            <v>4.0868688100000004</v>
          </cell>
        </row>
        <row r="999">
          <cell r="L999">
            <v>13.63013699</v>
          </cell>
          <cell r="M999">
            <v>4.0879006499999999</v>
          </cell>
        </row>
        <row r="1000">
          <cell r="L1000">
            <v>13.643835620000001</v>
          </cell>
          <cell r="M1000">
            <v>4.0889321799999996</v>
          </cell>
        </row>
        <row r="1001">
          <cell r="L1001">
            <v>13.657534249999999</v>
          </cell>
          <cell r="M1001">
            <v>4.0899634200000001</v>
          </cell>
        </row>
        <row r="1002">
          <cell r="L1002">
            <v>13.67123288</v>
          </cell>
          <cell r="M1002">
            <v>4.0909943899999996</v>
          </cell>
        </row>
        <row r="1003">
          <cell r="L1003">
            <v>13.68493151</v>
          </cell>
          <cell r="M1003">
            <v>4.0920251099999998</v>
          </cell>
        </row>
        <row r="1004">
          <cell r="L1004">
            <v>13.698630140000001</v>
          </cell>
          <cell r="M1004">
            <v>4.0930555999999996</v>
          </cell>
        </row>
        <row r="1005">
          <cell r="L1005">
            <v>13.712328769999999</v>
          </cell>
          <cell r="M1005">
            <v>4.0940858799999997</v>
          </cell>
        </row>
        <row r="1006">
          <cell r="L1006">
            <v>13.7260274</v>
          </cell>
          <cell r="M1006">
            <v>4.0951159800000001</v>
          </cell>
        </row>
        <row r="1007">
          <cell r="L1007">
            <v>13.73972603</v>
          </cell>
          <cell r="M1007">
            <v>4.0961459099999997</v>
          </cell>
        </row>
        <row r="1008">
          <cell r="L1008">
            <v>13.75342466</v>
          </cell>
          <cell r="M1008">
            <v>4.0971757000000002</v>
          </cell>
        </row>
        <row r="1009">
          <cell r="L1009">
            <v>13.767123290000001</v>
          </cell>
          <cell r="M1009">
            <v>4.0982053699999996</v>
          </cell>
        </row>
        <row r="1010">
          <cell r="L1010">
            <v>13.780821919999999</v>
          </cell>
          <cell r="M1010">
            <v>4.0992349299999997</v>
          </cell>
        </row>
        <row r="1011">
          <cell r="L1011">
            <v>13.79452055</v>
          </cell>
          <cell r="M1011">
            <v>4.1002644200000002</v>
          </cell>
        </row>
        <row r="1012">
          <cell r="L1012">
            <v>13.80821918</v>
          </cell>
          <cell r="M1012">
            <v>4.1012938400000003</v>
          </cell>
        </row>
        <row r="1013">
          <cell r="L1013">
            <v>13.82191781</v>
          </cell>
          <cell r="M1013">
            <v>4.1023232299999997</v>
          </cell>
        </row>
        <row r="1014">
          <cell r="L1014">
            <v>13.835616440000001</v>
          </cell>
          <cell r="M1014">
            <v>4.1033525900000001</v>
          </cell>
        </row>
        <row r="1015">
          <cell r="L1015">
            <v>13.849315069999999</v>
          </cell>
          <cell r="M1015">
            <v>4.1043819700000004</v>
          </cell>
        </row>
        <row r="1016">
          <cell r="L1016">
            <v>13.8630137</v>
          </cell>
          <cell r="M1016">
            <v>4.1054113599999997</v>
          </cell>
        </row>
        <row r="1017">
          <cell r="L1017">
            <v>13.87671233</v>
          </cell>
          <cell r="M1017">
            <v>4.1064407999999997</v>
          </cell>
        </row>
        <row r="1018">
          <cell r="L1018">
            <v>13.890410960000001</v>
          </cell>
          <cell r="M1018">
            <v>4.1074703100000001</v>
          </cell>
        </row>
        <row r="1019">
          <cell r="L1019">
            <v>13.904109589999999</v>
          </cell>
          <cell r="M1019">
            <v>4.1084999099999999</v>
          </cell>
        </row>
        <row r="1020">
          <cell r="L1020">
            <v>13.91780822</v>
          </cell>
          <cell r="M1020">
            <v>4.1095296100000001</v>
          </cell>
        </row>
        <row r="1021">
          <cell r="L1021">
            <v>13.93150685</v>
          </cell>
          <cell r="M1021">
            <v>4.1105594500000002</v>
          </cell>
        </row>
        <row r="1022">
          <cell r="L1022">
            <v>13.94520548</v>
          </cell>
          <cell r="M1022">
            <v>4.1115894300000004</v>
          </cell>
        </row>
        <row r="1023">
          <cell r="L1023">
            <v>13.958904110000001</v>
          </cell>
          <cell r="M1023">
            <v>4.1126195900000004</v>
          </cell>
        </row>
        <row r="1024">
          <cell r="L1024">
            <v>13.972602739999999</v>
          </cell>
          <cell r="M1024">
            <v>4.1136499400000002</v>
          </cell>
        </row>
        <row r="1025">
          <cell r="L1025">
            <v>13.98630137</v>
          </cell>
          <cell r="M1025">
            <v>4.1146805100000003</v>
          </cell>
        </row>
        <row r="1026">
          <cell r="L1026">
            <v>14</v>
          </cell>
          <cell r="M1026">
            <v>4.11571131</v>
          </cell>
        </row>
        <row r="1027">
          <cell r="L1027">
            <v>14.01369863</v>
          </cell>
          <cell r="M1027">
            <v>4.1167399700000002</v>
          </cell>
        </row>
        <row r="1028">
          <cell r="L1028">
            <v>14.027397260000001</v>
          </cell>
          <cell r="M1028">
            <v>4.1177642399999996</v>
          </cell>
        </row>
        <row r="1029">
          <cell r="L1029">
            <v>14.041095889999999</v>
          </cell>
          <cell r="M1029">
            <v>4.1187842999999997</v>
          </cell>
        </row>
        <row r="1030">
          <cell r="L1030">
            <v>14.05479452</v>
          </cell>
          <cell r="M1030">
            <v>4.1198003400000003</v>
          </cell>
        </row>
        <row r="1031">
          <cell r="L1031">
            <v>14.06849315</v>
          </cell>
          <cell r="M1031">
            <v>4.1208125500000001</v>
          </cell>
        </row>
        <row r="1032">
          <cell r="L1032">
            <v>14.08219178</v>
          </cell>
          <cell r="M1032">
            <v>4.1218211199999999</v>
          </cell>
        </row>
        <row r="1033">
          <cell r="L1033">
            <v>14.095890410000001</v>
          </cell>
          <cell r="M1033">
            <v>4.1228262400000002</v>
          </cell>
        </row>
        <row r="1034">
          <cell r="L1034">
            <v>14.109589039999999</v>
          </cell>
          <cell r="M1034">
            <v>4.1238280899999999</v>
          </cell>
        </row>
        <row r="1035">
          <cell r="L1035">
            <v>14.12328767</v>
          </cell>
          <cell r="M1035">
            <v>4.1248268599999998</v>
          </cell>
        </row>
        <row r="1036">
          <cell r="L1036">
            <v>14.1369863</v>
          </cell>
          <cell r="M1036">
            <v>4.1258227500000002</v>
          </cell>
        </row>
        <row r="1037">
          <cell r="L1037">
            <v>14.150684930000001</v>
          </cell>
          <cell r="M1037">
            <v>4.1268159300000002</v>
          </cell>
        </row>
        <row r="1038">
          <cell r="L1038">
            <v>14.164383559999999</v>
          </cell>
          <cell r="M1038">
            <v>4.1278066100000004</v>
          </cell>
        </row>
        <row r="1039">
          <cell r="L1039">
            <v>14.17808219</v>
          </cell>
          <cell r="M1039">
            <v>4.1287949599999996</v>
          </cell>
        </row>
        <row r="1040">
          <cell r="L1040">
            <v>14.19178082</v>
          </cell>
          <cell r="M1040">
            <v>4.1297811700000002</v>
          </cell>
        </row>
        <row r="1041">
          <cell r="L1041">
            <v>14.20547945</v>
          </cell>
          <cell r="M1041">
            <v>4.1307654400000002</v>
          </cell>
        </row>
        <row r="1042">
          <cell r="L1042">
            <v>14.219178080000001</v>
          </cell>
          <cell r="M1042">
            <v>4.1317479500000003</v>
          </cell>
        </row>
        <row r="1043">
          <cell r="L1043">
            <v>14.232876709999999</v>
          </cell>
          <cell r="M1043">
            <v>4.1327288900000001</v>
          </cell>
        </row>
        <row r="1044">
          <cell r="L1044">
            <v>14.24657534</v>
          </cell>
          <cell r="M1044">
            <v>4.1337084500000003</v>
          </cell>
        </row>
        <row r="1045">
          <cell r="L1045">
            <v>14.26027397</v>
          </cell>
          <cell r="M1045">
            <v>4.1346868099999998</v>
          </cell>
        </row>
        <row r="1046">
          <cell r="L1046">
            <v>14.2739726</v>
          </cell>
          <cell r="M1046">
            <v>4.1356641700000001</v>
          </cell>
        </row>
        <row r="1047">
          <cell r="L1047">
            <v>14.287671230000001</v>
          </cell>
          <cell r="M1047">
            <v>4.13664071</v>
          </cell>
        </row>
        <row r="1048">
          <cell r="L1048">
            <v>14.301369859999999</v>
          </cell>
          <cell r="M1048">
            <v>4.1376166300000001</v>
          </cell>
        </row>
        <row r="1049">
          <cell r="L1049">
            <v>14.31506849</v>
          </cell>
          <cell r="M1049">
            <v>4.1385921100000003</v>
          </cell>
        </row>
        <row r="1050">
          <cell r="L1050">
            <v>14.32876712</v>
          </cell>
          <cell r="M1050">
            <v>4.1395673300000002</v>
          </cell>
        </row>
        <row r="1051">
          <cell r="L1051">
            <v>14.342465750000001</v>
          </cell>
          <cell r="M1051">
            <v>4.1405424999999996</v>
          </cell>
        </row>
        <row r="1052">
          <cell r="L1052">
            <v>14.356164379999999</v>
          </cell>
          <cell r="M1052">
            <v>4.14151778</v>
          </cell>
        </row>
        <row r="1053">
          <cell r="L1053">
            <v>14.36986301</v>
          </cell>
          <cell r="M1053">
            <v>4.1424933900000003</v>
          </cell>
        </row>
        <row r="1054">
          <cell r="L1054">
            <v>14.38356164</v>
          </cell>
          <cell r="M1054">
            <v>4.1434694900000002</v>
          </cell>
        </row>
        <row r="1055">
          <cell r="L1055">
            <v>14.39726027</v>
          </cell>
          <cell r="M1055">
            <v>4.1444462800000004</v>
          </cell>
        </row>
        <row r="1056">
          <cell r="L1056">
            <v>14.410958900000001</v>
          </cell>
          <cell r="M1056">
            <v>4.1454239599999996</v>
          </cell>
        </row>
        <row r="1057">
          <cell r="L1057">
            <v>14.424657529999999</v>
          </cell>
          <cell r="M1057">
            <v>4.1464027000000003</v>
          </cell>
        </row>
        <row r="1058">
          <cell r="L1058">
            <v>14.43835616</v>
          </cell>
          <cell r="M1058">
            <v>4.1473826999999996</v>
          </cell>
        </row>
        <row r="1059">
          <cell r="L1059">
            <v>14.45205479</v>
          </cell>
          <cell r="M1059">
            <v>4.14836414</v>
          </cell>
        </row>
        <row r="1060">
          <cell r="L1060">
            <v>14.46575342</v>
          </cell>
          <cell r="M1060">
            <v>4.1493472100000002</v>
          </cell>
        </row>
        <row r="1061">
          <cell r="L1061">
            <v>14.479452050000001</v>
          </cell>
          <cell r="M1061">
            <v>4.1503321099999999</v>
          </cell>
        </row>
        <row r="1062">
          <cell r="L1062">
            <v>14.493150679999999</v>
          </cell>
          <cell r="M1062">
            <v>4.1513190199999999</v>
          </cell>
        </row>
        <row r="1063">
          <cell r="L1063">
            <v>14.506849320000001</v>
          </cell>
          <cell r="M1063">
            <v>4.1523067300000003</v>
          </cell>
        </row>
        <row r="1064">
          <cell r="L1064">
            <v>14.520547949999999</v>
          </cell>
          <cell r="M1064">
            <v>4.1532871800000004</v>
          </cell>
        </row>
        <row r="1065">
          <cell r="L1065">
            <v>14.53424658</v>
          </cell>
          <cell r="M1065">
            <v>4.1542593200000004</v>
          </cell>
        </row>
        <row r="1066">
          <cell r="L1066">
            <v>14.54794521</v>
          </cell>
          <cell r="M1066">
            <v>4.1552235299999998</v>
          </cell>
        </row>
        <row r="1067">
          <cell r="L1067">
            <v>14.56164384</v>
          </cell>
          <cell r="M1067">
            <v>4.1561801699999998</v>
          </cell>
        </row>
        <row r="1068">
          <cell r="L1068">
            <v>14.575342470000001</v>
          </cell>
          <cell r="M1068">
            <v>4.1571296000000002</v>
          </cell>
        </row>
        <row r="1069">
          <cell r="L1069">
            <v>14.589041099999999</v>
          </cell>
          <cell r="M1069">
            <v>4.1580721799999996</v>
          </cell>
        </row>
        <row r="1070">
          <cell r="L1070">
            <v>14.60273973</v>
          </cell>
          <cell r="M1070">
            <v>4.1590082800000001</v>
          </cell>
        </row>
        <row r="1071">
          <cell r="L1071">
            <v>14.61643836</v>
          </cell>
          <cell r="M1071">
            <v>4.1599382599999997</v>
          </cell>
        </row>
        <row r="1072">
          <cell r="L1072">
            <v>14.63013699</v>
          </cell>
          <cell r="M1072">
            <v>4.1608624799999996</v>
          </cell>
        </row>
        <row r="1073">
          <cell r="L1073">
            <v>14.643835620000001</v>
          </cell>
          <cell r="M1073">
            <v>4.1617813200000002</v>
          </cell>
        </row>
        <row r="1074">
          <cell r="L1074">
            <v>14.657534249999999</v>
          </cell>
          <cell r="M1074">
            <v>4.1626951200000004</v>
          </cell>
        </row>
        <row r="1075">
          <cell r="L1075">
            <v>14.67123288</v>
          </cell>
          <cell r="M1075">
            <v>4.1636042599999996</v>
          </cell>
        </row>
        <row r="1076">
          <cell r="L1076">
            <v>14.68493151</v>
          </cell>
          <cell r="M1076">
            <v>4.1645091000000001</v>
          </cell>
        </row>
        <row r="1077">
          <cell r="L1077">
            <v>14.698630140000001</v>
          </cell>
          <cell r="M1077">
            <v>4.1654099999999996</v>
          </cell>
        </row>
        <row r="1078">
          <cell r="L1078">
            <v>14.712328769999999</v>
          </cell>
          <cell r="M1078">
            <v>4.1663073199999996</v>
          </cell>
        </row>
        <row r="1079">
          <cell r="L1079">
            <v>14.7260274</v>
          </cell>
          <cell r="M1079">
            <v>4.1672014400000004</v>
          </cell>
        </row>
        <row r="1080">
          <cell r="L1080">
            <v>14.73972603</v>
          </cell>
          <cell r="M1080">
            <v>4.1680926999999999</v>
          </cell>
        </row>
        <row r="1081">
          <cell r="L1081">
            <v>14.75342466</v>
          </cell>
          <cell r="M1081">
            <v>4.1689814900000002</v>
          </cell>
        </row>
        <row r="1082">
          <cell r="L1082">
            <v>14.767123290000001</v>
          </cell>
          <cell r="M1082">
            <v>4.1698681500000001</v>
          </cell>
        </row>
        <row r="1083">
          <cell r="L1083">
            <v>14.780821919999999</v>
          </cell>
          <cell r="M1083">
            <v>4.17075306</v>
          </cell>
        </row>
        <row r="1084">
          <cell r="L1084">
            <v>14.79452055</v>
          </cell>
          <cell r="M1084">
            <v>4.1716365700000004</v>
          </cell>
        </row>
        <row r="1085">
          <cell r="L1085">
            <v>14.80821918</v>
          </cell>
          <cell r="M1085">
            <v>4.17251905</v>
          </cell>
        </row>
        <row r="1086">
          <cell r="L1086">
            <v>14.82191781</v>
          </cell>
          <cell r="M1086">
            <v>4.17340087</v>
          </cell>
        </row>
        <row r="1087">
          <cell r="L1087">
            <v>14.835616440000001</v>
          </cell>
          <cell r="M1087">
            <v>4.1742823800000002</v>
          </cell>
        </row>
        <row r="1088">
          <cell r="L1088">
            <v>14.849315069999999</v>
          </cell>
          <cell r="M1088">
            <v>4.17516395</v>
          </cell>
        </row>
        <row r="1089">
          <cell r="L1089">
            <v>14.8630137</v>
          </cell>
          <cell r="M1089">
            <v>4.1760459499999998</v>
          </cell>
        </row>
        <row r="1090">
          <cell r="L1090">
            <v>14.87671233</v>
          </cell>
          <cell r="M1090">
            <v>4.1769287300000002</v>
          </cell>
        </row>
        <row r="1091">
          <cell r="L1091">
            <v>14.890410960000001</v>
          </cell>
          <cell r="M1091">
            <v>4.1778126699999998</v>
          </cell>
        </row>
        <row r="1092">
          <cell r="L1092">
            <v>14.904109589999999</v>
          </cell>
          <cell r="M1092">
            <v>4.17869812</v>
          </cell>
        </row>
        <row r="1093">
          <cell r="L1093">
            <v>14.91780822</v>
          </cell>
          <cell r="M1093">
            <v>4.1795854500000003</v>
          </cell>
        </row>
        <row r="1094">
          <cell r="L1094">
            <v>14.93150685</v>
          </cell>
          <cell r="M1094">
            <v>4.1804750200000003</v>
          </cell>
        </row>
        <row r="1095">
          <cell r="L1095">
            <v>14.94520548</v>
          </cell>
          <cell r="M1095">
            <v>4.1813672000000004</v>
          </cell>
        </row>
        <row r="1096">
          <cell r="L1096">
            <v>14.958904110000001</v>
          </cell>
          <cell r="M1096">
            <v>4.1822623400000003</v>
          </cell>
        </row>
        <row r="1097">
          <cell r="L1097">
            <v>14.972602739999999</v>
          </cell>
          <cell r="M1097">
            <v>4.1831608200000003</v>
          </cell>
        </row>
        <row r="1098">
          <cell r="L1098">
            <v>14.98630137</v>
          </cell>
          <cell r="M1098">
            <v>4.1840629900000001</v>
          </cell>
        </row>
        <row r="1099">
          <cell r="L1099">
            <v>15</v>
          </cell>
          <cell r="M1099">
            <v>4.1849692200000002</v>
          </cell>
        </row>
        <row r="1100">
          <cell r="L1100">
            <v>15.01369863</v>
          </cell>
          <cell r="M1100">
            <v>4.1858757799999999</v>
          </cell>
        </row>
        <row r="1101">
          <cell r="L1101">
            <v>15.027397260000001</v>
          </cell>
          <cell r="M1101">
            <v>4.18677878</v>
          </cell>
        </row>
        <row r="1102">
          <cell r="L1102">
            <v>15.041095889999999</v>
          </cell>
          <cell r="M1102">
            <v>4.1876783800000004</v>
          </cell>
        </row>
        <row r="1103">
          <cell r="L1103">
            <v>15.05479452</v>
          </cell>
          <cell r="M1103">
            <v>4.18857474</v>
          </cell>
        </row>
        <row r="1104">
          <cell r="L1104">
            <v>15.06849315</v>
          </cell>
          <cell r="M1104">
            <v>4.1894679999999997</v>
          </cell>
        </row>
        <row r="1105">
          <cell r="L1105">
            <v>15.08219178</v>
          </cell>
          <cell r="M1105">
            <v>4.1903583199999996</v>
          </cell>
        </row>
        <row r="1106">
          <cell r="L1106">
            <v>15.095890410000001</v>
          </cell>
          <cell r="M1106">
            <v>4.1912458499999996</v>
          </cell>
        </row>
        <row r="1107">
          <cell r="L1107">
            <v>15.109589039999999</v>
          </cell>
          <cell r="M1107">
            <v>4.1921307399999996</v>
          </cell>
        </row>
        <row r="1108">
          <cell r="L1108">
            <v>15.12328767</v>
          </cell>
          <cell r="M1108">
            <v>4.1930131499999996</v>
          </cell>
        </row>
        <row r="1109">
          <cell r="L1109">
            <v>15.1369863</v>
          </cell>
          <cell r="M1109">
            <v>4.1938932199999996</v>
          </cell>
        </row>
        <row r="1110">
          <cell r="L1110">
            <v>15.150684930000001</v>
          </cell>
          <cell r="M1110">
            <v>4.1947710999999996</v>
          </cell>
        </row>
        <row r="1111">
          <cell r="L1111">
            <v>15.164383559999999</v>
          </cell>
          <cell r="M1111">
            <v>4.1956469600000004</v>
          </cell>
        </row>
        <row r="1112">
          <cell r="L1112">
            <v>15.17808219</v>
          </cell>
          <cell r="M1112">
            <v>4.19652095</v>
          </cell>
        </row>
        <row r="1113">
          <cell r="L1113">
            <v>15.19178082</v>
          </cell>
          <cell r="M1113">
            <v>4.1973931999999996</v>
          </cell>
        </row>
        <row r="1114">
          <cell r="L1114">
            <v>15.20547945</v>
          </cell>
          <cell r="M1114">
            <v>4.1982638899999998</v>
          </cell>
        </row>
        <row r="1115">
          <cell r="L1115">
            <v>15.219178080000001</v>
          </cell>
          <cell r="M1115">
            <v>4.1991331499999998</v>
          </cell>
        </row>
        <row r="1116">
          <cell r="L1116">
            <v>15.232876709999999</v>
          </cell>
          <cell r="M1116">
            <v>4.2000011400000004</v>
          </cell>
        </row>
        <row r="1117">
          <cell r="L1117">
            <v>15.24657534</v>
          </cell>
          <cell r="M1117">
            <v>4.2008680199999997</v>
          </cell>
        </row>
        <row r="1118">
          <cell r="L1118">
            <v>15.26027397</v>
          </cell>
          <cell r="M1118">
            <v>4.2017339399999996</v>
          </cell>
        </row>
        <row r="1119">
          <cell r="L1119">
            <v>15.2739726</v>
          </cell>
          <cell r="M1119">
            <v>4.20259904</v>
          </cell>
        </row>
        <row r="1120">
          <cell r="L1120">
            <v>15.287671230000001</v>
          </cell>
          <cell r="M1120">
            <v>4.2034634799999999</v>
          </cell>
        </row>
        <row r="1121">
          <cell r="L1121">
            <v>15.301369859999999</v>
          </cell>
          <cell r="M1121">
            <v>4.2043274200000003</v>
          </cell>
        </row>
        <row r="1122">
          <cell r="L1122">
            <v>15.31506849</v>
          </cell>
          <cell r="M1122">
            <v>4.2051910000000001</v>
          </cell>
        </row>
        <row r="1123">
          <cell r="L1123">
            <v>15.32876712</v>
          </cell>
          <cell r="M1123">
            <v>4.2060543800000003</v>
          </cell>
        </row>
        <row r="1124">
          <cell r="L1124">
            <v>15.342465750000001</v>
          </cell>
          <cell r="M1124">
            <v>4.2069177</v>
          </cell>
        </row>
        <row r="1125">
          <cell r="L1125">
            <v>15.356164379999999</v>
          </cell>
          <cell r="M1125">
            <v>4.2077811299999999</v>
          </cell>
        </row>
        <row r="1126">
          <cell r="L1126">
            <v>15.36986301</v>
          </cell>
          <cell r="M1126">
            <v>4.20864481</v>
          </cell>
        </row>
        <row r="1127">
          <cell r="L1127">
            <v>15.38356164</v>
          </cell>
          <cell r="M1127">
            <v>4.2095089000000003</v>
          </cell>
        </row>
        <row r="1128">
          <cell r="L1128">
            <v>15.39726027</v>
          </cell>
          <cell r="M1128">
            <v>4.2103735499999999</v>
          </cell>
        </row>
        <row r="1129">
          <cell r="L1129">
            <v>15.410958900000001</v>
          </cell>
          <cell r="M1129">
            <v>4.2112389099999996</v>
          </cell>
        </row>
        <row r="1130">
          <cell r="L1130">
            <v>15.424657529999999</v>
          </cell>
          <cell r="M1130">
            <v>4.2121051200000004</v>
          </cell>
        </row>
        <row r="1131">
          <cell r="L1131">
            <v>15.43835616</v>
          </cell>
          <cell r="M1131">
            <v>4.2129723600000002</v>
          </cell>
        </row>
        <row r="1132">
          <cell r="L1132">
            <v>15.45205479</v>
          </cell>
          <cell r="M1132">
            <v>4.2138407600000001</v>
          </cell>
        </row>
        <row r="1133">
          <cell r="L1133">
            <v>15.46575342</v>
          </cell>
          <cell r="M1133">
            <v>4.2147104799999999</v>
          </cell>
        </row>
        <row r="1134">
          <cell r="L1134">
            <v>15.479452050000001</v>
          </cell>
          <cell r="M1134">
            <v>4.2155816699999997</v>
          </cell>
        </row>
        <row r="1135">
          <cell r="L1135">
            <v>15.493150679999999</v>
          </cell>
          <cell r="M1135">
            <v>4.2164544800000003</v>
          </cell>
        </row>
        <row r="1136">
          <cell r="L1136">
            <v>15.506849320000001</v>
          </cell>
          <cell r="M1136">
            <v>4.2173292900000003</v>
          </cell>
        </row>
        <row r="1137">
          <cell r="L1137">
            <v>15.520547949999999</v>
          </cell>
          <cell r="M1137">
            <v>4.2182074500000004</v>
          </cell>
        </row>
        <row r="1138">
          <cell r="L1138">
            <v>15.53424658</v>
          </cell>
          <cell r="M1138">
            <v>4.21908905</v>
          </cell>
        </row>
        <row r="1139">
          <cell r="L1139">
            <v>15.54794521</v>
          </cell>
          <cell r="M1139">
            <v>4.2199739200000002</v>
          </cell>
        </row>
        <row r="1140">
          <cell r="L1140">
            <v>15.56164384</v>
          </cell>
          <cell r="M1140">
            <v>4.2208619199999999</v>
          </cell>
        </row>
        <row r="1141">
          <cell r="L1141">
            <v>15.575342470000001</v>
          </cell>
          <cell r="M1141">
            <v>4.2217529100000002</v>
          </cell>
        </row>
        <row r="1142">
          <cell r="L1142">
            <v>15.589041099999999</v>
          </cell>
          <cell r="M1142">
            <v>4.2226467200000002</v>
          </cell>
        </row>
        <row r="1143">
          <cell r="L1143">
            <v>15.60273973</v>
          </cell>
          <cell r="M1143">
            <v>4.2235432199999998</v>
          </cell>
        </row>
        <row r="1144">
          <cell r="L1144">
            <v>15.61643836</v>
          </cell>
          <cell r="M1144">
            <v>4.2244422400000001</v>
          </cell>
        </row>
        <row r="1145">
          <cell r="L1145">
            <v>15.63013699</v>
          </cell>
          <cell r="M1145">
            <v>4.2253436500000001</v>
          </cell>
        </row>
        <row r="1146">
          <cell r="L1146">
            <v>15.643835620000001</v>
          </cell>
          <cell r="M1146">
            <v>4.2262472799999999</v>
          </cell>
        </row>
        <row r="1147">
          <cell r="L1147">
            <v>15.657534249999999</v>
          </cell>
          <cell r="M1147">
            <v>4.2271530000000004</v>
          </cell>
        </row>
        <row r="1148">
          <cell r="L1148">
            <v>15.67123288</v>
          </cell>
          <cell r="M1148">
            <v>4.2280606399999998</v>
          </cell>
        </row>
        <row r="1149">
          <cell r="L1149">
            <v>15.68493151</v>
          </cell>
          <cell r="M1149">
            <v>4.22897006</v>
          </cell>
        </row>
        <row r="1150">
          <cell r="L1150">
            <v>15.698630140000001</v>
          </cell>
          <cell r="M1150">
            <v>4.22988111</v>
          </cell>
        </row>
        <row r="1151">
          <cell r="L1151">
            <v>15.712328769999999</v>
          </cell>
          <cell r="M1151">
            <v>4.23079363</v>
          </cell>
        </row>
        <row r="1152">
          <cell r="L1152">
            <v>15.7260274</v>
          </cell>
          <cell r="M1152">
            <v>4.2317074899999998</v>
          </cell>
        </row>
        <row r="1153">
          <cell r="L1153">
            <v>15.73972603</v>
          </cell>
          <cell r="M1153">
            <v>4.2326225199999996</v>
          </cell>
        </row>
        <row r="1154">
          <cell r="L1154">
            <v>15.75342466</v>
          </cell>
          <cell r="M1154">
            <v>4.2335385800000003</v>
          </cell>
        </row>
        <row r="1155">
          <cell r="L1155">
            <v>15.767123290000001</v>
          </cell>
          <cell r="M1155">
            <v>4.2344555100000001</v>
          </cell>
        </row>
        <row r="1156">
          <cell r="L1156">
            <v>15.780821919999999</v>
          </cell>
          <cell r="M1156">
            <v>4.2353731699999999</v>
          </cell>
        </row>
        <row r="1157">
          <cell r="L1157">
            <v>15.79452055</v>
          </cell>
          <cell r="M1157">
            <v>4.2362914099999998</v>
          </cell>
        </row>
        <row r="1158">
          <cell r="L1158">
            <v>15.80821918</v>
          </cell>
          <cell r="M1158">
            <v>4.2372100799999997</v>
          </cell>
        </row>
        <row r="1159">
          <cell r="L1159">
            <v>15.82191781</v>
          </cell>
          <cell r="M1159">
            <v>4.2381290099999998</v>
          </cell>
        </row>
        <row r="1160">
          <cell r="L1160">
            <v>15.835616440000001</v>
          </cell>
          <cell r="M1160">
            <v>4.2390480799999999</v>
          </cell>
        </row>
        <row r="1161">
          <cell r="L1161">
            <v>15.849315069999999</v>
          </cell>
          <cell r="M1161">
            <v>4.2399671200000002</v>
          </cell>
        </row>
        <row r="1162">
          <cell r="L1162">
            <v>15.8630137</v>
          </cell>
          <cell r="M1162">
            <v>4.2408859799999998</v>
          </cell>
        </row>
        <row r="1163">
          <cell r="L1163">
            <v>15.87671233</v>
          </cell>
          <cell r="M1163">
            <v>4.2418045199999996</v>
          </cell>
        </row>
        <row r="1164">
          <cell r="L1164">
            <v>15.890410960000001</v>
          </cell>
          <cell r="M1164">
            <v>4.2427225799999997</v>
          </cell>
        </row>
        <row r="1165">
          <cell r="L1165">
            <v>15.904109589999999</v>
          </cell>
          <cell r="M1165">
            <v>4.24364002</v>
          </cell>
        </row>
        <row r="1166">
          <cell r="L1166">
            <v>15.91780822</v>
          </cell>
          <cell r="M1166">
            <v>4.2445566799999996</v>
          </cell>
        </row>
        <row r="1167">
          <cell r="L1167">
            <v>15.93150685</v>
          </cell>
          <cell r="M1167">
            <v>4.2454724099999996</v>
          </cell>
        </row>
        <row r="1168">
          <cell r="L1168">
            <v>15.94520548</v>
          </cell>
          <cell r="M1168">
            <v>4.2463870699999999</v>
          </cell>
        </row>
        <row r="1169">
          <cell r="L1169">
            <v>15.958904110000001</v>
          </cell>
          <cell r="M1169">
            <v>4.2473004899999998</v>
          </cell>
        </row>
        <row r="1170">
          <cell r="L1170">
            <v>15.972602739999999</v>
          </cell>
          <cell r="M1170">
            <v>4.2482125399999999</v>
          </cell>
        </row>
        <row r="1171">
          <cell r="L1171">
            <v>15.98630137</v>
          </cell>
          <cell r="M1171">
            <v>4.2491230699999996</v>
          </cell>
        </row>
        <row r="1172">
          <cell r="L1172">
            <v>16</v>
          </cell>
          <cell r="M1172">
            <v>4.2500319099999997</v>
          </cell>
        </row>
        <row r="1173">
          <cell r="L1173">
            <v>16.01369863</v>
          </cell>
          <cell r="M1173">
            <v>4.2509410699999997</v>
          </cell>
        </row>
        <row r="1174">
          <cell r="L1174">
            <v>16.027397260000001</v>
          </cell>
          <cell r="M1174">
            <v>4.2518525800000004</v>
          </cell>
        </row>
        <row r="1175">
          <cell r="L1175">
            <v>16.041095890000001</v>
          </cell>
          <cell r="M1175">
            <v>4.25276633</v>
          </cell>
        </row>
        <row r="1176">
          <cell r="L1176">
            <v>16.054794520000002</v>
          </cell>
          <cell r="M1176">
            <v>4.2536822299999999</v>
          </cell>
        </row>
        <row r="1177">
          <cell r="L1177">
            <v>16.068493149999998</v>
          </cell>
          <cell r="M1177">
            <v>4.2546001699999998</v>
          </cell>
        </row>
        <row r="1178">
          <cell r="L1178">
            <v>16.082191779999999</v>
          </cell>
          <cell r="M1178">
            <v>4.2555200600000003</v>
          </cell>
        </row>
        <row r="1179">
          <cell r="L1179">
            <v>16.095890409999999</v>
          </cell>
          <cell r="M1179">
            <v>4.2564417800000003</v>
          </cell>
        </row>
        <row r="1180">
          <cell r="L1180">
            <v>16.109589039999999</v>
          </cell>
          <cell r="M1180">
            <v>4.2573652500000003</v>
          </cell>
        </row>
        <row r="1181">
          <cell r="L1181">
            <v>16.12328767</v>
          </cell>
          <cell r="M1181">
            <v>4.2582903700000001</v>
          </cell>
        </row>
        <row r="1182">
          <cell r="L1182">
            <v>16.1369863</v>
          </cell>
          <cell r="M1182">
            <v>4.2592170200000004</v>
          </cell>
        </row>
        <row r="1183">
          <cell r="L1183">
            <v>16.150684930000001</v>
          </cell>
          <cell r="M1183">
            <v>4.2601451199999998</v>
          </cell>
        </row>
        <row r="1184">
          <cell r="L1184">
            <v>16.164383560000001</v>
          </cell>
          <cell r="M1184">
            <v>4.26107455</v>
          </cell>
        </row>
        <row r="1185">
          <cell r="L1185">
            <v>16.178082190000001</v>
          </cell>
          <cell r="M1185">
            <v>4.2620052299999998</v>
          </cell>
        </row>
        <row r="1186">
          <cell r="L1186">
            <v>16.191780820000002</v>
          </cell>
          <cell r="M1186">
            <v>4.2629370399999997</v>
          </cell>
        </row>
        <row r="1187">
          <cell r="L1187">
            <v>16.205479449999999</v>
          </cell>
          <cell r="M1187">
            <v>4.2638699000000004</v>
          </cell>
        </row>
        <row r="1188">
          <cell r="L1188">
            <v>16.219178079999999</v>
          </cell>
          <cell r="M1188">
            <v>4.2648036899999999</v>
          </cell>
        </row>
        <row r="1189">
          <cell r="L1189">
            <v>16.232876709999999</v>
          </cell>
          <cell r="M1189">
            <v>4.2657383199999996</v>
          </cell>
        </row>
        <row r="1190">
          <cell r="L1190">
            <v>16.24657534</v>
          </cell>
          <cell r="M1190">
            <v>4.2666736800000002</v>
          </cell>
        </row>
        <row r="1191">
          <cell r="L1191">
            <v>16.26027397</v>
          </cell>
          <cell r="M1191">
            <v>4.2676096899999996</v>
          </cell>
        </row>
        <row r="1192">
          <cell r="L1192">
            <v>16.2739726</v>
          </cell>
          <cell r="M1192">
            <v>4.2685462300000001</v>
          </cell>
        </row>
        <row r="1193">
          <cell r="L1193">
            <v>16.287671230000001</v>
          </cell>
          <cell r="M1193">
            <v>4.2694831999999998</v>
          </cell>
        </row>
        <row r="1194">
          <cell r="L1194">
            <v>16.301369860000001</v>
          </cell>
          <cell r="M1194">
            <v>4.2704205100000001</v>
          </cell>
        </row>
        <row r="1195">
          <cell r="L1195">
            <v>16.315068490000002</v>
          </cell>
          <cell r="M1195">
            <v>4.2713580599999998</v>
          </cell>
        </row>
        <row r="1196">
          <cell r="L1196">
            <v>16.328767119999998</v>
          </cell>
          <cell r="M1196">
            <v>4.2722957399999997</v>
          </cell>
        </row>
        <row r="1197">
          <cell r="L1197">
            <v>16.342465749999999</v>
          </cell>
          <cell r="M1197">
            <v>4.2732334500000002</v>
          </cell>
        </row>
        <row r="1198">
          <cell r="L1198">
            <v>16.356164379999999</v>
          </cell>
          <cell r="M1198">
            <v>4.2741711000000002</v>
          </cell>
        </row>
        <row r="1199">
          <cell r="L1199">
            <v>16.36986301</v>
          </cell>
          <cell r="M1199">
            <v>4.2751085700000004</v>
          </cell>
        </row>
        <row r="1200">
          <cell r="L1200">
            <v>16.38356164</v>
          </cell>
          <cell r="M1200">
            <v>4.2760457799999996</v>
          </cell>
        </row>
        <row r="1201">
          <cell r="L1201">
            <v>16.39726027</v>
          </cell>
          <cell r="M1201">
            <v>4.2769826200000001</v>
          </cell>
        </row>
        <row r="1202">
          <cell r="L1202">
            <v>16.410958900000001</v>
          </cell>
          <cell r="M1202">
            <v>4.2779189999999998</v>
          </cell>
        </row>
        <row r="1203">
          <cell r="L1203">
            <v>16.424657530000001</v>
          </cell>
          <cell r="M1203">
            <v>4.2788548000000004</v>
          </cell>
        </row>
        <row r="1204">
          <cell r="L1204">
            <v>16.438356160000001</v>
          </cell>
          <cell r="M1204">
            <v>4.2797899299999997</v>
          </cell>
        </row>
        <row r="1205">
          <cell r="L1205">
            <v>16.452054789999998</v>
          </cell>
          <cell r="M1205">
            <v>4.2807242900000002</v>
          </cell>
        </row>
        <row r="1206">
          <cell r="L1206">
            <v>16.465753419999999</v>
          </cell>
          <cell r="M1206">
            <v>4.2816577799999997</v>
          </cell>
        </row>
        <row r="1207">
          <cell r="L1207">
            <v>16.479452049999999</v>
          </cell>
          <cell r="M1207">
            <v>4.2825902999999998</v>
          </cell>
        </row>
        <row r="1208">
          <cell r="L1208">
            <v>16.493150679999999</v>
          </cell>
          <cell r="M1208">
            <v>4.2835217500000002</v>
          </cell>
        </row>
        <row r="1209">
          <cell r="L1209">
            <v>16.506849320000001</v>
          </cell>
          <cell r="M1209">
            <v>4.2844523199999998</v>
          </cell>
        </row>
        <row r="1210">
          <cell r="L1210">
            <v>16.520547950000001</v>
          </cell>
          <cell r="M1210">
            <v>4.2853837400000003</v>
          </cell>
        </row>
        <row r="1211">
          <cell r="L1211">
            <v>16.534246580000001</v>
          </cell>
          <cell r="M1211">
            <v>4.2863162499999996</v>
          </cell>
        </row>
        <row r="1212">
          <cell r="L1212">
            <v>16.547945210000002</v>
          </cell>
          <cell r="M1212">
            <v>4.2872498200000004</v>
          </cell>
        </row>
        <row r="1213">
          <cell r="L1213">
            <v>16.561643839999999</v>
          </cell>
          <cell r="M1213">
            <v>4.2881843799999997</v>
          </cell>
        </row>
        <row r="1214">
          <cell r="L1214">
            <v>16.575342469999999</v>
          </cell>
          <cell r="M1214">
            <v>4.2891198900000003</v>
          </cell>
        </row>
        <row r="1215">
          <cell r="L1215">
            <v>16.589041099999999</v>
          </cell>
          <cell r="M1215">
            <v>4.2900563099999998</v>
          </cell>
        </row>
        <row r="1216">
          <cell r="L1216">
            <v>16.60273973</v>
          </cell>
          <cell r="M1216">
            <v>4.2909935800000003</v>
          </cell>
        </row>
        <row r="1217">
          <cell r="L1217">
            <v>16.61643836</v>
          </cell>
          <cell r="M1217">
            <v>4.2919316600000004</v>
          </cell>
        </row>
        <row r="1218">
          <cell r="L1218">
            <v>16.63013699</v>
          </cell>
          <cell r="M1218">
            <v>4.2928705000000003</v>
          </cell>
        </row>
        <row r="1219">
          <cell r="L1219">
            <v>16.643835620000001</v>
          </cell>
          <cell r="M1219">
            <v>4.2938100500000003</v>
          </cell>
        </row>
        <row r="1220">
          <cell r="L1220">
            <v>16.657534250000001</v>
          </cell>
          <cell r="M1220">
            <v>4.2947502699999998</v>
          </cell>
        </row>
        <row r="1221">
          <cell r="L1221">
            <v>16.671232880000002</v>
          </cell>
          <cell r="M1221">
            <v>4.2956911</v>
          </cell>
        </row>
        <row r="1222">
          <cell r="L1222">
            <v>16.684931509999998</v>
          </cell>
          <cell r="M1222">
            <v>4.2966324900000004</v>
          </cell>
        </row>
        <row r="1223">
          <cell r="L1223">
            <v>16.698630139999999</v>
          </cell>
          <cell r="M1223">
            <v>4.2975744100000002</v>
          </cell>
        </row>
        <row r="1224">
          <cell r="L1224">
            <v>16.712328769999999</v>
          </cell>
          <cell r="M1224">
            <v>4.2985167999999998</v>
          </cell>
        </row>
        <row r="1225">
          <cell r="L1225">
            <v>16.7260274</v>
          </cell>
          <cell r="M1225">
            <v>4.2994596200000004</v>
          </cell>
        </row>
        <row r="1226">
          <cell r="L1226">
            <v>16.73972603</v>
          </cell>
          <cell r="M1226">
            <v>4.3004028099999996</v>
          </cell>
        </row>
        <row r="1227">
          <cell r="L1227">
            <v>16.75342466</v>
          </cell>
          <cell r="M1227">
            <v>4.3013463200000004</v>
          </cell>
        </row>
        <row r="1228">
          <cell r="L1228">
            <v>16.767123290000001</v>
          </cell>
          <cell r="M1228">
            <v>4.3022901200000003</v>
          </cell>
        </row>
        <row r="1229">
          <cell r="L1229">
            <v>16.780821920000001</v>
          </cell>
          <cell r="M1229">
            <v>4.3032341499999998</v>
          </cell>
        </row>
        <row r="1230">
          <cell r="L1230">
            <v>16.794520550000001</v>
          </cell>
          <cell r="M1230">
            <v>4.3041783599999999</v>
          </cell>
        </row>
        <row r="1231">
          <cell r="L1231">
            <v>16.808219179999998</v>
          </cell>
          <cell r="M1231">
            <v>4.30512271</v>
          </cell>
        </row>
        <row r="1232">
          <cell r="L1232">
            <v>16.821917809999999</v>
          </cell>
          <cell r="M1232">
            <v>4.3060671499999996</v>
          </cell>
        </row>
        <row r="1233">
          <cell r="L1233">
            <v>16.835616439999999</v>
          </cell>
          <cell r="M1233">
            <v>4.3070116199999999</v>
          </cell>
        </row>
        <row r="1234">
          <cell r="L1234">
            <v>16.849315069999999</v>
          </cell>
          <cell r="M1234">
            <v>4.3079560900000002</v>
          </cell>
        </row>
        <row r="1235">
          <cell r="L1235">
            <v>16.8630137</v>
          </cell>
          <cell r="M1235">
            <v>4.30890051</v>
          </cell>
        </row>
        <row r="1236">
          <cell r="L1236">
            <v>16.87671233</v>
          </cell>
          <cell r="M1236">
            <v>4.3098448200000004</v>
          </cell>
        </row>
        <row r="1237">
          <cell r="L1237">
            <v>16.890410960000001</v>
          </cell>
          <cell r="M1237">
            <v>4.3107889699999999</v>
          </cell>
        </row>
        <row r="1238">
          <cell r="L1238">
            <v>16.904109590000001</v>
          </cell>
          <cell r="M1238">
            <v>4.3117329299999998</v>
          </cell>
        </row>
        <row r="1239">
          <cell r="L1239">
            <v>16.917808220000001</v>
          </cell>
          <cell r="M1239">
            <v>4.3126766400000003</v>
          </cell>
        </row>
        <row r="1240">
          <cell r="L1240">
            <v>16.931506850000002</v>
          </cell>
          <cell r="M1240">
            <v>4.3136200499999999</v>
          </cell>
        </row>
        <row r="1241">
          <cell r="L1241">
            <v>16.945205479999998</v>
          </cell>
          <cell r="M1241">
            <v>4.3145631199999999</v>
          </cell>
        </row>
        <row r="1242">
          <cell r="L1242">
            <v>16.958904109999999</v>
          </cell>
          <cell r="M1242">
            <v>4.3155058000000004</v>
          </cell>
        </row>
        <row r="1243">
          <cell r="L1243">
            <v>16.972602739999999</v>
          </cell>
          <cell r="M1243">
            <v>4.31644804</v>
          </cell>
        </row>
        <row r="1244">
          <cell r="L1244">
            <v>16.98630137</v>
          </cell>
          <cell r="M1244">
            <v>4.31738979</v>
          </cell>
        </row>
        <row r="1245">
          <cell r="L1245">
            <v>17</v>
          </cell>
          <cell r="M1245">
            <v>4.3183309999999997</v>
          </cell>
        </row>
        <row r="1246">
          <cell r="L1246">
            <v>17.01369863</v>
          </cell>
          <cell r="M1246">
            <v>4.3192718499999998</v>
          </cell>
        </row>
        <row r="1247">
          <cell r="L1247">
            <v>17.027397260000001</v>
          </cell>
          <cell r="M1247">
            <v>4.3202125300000001</v>
          </cell>
        </row>
        <row r="1248">
          <cell r="L1248">
            <v>17.041095890000001</v>
          </cell>
          <cell r="M1248">
            <v>4.3211530399999996</v>
          </cell>
        </row>
        <row r="1249">
          <cell r="L1249">
            <v>17.054794520000002</v>
          </cell>
          <cell r="M1249">
            <v>4.3220934099999999</v>
          </cell>
        </row>
        <row r="1250">
          <cell r="L1250">
            <v>17.068493149999998</v>
          </cell>
          <cell r="M1250">
            <v>4.3230336300000003</v>
          </cell>
        </row>
        <row r="1251">
          <cell r="L1251">
            <v>17.082191779999999</v>
          </cell>
          <cell r="M1251">
            <v>4.3239737199999997</v>
          </cell>
        </row>
        <row r="1252">
          <cell r="L1252">
            <v>17.095890409999999</v>
          </cell>
          <cell r="M1252">
            <v>4.3249136699999999</v>
          </cell>
        </row>
        <row r="1253">
          <cell r="L1253">
            <v>17.109589039999999</v>
          </cell>
          <cell r="M1253">
            <v>4.3258535</v>
          </cell>
        </row>
        <row r="1254">
          <cell r="L1254">
            <v>17.12328767</v>
          </cell>
          <cell r="M1254">
            <v>4.3267932199999999</v>
          </cell>
        </row>
        <row r="1255">
          <cell r="L1255">
            <v>17.1369863</v>
          </cell>
          <cell r="M1255">
            <v>4.3277328199999996</v>
          </cell>
        </row>
        <row r="1256">
          <cell r="L1256">
            <v>17.150684930000001</v>
          </cell>
          <cell r="M1256">
            <v>4.3286723299999998</v>
          </cell>
        </row>
        <row r="1257">
          <cell r="L1257">
            <v>17.164383560000001</v>
          </cell>
          <cell r="M1257">
            <v>4.3296117299999999</v>
          </cell>
        </row>
        <row r="1258">
          <cell r="L1258">
            <v>17.178082190000001</v>
          </cell>
          <cell r="M1258">
            <v>4.3305510500000004</v>
          </cell>
        </row>
        <row r="1259">
          <cell r="L1259">
            <v>17.191780820000002</v>
          </cell>
          <cell r="M1259">
            <v>4.3314902899999996</v>
          </cell>
        </row>
        <row r="1260">
          <cell r="L1260">
            <v>17.205479449999999</v>
          </cell>
          <cell r="M1260">
            <v>4.3324294600000002</v>
          </cell>
        </row>
        <row r="1261">
          <cell r="L1261">
            <v>17.219178079999999</v>
          </cell>
          <cell r="M1261">
            <v>4.3333685600000003</v>
          </cell>
        </row>
        <row r="1262">
          <cell r="L1262">
            <v>17.232876709999999</v>
          </cell>
          <cell r="M1262">
            <v>4.3343075999999998</v>
          </cell>
        </row>
        <row r="1263">
          <cell r="L1263">
            <v>17.24657534</v>
          </cell>
          <cell r="M1263">
            <v>4.3352465799999997</v>
          </cell>
        </row>
        <row r="1264">
          <cell r="L1264">
            <v>17.26027397</v>
          </cell>
          <cell r="M1264">
            <v>4.3361855299999998</v>
          </cell>
        </row>
        <row r="1265">
          <cell r="L1265">
            <v>17.2739726</v>
          </cell>
          <cell r="M1265">
            <v>4.3371244300000003</v>
          </cell>
        </row>
        <row r="1266">
          <cell r="L1266">
            <v>17.287671230000001</v>
          </cell>
          <cell r="M1266">
            <v>4.3380633</v>
          </cell>
        </row>
        <row r="1267">
          <cell r="L1267">
            <v>17.301369860000001</v>
          </cell>
          <cell r="M1267">
            <v>4.3390021499999998</v>
          </cell>
        </row>
        <row r="1268">
          <cell r="L1268">
            <v>17.315068490000002</v>
          </cell>
          <cell r="M1268">
            <v>4.3399409799999997</v>
          </cell>
        </row>
        <row r="1269">
          <cell r="L1269">
            <v>17.328767119999998</v>
          </cell>
          <cell r="M1269">
            <v>4.3408798099999997</v>
          </cell>
        </row>
        <row r="1270">
          <cell r="L1270">
            <v>17.342465749999999</v>
          </cell>
          <cell r="M1270">
            <v>4.3418186299999997</v>
          </cell>
        </row>
        <row r="1271">
          <cell r="L1271">
            <v>17.356164379999999</v>
          </cell>
          <cell r="M1271">
            <v>4.3427574499999997</v>
          </cell>
        </row>
        <row r="1272">
          <cell r="L1272">
            <v>17.36986301</v>
          </cell>
          <cell r="M1272">
            <v>4.3436962899999996</v>
          </cell>
        </row>
        <row r="1273">
          <cell r="L1273">
            <v>17.38356164</v>
          </cell>
          <cell r="M1273">
            <v>4.3446351500000002</v>
          </cell>
        </row>
        <row r="1274">
          <cell r="L1274">
            <v>17.39726027</v>
          </cell>
          <cell r="M1274">
            <v>4.3455740299999999</v>
          </cell>
        </row>
        <row r="1275">
          <cell r="L1275">
            <v>17.410958900000001</v>
          </cell>
          <cell r="M1275">
            <v>4.3465129500000002</v>
          </cell>
        </row>
        <row r="1276">
          <cell r="L1276">
            <v>17.424657530000001</v>
          </cell>
          <cell r="M1276">
            <v>4.3474519000000003</v>
          </cell>
        </row>
        <row r="1277">
          <cell r="L1277">
            <v>17.438356160000001</v>
          </cell>
          <cell r="M1277">
            <v>4.34839091</v>
          </cell>
        </row>
        <row r="1278">
          <cell r="L1278">
            <v>17.452054789999998</v>
          </cell>
          <cell r="M1278">
            <v>4.3493299600000004</v>
          </cell>
        </row>
        <row r="1279">
          <cell r="L1279">
            <v>17.465753419999999</v>
          </cell>
          <cell r="M1279">
            <v>4.3502690800000003</v>
          </cell>
        </row>
        <row r="1280">
          <cell r="L1280">
            <v>17.479452049999999</v>
          </cell>
          <cell r="M1280">
            <v>4.3512082699999999</v>
          </cell>
        </row>
        <row r="1281">
          <cell r="L1281">
            <v>17.493150679999999</v>
          </cell>
          <cell r="M1281">
            <v>4.3521475399999998</v>
          </cell>
        </row>
        <row r="1282">
          <cell r="L1282">
            <v>17.506849320000001</v>
          </cell>
          <cell r="M1282">
            <v>4.3530866799999997</v>
          </cell>
        </row>
        <row r="1283">
          <cell r="L1283">
            <v>17.520547950000001</v>
          </cell>
          <cell r="M1283">
            <v>4.3540244799999996</v>
          </cell>
        </row>
        <row r="1284">
          <cell r="L1284">
            <v>17.534246580000001</v>
          </cell>
          <cell r="M1284">
            <v>4.3549607899999998</v>
          </cell>
        </row>
        <row r="1285">
          <cell r="L1285">
            <v>17.547945210000002</v>
          </cell>
          <cell r="M1285">
            <v>4.3558956799999997</v>
          </cell>
        </row>
        <row r="1286">
          <cell r="L1286">
            <v>17.561643839999999</v>
          </cell>
          <cell r="M1286">
            <v>4.3568292099999999</v>
          </cell>
        </row>
        <row r="1287">
          <cell r="L1287">
            <v>17.575342469999999</v>
          </cell>
          <cell r="M1287">
            <v>4.3577614499999999</v>
          </cell>
        </row>
        <row r="1288">
          <cell r="L1288">
            <v>17.589041099999999</v>
          </cell>
          <cell r="M1288">
            <v>4.3586924700000003</v>
          </cell>
        </row>
        <row r="1289">
          <cell r="L1289">
            <v>17.60273973</v>
          </cell>
          <cell r="M1289">
            <v>4.3596223199999997</v>
          </cell>
        </row>
        <row r="1290">
          <cell r="L1290">
            <v>17.61643836</v>
          </cell>
          <cell r="M1290">
            <v>4.3605510799999996</v>
          </cell>
        </row>
        <row r="1291">
          <cell r="L1291">
            <v>17.63013699</v>
          </cell>
          <cell r="M1291">
            <v>4.3614788100000004</v>
          </cell>
        </row>
        <row r="1292">
          <cell r="L1292">
            <v>17.643835620000001</v>
          </cell>
          <cell r="M1292">
            <v>4.36240557</v>
          </cell>
        </row>
        <row r="1293">
          <cell r="L1293">
            <v>17.657534250000001</v>
          </cell>
          <cell r="M1293">
            <v>4.3633314299999997</v>
          </cell>
        </row>
        <row r="1294">
          <cell r="L1294">
            <v>17.671232880000002</v>
          </cell>
          <cell r="M1294">
            <v>4.3642564500000001</v>
          </cell>
        </row>
        <row r="1295">
          <cell r="L1295">
            <v>17.684931509999998</v>
          </cell>
          <cell r="M1295">
            <v>4.3651807099999997</v>
          </cell>
        </row>
        <row r="1296">
          <cell r="L1296">
            <v>17.698630139999999</v>
          </cell>
          <cell r="M1296">
            <v>4.3661042500000002</v>
          </cell>
        </row>
        <row r="1297">
          <cell r="L1297">
            <v>17.712328769999999</v>
          </cell>
          <cell r="M1297">
            <v>4.3670271600000001</v>
          </cell>
        </row>
        <row r="1298">
          <cell r="L1298">
            <v>17.7260274</v>
          </cell>
          <cell r="M1298">
            <v>4.36794949</v>
          </cell>
        </row>
        <row r="1299">
          <cell r="L1299">
            <v>17.73972603</v>
          </cell>
          <cell r="M1299">
            <v>4.3688713200000002</v>
          </cell>
        </row>
        <row r="1300">
          <cell r="L1300">
            <v>17.75342466</v>
          </cell>
          <cell r="M1300">
            <v>4.3697926899999997</v>
          </cell>
        </row>
        <row r="1301">
          <cell r="L1301">
            <v>17.767123290000001</v>
          </cell>
          <cell r="M1301">
            <v>4.3707136899999997</v>
          </cell>
        </row>
        <row r="1302">
          <cell r="L1302">
            <v>17.780821920000001</v>
          </cell>
          <cell r="M1302">
            <v>4.3716343699999998</v>
          </cell>
        </row>
        <row r="1303">
          <cell r="L1303">
            <v>17.794520550000001</v>
          </cell>
          <cell r="M1303">
            <v>4.3725548099999996</v>
          </cell>
        </row>
        <row r="1304">
          <cell r="L1304">
            <v>17.808219179999998</v>
          </cell>
          <cell r="M1304">
            <v>4.3734750499999997</v>
          </cell>
        </row>
        <row r="1305">
          <cell r="L1305">
            <v>17.821917809999999</v>
          </cell>
          <cell r="M1305">
            <v>4.3743951799999996</v>
          </cell>
        </row>
        <row r="1306">
          <cell r="L1306">
            <v>17.835616439999999</v>
          </cell>
          <cell r="M1306">
            <v>4.3753152599999998</v>
          </cell>
        </row>
        <row r="1307">
          <cell r="L1307">
            <v>17.849315069999999</v>
          </cell>
          <cell r="M1307">
            <v>4.37623534</v>
          </cell>
        </row>
        <row r="1308">
          <cell r="L1308">
            <v>17.8630137</v>
          </cell>
          <cell r="M1308">
            <v>4.3771555099999997</v>
          </cell>
        </row>
        <row r="1309">
          <cell r="L1309">
            <v>17.87671233</v>
          </cell>
          <cell r="M1309">
            <v>4.3780758100000003</v>
          </cell>
        </row>
        <row r="1310">
          <cell r="L1310">
            <v>17.890410960000001</v>
          </cell>
          <cell r="M1310">
            <v>4.3789963199999997</v>
          </cell>
        </row>
        <row r="1311">
          <cell r="L1311">
            <v>17.904109590000001</v>
          </cell>
          <cell r="M1311">
            <v>4.3799171000000001</v>
          </cell>
        </row>
        <row r="1312">
          <cell r="L1312">
            <v>17.917808220000001</v>
          </cell>
          <cell r="M1312">
            <v>4.3808382100000003</v>
          </cell>
        </row>
        <row r="1313">
          <cell r="L1313">
            <v>17.931506850000002</v>
          </cell>
          <cell r="M1313">
            <v>4.3817597299999997</v>
          </cell>
        </row>
        <row r="1314">
          <cell r="L1314">
            <v>17.945205479999998</v>
          </cell>
          <cell r="M1314">
            <v>4.3826817199999999</v>
          </cell>
        </row>
        <row r="1315">
          <cell r="L1315">
            <v>17.958904109999999</v>
          </cell>
          <cell r="M1315">
            <v>4.3836042400000004</v>
          </cell>
        </row>
        <row r="1316">
          <cell r="L1316">
            <v>17.972602739999999</v>
          </cell>
          <cell r="M1316">
            <v>4.3845273499999999</v>
          </cell>
        </row>
        <row r="1317">
          <cell r="L1317">
            <v>17.98630137</v>
          </cell>
          <cell r="M1317">
            <v>4.3854511199999999</v>
          </cell>
        </row>
        <row r="1318">
          <cell r="L1318">
            <v>18</v>
          </cell>
          <cell r="M1318">
            <v>4.3863756299999999</v>
          </cell>
        </row>
        <row r="1319">
          <cell r="L1319">
            <v>18.01369863</v>
          </cell>
          <cell r="M1319">
            <v>4.3872989999999996</v>
          </cell>
        </row>
        <row r="1320">
          <cell r="L1320">
            <v>18.027397260000001</v>
          </cell>
          <cell r="M1320">
            <v>4.3882194300000004</v>
          </cell>
        </row>
        <row r="1321">
          <cell r="L1321">
            <v>18.041095890000001</v>
          </cell>
          <cell r="M1321">
            <v>4.3891370399999996</v>
          </cell>
        </row>
        <row r="1322">
          <cell r="L1322">
            <v>18.054794520000002</v>
          </cell>
          <cell r="M1322">
            <v>4.3900519500000001</v>
          </cell>
        </row>
        <row r="1323">
          <cell r="L1323">
            <v>18.068493149999998</v>
          </cell>
          <cell r="M1323">
            <v>4.3909643000000003</v>
          </cell>
        </row>
        <row r="1324">
          <cell r="L1324">
            <v>18.082191779999999</v>
          </cell>
          <cell r="M1324">
            <v>4.3918742100000001</v>
          </cell>
        </row>
        <row r="1325">
          <cell r="L1325">
            <v>18.095890409999999</v>
          </cell>
          <cell r="M1325">
            <v>4.3927817999999998</v>
          </cell>
        </row>
        <row r="1326">
          <cell r="L1326">
            <v>18.109589039999999</v>
          </cell>
          <cell r="M1326">
            <v>4.3936872100000004</v>
          </cell>
        </row>
        <row r="1327">
          <cell r="L1327">
            <v>18.12328767</v>
          </cell>
          <cell r="M1327">
            <v>4.3945905500000002</v>
          </cell>
        </row>
        <row r="1328">
          <cell r="L1328">
            <v>18.1369863</v>
          </cell>
          <cell r="M1328">
            <v>4.3954919600000002</v>
          </cell>
        </row>
        <row r="1329">
          <cell r="L1329">
            <v>18.150684930000001</v>
          </cell>
          <cell r="M1329">
            <v>4.3963915499999997</v>
          </cell>
        </row>
        <row r="1330">
          <cell r="L1330">
            <v>18.164383560000001</v>
          </cell>
          <cell r="M1330">
            <v>4.3972894699999996</v>
          </cell>
        </row>
        <row r="1331">
          <cell r="L1331">
            <v>18.178082190000001</v>
          </cell>
          <cell r="M1331">
            <v>4.3981858300000001</v>
          </cell>
        </row>
        <row r="1332">
          <cell r="L1332">
            <v>18.191780820000002</v>
          </cell>
          <cell r="M1332">
            <v>4.3990807500000004</v>
          </cell>
        </row>
        <row r="1333">
          <cell r="L1333">
            <v>18.205479449999999</v>
          </cell>
          <cell r="M1333">
            <v>4.3999743699999998</v>
          </cell>
        </row>
        <row r="1334">
          <cell r="L1334">
            <v>18.219178079999999</v>
          </cell>
          <cell r="M1334">
            <v>4.4008668200000001</v>
          </cell>
        </row>
        <row r="1335">
          <cell r="L1335">
            <v>18.232876709999999</v>
          </cell>
          <cell r="M1335">
            <v>4.4017582099999997</v>
          </cell>
        </row>
        <row r="1336">
          <cell r="L1336">
            <v>18.24657534</v>
          </cell>
          <cell r="M1336">
            <v>4.4026486800000004</v>
          </cell>
        </row>
        <row r="1337">
          <cell r="L1337">
            <v>18.26027397</v>
          </cell>
          <cell r="M1337">
            <v>4.4035383399999999</v>
          </cell>
        </row>
        <row r="1338">
          <cell r="L1338">
            <v>18.2739726</v>
          </cell>
          <cell r="M1338">
            <v>4.4044273399999998</v>
          </cell>
        </row>
        <row r="1339">
          <cell r="L1339">
            <v>18.287671230000001</v>
          </cell>
          <cell r="M1339">
            <v>4.4053157799999996</v>
          </cell>
        </row>
        <row r="1340">
          <cell r="L1340">
            <v>18.301369860000001</v>
          </cell>
          <cell r="M1340">
            <v>4.4062038100000001</v>
          </cell>
        </row>
        <row r="1341">
          <cell r="L1341">
            <v>18.315068490000002</v>
          </cell>
          <cell r="M1341">
            <v>4.4070915399999997</v>
          </cell>
        </row>
        <row r="1342">
          <cell r="L1342">
            <v>18.328767119999998</v>
          </cell>
          <cell r="M1342">
            <v>4.4079791000000004</v>
          </cell>
        </row>
        <row r="1343">
          <cell r="L1343">
            <v>18.342465749999999</v>
          </cell>
          <cell r="M1343">
            <v>4.4088666200000004</v>
          </cell>
        </row>
        <row r="1344">
          <cell r="L1344">
            <v>18.356164379999999</v>
          </cell>
          <cell r="M1344">
            <v>4.4097542299999999</v>
          </cell>
        </row>
        <row r="1345">
          <cell r="L1345">
            <v>18.36986301</v>
          </cell>
          <cell r="M1345">
            <v>4.4106420399999999</v>
          </cell>
        </row>
        <row r="1346">
          <cell r="L1346">
            <v>18.38356164</v>
          </cell>
          <cell r="M1346">
            <v>4.4115301899999997</v>
          </cell>
        </row>
        <row r="1347">
          <cell r="L1347">
            <v>18.39726027</v>
          </cell>
          <cell r="M1347">
            <v>4.4124188100000001</v>
          </cell>
        </row>
        <row r="1348">
          <cell r="L1348">
            <v>18.410958900000001</v>
          </cell>
          <cell r="M1348">
            <v>4.4133080099999997</v>
          </cell>
        </row>
        <row r="1349">
          <cell r="L1349">
            <v>18.424657530000001</v>
          </cell>
          <cell r="M1349">
            <v>4.4141979300000003</v>
          </cell>
        </row>
        <row r="1350">
          <cell r="L1350">
            <v>18.438356160000001</v>
          </cell>
          <cell r="M1350">
            <v>4.4150886900000001</v>
          </cell>
        </row>
        <row r="1351">
          <cell r="L1351">
            <v>18.452054789999998</v>
          </cell>
          <cell r="M1351">
            <v>4.4159804200000004</v>
          </cell>
        </row>
        <row r="1352">
          <cell r="L1352">
            <v>18.465753419999999</v>
          </cell>
          <cell r="M1352">
            <v>4.4168732400000001</v>
          </cell>
        </row>
        <row r="1353">
          <cell r="L1353">
            <v>18.479452049999999</v>
          </cell>
          <cell r="M1353">
            <v>4.4177672799999996</v>
          </cell>
        </row>
        <row r="1354">
          <cell r="L1354">
            <v>18.493150679999999</v>
          </cell>
          <cell r="M1354">
            <v>4.4186626699999998</v>
          </cell>
        </row>
        <row r="1355">
          <cell r="L1355">
            <v>18.506849320000001</v>
          </cell>
          <cell r="M1355">
            <v>4.4195587700000001</v>
          </cell>
        </row>
        <row r="1356">
          <cell r="L1356">
            <v>18.520547950000001</v>
          </cell>
          <cell r="M1356">
            <v>4.4204511000000002</v>
          </cell>
        </row>
        <row r="1357">
          <cell r="L1357">
            <v>18.534246580000001</v>
          </cell>
          <cell r="M1357">
            <v>4.4213391099999999</v>
          </cell>
        </row>
        <row r="1358">
          <cell r="L1358">
            <v>18.547945210000002</v>
          </cell>
          <cell r="M1358">
            <v>4.42222296</v>
          </cell>
        </row>
        <row r="1359">
          <cell r="L1359">
            <v>18.561643839999999</v>
          </cell>
          <cell r="M1359">
            <v>4.4231028600000002</v>
          </cell>
        </row>
        <row r="1360">
          <cell r="L1360">
            <v>18.575342469999999</v>
          </cell>
          <cell r="M1360">
            <v>4.4239789900000002</v>
          </cell>
        </row>
        <row r="1361">
          <cell r="L1361">
            <v>18.589041099999999</v>
          </cell>
          <cell r="M1361">
            <v>4.4248515399999997</v>
          </cell>
        </row>
        <row r="1362">
          <cell r="L1362">
            <v>18.60273973</v>
          </cell>
          <cell r="M1362">
            <v>4.4257207100000002</v>
          </cell>
        </row>
        <row r="1363">
          <cell r="L1363">
            <v>18.61643836</v>
          </cell>
          <cell r="M1363">
            <v>4.4265866799999998</v>
          </cell>
        </row>
        <row r="1364">
          <cell r="L1364">
            <v>18.63013699</v>
          </cell>
          <cell r="M1364">
            <v>4.4274496399999999</v>
          </cell>
        </row>
        <row r="1365">
          <cell r="L1365">
            <v>18.643835620000001</v>
          </cell>
          <cell r="M1365">
            <v>4.4283097800000002</v>
          </cell>
        </row>
        <row r="1366">
          <cell r="L1366">
            <v>18.657534250000001</v>
          </cell>
          <cell r="M1366">
            <v>4.4291672999999996</v>
          </cell>
        </row>
        <row r="1367">
          <cell r="L1367">
            <v>18.671232880000002</v>
          </cell>
          <cell r="M1367">
            <v>4.4300223799999996</v>
          </cell>
        </row>
        <row r="1368">
          <cell r="L1368">
            <v>18.684931509999998</v>
          </cell>
          <cell r="M1368">
            <v>4.43087521</v>
          </cell>
        </row>
        <row r="1369">
          <cell r="L1369">
            <v>18.698630139999999</v>
          </cell>
          <cell r="M1369">
            <v>4.4317259900000003</v>
          </cell>
        </row>
        <row r="1370">
          <cell r="L1370">
            <v>18.712328769999999</v>
          </cell>
          <cell r="M1370">
            <v>4.4325748899999997</v>
          </cell>
        </row>
        <row r="1371">
          <cell r="L1371">
            <v>18.7260274</v>
          </cell>
          <cell r="M1371">
            <v>4.4334221200000004</v>
          </cell>
        </row>
        <row r="1372">
          <cell r="L1372">
            <v>18.73972603</v>
          </cell>
          <cell r="M1372">
            <v>4.4342678600000003</v>
          </cell>
        </row>
        <row r="1373">
          <cell r="L1373">
            <v>18.75342466</v>
          </cell>
          <cell r="M1373">
            <v>4.4351123000000001</v>
          </cell>
        </row>
        <row r="1374">
          <cell r="L1374">
            <v>18.767123290000001</v>
          </cell>
          <cell r="M1374">
            <v>4.4359556400000004</v>
          </cell>
        </row>
        <row r="1375">
          <cell r="L1375">
            <v>18.780821920000001</v>
          </cell>
          <cell r="M1375">
            <v>4.4367980600000001</v>
          </cell>
        </row>
        <row r="1376">
          <cell r="L1376">
            <v>18.794520550000001</v>
          </cell>
          <cell r="M1376">
            <v>4.4376397499999998</v>
          </cell>
        </row>
        <row r="1377">
          <cell r="L1377">
            <v>18.808219179999998</v>
          </cell>
          <cell r="M1377">
            <v>4.4384809000000001</v>
          </cell>
        </row>
        <row r="1378">
          <cell r="L1378">
            <v>18.821917809999999</v>
          </cell>
          <cell r="M1378">
            <v>4.4393216999999998</v>
          </cell>
        </row>
        <row r="1379">
          <cell r="L1379">
            <v>18.835616439999999</v>
          </cell>
          <cell r="M1379">
            <v>4.4401623399999997</v>
          </cell>
        </row>
        <row r="1380">
          <cell r="L1380">
            <v>18.849315069999999</v>
          </cell>
          <cell r="M1380">
            <v>4.4410030200000001</v>
          </cell>
        </row>
        <row r="1381">
          <cell r="L1381">
            <v>18.8630137</v>
          </cell>
          <cell r="M1381">
            <v>4.4418439200000002</v>
          </cell>
        </row>
        <row r="1382">
          <cell r="L1382">
            <v>18.87671233</v>
          </cell>
          <cell r="M1382">
            <v>4.4426852300000004</v>
          </cell>
        </row>
        <row r="1383">
          <cell r="L1383">
            <v>18.890410960000001</v>
          </cell>
          <cell r="M1383">
            <v>4.4435271399999996</v>
          </cell>
        </row>
        <row r="1384">
          <cell r="L1384">
            <v>18.904109590000001</v>
          </cell>
          <cell r="M1384">
            <v>4.4443698400000002</v>
          </cell>
        </row>
        <row r="1385">
          <cell r="L1385">
            <v>18.917808220000001</v>
          </cell>
          <cell r="M1385">
            <v>4.4452135200000003</v>
          </cell>
        </row>
        <row r="1386">
          <cell r="L1386">
            <v>18.931506850000002</v>
          </cell>
          <cell r="M1386">
            <v>4.4460583800000002</v>
          </cell>
        </row>
        <row r="1387">
          <cell r="L1387">
            <v>18.945205479999998</v>
          </cell>
          <cell r="M1387">
            <v>4.4469045899999999</v>
          </cell>
        </row>
        <row r="1388">
          <cell r="L1388">
            <v>18.958904109999999</v>
          </cell>
          <cell r="M1388">
            <v>4.44775236</v>
          </cell>
        </row>
        <row r="1389">
          <cell r="L1389">
            <v>18.972602739999999</v>
          </cell>
          <cell r="M1389">
            <v>4.4486018700000001</v>
          </cell>
        </row>
        <row r="1390">
          <cell r="L1390">
            <v>18.98630137</v>
          </cell>
          <cell r="M1390">
            <v>4.44945331</v>
          </cell>
        </row>
        <row r="1391">
          <cell r="L1391">
            <v>19</v>
          </cell>
          <cell r="M1391">
            <v>4.4503068700000004</v>
          </cell>
        </row>
        <row r="1392">
          <cell r="L1392">
            <v>19.01369863</v>
          </cell>
          <cell r="M1392">
            <v>4.4511585</v>
          </cell>
        </row>
        <row r="1393">
          <cell r="L1393">
            <v>19.027397260000001</v>
          </cell>
          <cell r="M1393">
            <v>4.4520041900000002</v>
          </cell>
        </row>
        <row r="1394">
          <cell r="L1394">
            <v>19.041095890000001</v>
          </cell>
          <cell r="M1394">
            <v>4.4528441900000004</v>
          </cell>
        </row>
        <row r="1395">
          <cell r="L1395">
            <v>19.054794520000002</v>
          </cell>
          <cell r="M1395">
            <v>4.4536787699999998</v>
          </cell>
        </row>
        <row r="1396">
          <cell r="L1396">
            <v>19.068493149999998</v>
          </cell>
          <cell r="M1396">
            <v>4.4545081599999996</v>
          </cell>
        </row>
        <row r="1397">
          <cell r="L1397">
            <v>19.082191779999999</v>
          </cell>
          <cell r="M1397">
            <v>4.45533264</v>
          </cell>
        </row>
        <row r="1398">
          <cell r="L1398">
            <v>19.095890409999999</v>
          </cell>
          <cell r="M1398">
            <v>4.4561524500000003</v>
          </cell>
        </row>
        <row r="1399">
          <cell r="L1399">
            <v>19.109589039999999</v>
          </cell>
          <cell r="M1399">
            <v>4.4569678499999998</v>
          </cell>
        </row>
        <row r="1400">
          <cell r="L1400">
            <v>19.12328767</v>
          </cell>
          <cell r="M1400">
            <v>4.4577790899999998</v>
          </cell>
        </row>
        <row r="1401">
          <cell r="L1401">
            <v>19.1369863</v>
          </cell>
          <cell r="M1401">
            <v>4.4585864300000004</v>
          </cell>
        </row>
        <row r="1402">
          <cell r="L1402">
            <v>19.150684930000001</v>
          </cell>
          <cell r="M1402">
            <v>4.4593901200000001</v>
          </cell>
        </row>
        <row r="1403">
          <cell r="L1403">
            <v>19.164383560000001</v>
          </cell>
          <cell r="M1403">
            <v>4.46019041</v>
          </cell>
        </row>
        <row r="1404">
          <cell r="L1404">
            <v>19.178082190000001</v>
          </cell>
          <cell r="M1404">
            <v>4.4609875700000003</v>
          </cell>
        </row>
        <row r="1405">
          <cell r="L1405">
            <v>19.191780820000002</v>
          </cell>
          <cell r="M1405">
            <v>4.4617818400000004</v>
          </cell>
        </row>
        <row r="1406">
          <cell r="L1406">
            <v>19.205479449999999</v>
          </cell>
          <cell r="M1406">
            <v>4.4625734799999996</v>
          </cell>
        </row>
        <row r="1407">
          <cell r="L1407">
            <v>19.219178079999999</v>
          </cell>
          <cell r="M1407">
            <v>4.46336274</v>
          </cell>
        </row>
        <row r="1408">
          <cell r="L1408">
            <v>19.232876709999999</v>
          </cell>
          <cell r="M1408">
            <v>4.4641498899999998</v>
          </cell>
        </row>
        <row r="1409">
          <cell r="L1409">
            <v>19.24657534</v>
          </cell>
          <cell r="M1409">
            <v>4.4649351599999996</v>
          </cell>
        </row>
        <row r="1410">
          <cell r="L1410">
            <v>19.26027397</v>
          </cell>
          <cell r="M1410">
            <v>4.4657188300000001</v>
          </cell>
        </row>
        <row r="1411">
          <cell r="L1411">
            <v>19.2739726</v>
          </cell>
          <cell r="M1411">
            <v>4.4665011300000002</v>
          </cell>
        </row>
        <row r="1412">
          <cell r="L1412">
            <v>19.287671230000001</v>
          </cell>
          <cell r="M1412">
            <v>4.4672823399999997</v>
          </cell>
        </row>
        <row r="1413">
          <cell r="L1413">
            <v>19.301369860000001</v>
          </cell>
          <cell r="M1413">
            <v>4.46806269</v>
          </cell>
        </row>
        <row r="1414">
          <cell r="L1414">
            <v>19.315068490000002</v>
          </cell>
          <cell r="M1414">
            <v>4.4688424500000004</v>
          </cell>
        </row>
        <row r="1415">
          <cell r="L1415">
            <v>19.328767119999998</v>
          </cell>
          <cell r="M1415">
            <v>4.4696218700000001</v>
          </cell>
        </row>
        <row r="1416">
          <cell r="L1416">
            <v>19.342465749999999</v>
          </cell>
          <cell r="M1416">
            <v>4.4704012100000003</v>
          </cell>
        </row>
        <row r="1417">
          <cell r="L1417">
            <v>19.356164379999999</v>
          </cell>
          <cell r="M1417">
            <v>4.4711807200000004</v>
          </cell>
        </row>
        <row r="1418">
          <cell r="L1418">
            <v>19.36986301</v>
          </cell>
          <cell r="M1418">
            <v>4.4719606499999998</v>
          </cell>
        </row>
        <row r="1419">
          <cell r="L1419">
            <v>19.38356164</v>
          </cell>
          <cell r="M1419">
            <v>4.4727412600000003</v>
          </cell>
        </row>
        <row r="1420">
          <cell r="L1420">
            <v>19.39726027</v>
          </cell>
          <cell r="M1420">
            <v>4.4735227999999996</v>
          </cell>
        </row>
        <row r="1421">
          <cell r="L1421">
            <v>19.410958900000001</v>
          </cell>
          <cell r="M1421">
            <v>4.4743055299999996</v>
          </cell>
        </row>
        <row r="1422">
          <cell r="L1422">
            <v>19.424657530000001</v>
          </cell>
          <cell r="M1422">
            <v>4.4750897099999998</v>
          </cell>
        </row>
        <row r="1423">
          <cell r="L1423">
            <v>19.438356160000001</v>
          </cell>
          <cell r="M1423">
            <v>4.4758755800000003</v>
          </cell>
        </row>
        <row r="1424">
          <cell r="L1424">
            <v>19.452054789999998</v>
          </cell>
          <cell r="M1424">
            <v>4.4766633999999996</v>
          </cell>
        </row>
        <row r="1425">
          <cell r="L1425">
            <v>19.465753419999999</v>
          </cell>
          <cell r="M1425">
            <v>4.4774534299999997</v>
          </cell>
        </row>
        <row r="1426">
          <cell r="L1426">
            <v>19.479452049999999</v>
          </cell>
          <cell r="M1426">
            <v>4.47824592</v>
          </cell>
        </row>
        <row r="1427">
          <cell r="L1427">
            <v>19.493150679999999</v>
          </cell>
          <cell r="M1427">
            <v>4.4790411199999998</v>
          </cell>
        </row>
        <row r="1428">
          <cell r="L1428">
            <v>19.506849320000001</v>
          </cell>
          <cell r="M1428">
            <v>4.4798379500000003</v>
          </cell>
        </row>
        <row r="1429">
          <cell r="L1429">
            <v>19.520547950000001</v>
          </cell>
          <cell r="M1429">
            <v>4.4806285900000002</v>
          </cell>
        </row>
        <row r="1430">
          <cell r="L1430">
            <v>19.534246580000001</v>
          </cell>
          <cell r="M1430">
            <v>4.4814120099999997</v>
          </cell>
        </row>
        <row r="1431">
          <cell r="L1431">
            <v>19.547945210000002</v>
          </cell>
          <cell r="M1431">
            <v>4.4821885100000003</v>
          </cell>
        </row>
        <row r="1432">
          <cell r="L1432">
            <v>19.561643839999999</v>
          </cell>
          <cell r="M1432">
            <v>4.48295843</v>
          </cell>
        </row>
        <row r="1433">
          <cell r="L1433">
            <v>19.575342469999999</v>
          </cell>
          <cell r="M1433">
            <v>4.4837220499999999</v>
          </cell>
        </row>
        <row r="1434">
          <cell r="L1434">
            <v>19.589041099999999</v>
          </cell>
          <cell r="M1434">
            <v>4.4844797099999996</v>
          </cell>
        </row>
        <row r="1435">
          <cell r="L1435">
            <v>19.60273973</v>
          </cell>
          <cell r="M1435">
            <v>4.4852317099999999</v>
          </cell>
        </row>
        <row r="1436">
          <cell r="L1436">
            <v>19.61643836</v>
          </cell>
          <cell r="M1436">
            <v>4.4859783699999998</v>
          </cell>
        </row>
        <row r="1437">
          <cell r="L1437">
            <v>19.63013699</v>
          </cell>
          <cell r="M1437">
            <v>4.4867199900000001</v>
          </cell>
        </row>
        <row r="1438">
          <cell r="L1438">
            <v>19.643835620000001</v>
          </cell>
          <cell r="M1438">
            <v>4.4874568899999998</v>
          </cell>
        </row>
        <row r="1439">
          <cell r="L1439">
            <v>19.657534250000001</v>
          </cell>
          <cell r="M1439">
            <v>4.4881893899999996</v>
          </cell>
        </row>
        <row r="1440">
          <cell r="L1440">
            <v>19.671232880000002</v>
          </cell>
          <cell r="M1440">
            <v>4.4889178000000003</v>
          </cell>
        </row>
        <row r="1441">
          <cell r="L1441">
            <v>19.684931509999998</v>
          </cell>
          <cell r="M1441">
            <v>4.48964242</v>
          </cell>
        </row>
        <row r="1442">
          <cell r="L1442">
            <v>19.698630139999999</v>
          </cell>
          <cell r="M1442">
            <v>4.4903635800000004</v>
          </cell>
        </row>
        <row r="1443">
          <cell r="L1443">
            <v>19.712328769999999</v>
          </cell>
          <cell r="M1443">
            <v>4.4910815900000003</v>
          </cell>
        </row>
        <row r="1444">
          <cell r="L1444">
            <v>19.7260274</v>
          </cell>
          <cell r="M1444">
            <v>4.4917967499999998</v>
          </cell>
        </row>
        <row r="1445">
          <cell r="L1445">
            <v>19.73972603</v>
          </cell>
          <cell r="M1445">
            <v>4.4925093900000004</v>
          </cell>
        </row>
        <row r="1446">
          <cell r="L1446">
            <v>19.75342466</v>
          </cell>
          <cell r="M1446">
            <v>4.4932198000000003</v>
          </cell>
        </row>
        <row r="1447">
          <cell r="L1447">
            <v>19.767123290000001</v>
          </cell>
          <cell r="M1447">
            <v>4.4939283200000002</v>
          </cell>
        </row>
        <row r="1448">
          <cell r="L1448">
            <v>19.780821920000001</v>
          </cell>
          <cell r="M1448">
            <v>4.49463525</v>
          </cell>
        </row>
        <row r="1449">
          <cell r="L1449">
            <v>19.794520550000001</v>
          </cell>
          <cell r="M1449">
            <v>4.4953409000000004</v>
          </cell>
        </row>
        <row r="1450">
          <cell r="L1450">
            <v>19.808219179999998</v>
          </cell>
          <cell r="M1450">
            <v>4.4960455899999996</v>
          </cell>
        </row>
        <row r="1451">
          <cell r="L1451">
            <v>19.821917809999999</v>
          </cell>
          <cell r="M1451">
            <v>4.4967496300000001</v>
          </cell>
        </row>
        <row r="1452">
          <cell r="L1452">
            <v>19.835616439999999</v>
          </cell>
          <cell r="M1452">
            <v>4.4974533299999999</v>
          </cell>
        </row>
        <row r="1453">
          <cell r="L1453">
            <v>19.849315069999999</v>
          </cell>
          <cell r="M1453">
            <v>4.498157</v>
          </cell>
        </row>
        <row r="1454">
          <cell r="L1454">
            <v>19.8630137</v>
          </cell>
          <cell r="M1454">
            <v>4.49886097</v>
          </cell>
        </row>
        <row r="1455">
          <cell r="L1455">
            <v>19.87671233</v>
          </cell>
          <cell r="M1455">
            <v>4.4995655299999999</v>
          </cell>
        </row>
        <row r="1456">
          <cell r="L1456">
            <v>19.890410960000001</v>
          </cell>
          <cell r="M1456">
            <v>4.5002710099999996</v>
          </cell>
        </row>
        <row r="1457">
          <cell r="L1457">
            <v>19.904109590000001</v>
          </cell>
          <cell r="M1457">
            <v>4.5009777199999998</v>
          </cell>
        </row>
        <row r="1458">
          <cell r="L1458">
            <v>19.917808220000001</v>
          </cell>
          <cell r="M1458">
            <v>4.5016859599999997</v>
          </cell>
        </row>
        <row r="1459">
          <cell r="L1459">
            <v>19.931506850000002</v>
          </cell>
          <cell r="M1459">
            <v>4.5023960599999997</v>
          </cell>
        </row>
        <row r="1460">
          <cell r="L1460">
            <v>19.945205479999998</v>
          </cell>
          <cell r="M1460">
            <v>4.5031083299999999</v>
          </cell>
        </row>
        <row r="1461">
          <cell r="L1461">
            <v>19.958904109999999</v>
          </cell>
          <cell r="M1461">
            <v>4.5038230700000002</v>
          </cell>
        </row>
        <row r="1462">
          <cell r="L1462">
            <v>19.972602739999999</v>
          </cell>
          <cell r="M1462">
            <v>4.5045406100000003</v>
          </cell>
        </row>
        <row r="1463">
          <cell r="L1463">
            <v>19.98630137</v>
          </cell>
          <cell r="M1463">
            <v>4.5052612500000002</v>
          </cell>
        </row>
        <row r="1464">
          <cell r="L1464">
            <v>20</v>
          </cell>
          <cell r="M1464">
            <v>4.5059853099999998</v>
          </cell>
        </row>
        <row r="1465">
          <cell r="L1465">
            <v>20.01369863</v>
          </cell>
          <cell r="M1465">
            <v>4.5067068600000004</v>
          </cell>
        </row>
        <row r="1466">
          <cell r="L1466">
            <v>20.027397260000001</v>
          </cell>
          <cell r="M1466">
            <v>4.5074200199999996</v>
          </cell>
        </row>
        <row r="1467">
          <cell r="L1467">
            <v>20.041095890000001</v>
          </cell>
          <cell r="M1467">
            <v>4.5081251299999998</v>
          </cell>
        </row>
        <row r="1468">
          <cell r="L1468">
            <v>20.054794520000002</v>
          </cell>
          <cell r="M1468">
            <v>4.5088225599999996</v>
          </cell>
        </row>
        <row r="1469">
          <cell r="L1469">
            <v>20.068493149999998</v>
          </cell>
          <cell r="M1469">
            <v>4.5095126600000004</v>
          </cell>
        </row>
        <row r="1470">
          <cell r="L1470">
            <v>20.082191779999999</v>
          </cell>
          <cell r="M1470">
            <v>4.5101958099999999</v>
          </cell>
        </row>
        <row r="1471">
          <cell r="L1471">
            <v>20.095890409999999</v>
          </cell>
          <cell r="M1471">
            <v>4.5108723499999996</v>
          </cell>
        </row>
        <row r="1472">
          <cell r="L1472">
            <v>20.109589039999999</v>
          </cell>
          <cell r="M1472">
            <v>4.51154264</v>
          </cell>
        </row>
        <row r="1473">
          <cell r="L1473">
            <v>20.12328767</v>
          </cell>
          <cell r="M1473">
            <v>4.5122070599999997</v>
          </cell>
        </row>
        <row r="1474">
          <cell r="L1474">
            <v>20.1369863</v>
          </cell>
          <cell r="M1474">
            <v>4.5128659400000002</v>
          </cell>
        </row>
        <row r="1475">
          <cell r="L1475">
            <v>20.150684930000001</v>
          </cell>
          <cell r="M1475">
            <v>4.51351966</v>
          </cell>
        </row>
        <row r="1476">
          <cell r="L1476">
            <v>20.164383560000001</v>
          </cell>
          <cell r="M1476">
            <v>4.5141685699999998</v>
          </cell>
        </row>
        <row r="1477">
          <cell r="L1477">
            <v>20.178082190000001</v>
          </cell>
          <cell r="M1477">
            <v>4.5148130399999999</v>
          </cell>
        </row>
        <row r="1478">
          <cell r="L1478">
            <v>20.191780820000002</v>
          </cell>
          <cell r="M1478">
            <v>4.5154534200000001</v>
          </cell>
        </row>
        <row r="1479">
          <cell r="L1479">
            <v>20.205479449999999</v>
          </cell>
          <cell r="M1479">
            <v>4.5160900699999997</v>
          </cell>
        </row>
        <row r="1480">
          <cell r="L1480">
            <v>20.219178079999999</v>
          </cell>
          <cell r="M1480">
            <v>4.5167233500000004</v>
          </cell>
        </row>
        <row r="1481">
          <cell r="L1481">
            <v>20.232876709999999</v>
          </cell>
          <cell r="M1481">
            <v>4.5173536199999997</v>
          </cell>
        </row>
        <row r="1482">
          <cell r="L1482">
            <v>20.24657534</v>
          </cell>
          <cell r="M1482">
            <v>4.5179812400000001</v>
          </cell>
        </row>
        <row r="1483">
          <cell r="L1483">
            <v>20.26027397</v>
          </cell>
          <cell r="M1483">
            <v>4.5186065700000002</v>
          </cell>
        </row>
        <row r="1484">
          <cell r="L1484">
            <v>20.2739726</v>
          </cell>
          <cell r="M1484">
            <v>4.5192299699999996</v>
          </cell>
        </row>
        <row r="1485">
          <cell r="L1485">
            <v>20.287671230000001</v>
          </cell>
          <cell r="M1485">
            <v>4.5198517999999996</v>
          </cell>
        </row>
        <row r="1486">
          <cell r="L1486">
            <v>20.301369860000001</v>
          </cell>
          <cell r="M1486">
            <v>4.52047241</v>
          </cell>
        </row>
        <row r="1487">
          <cell r="L1487">
            <v>20.315068490000002</v>
          </cell>
          <cell r="M1487">
            <v>4.5210921700000002</v>
          </cell>
        </row>
        <row r="1488">
          <cell r="L1488">
            <v>20.328767119999998</v>
          </cell>
          <cell r="M1488">
            <v>4.5217114399999998</v>
          </cell>
        </row>
        <row r="1489">
          <cell r="L1489">
            <v>20.342465749999999</v>
          </cell>
          <cell r="M1489">
            <v>4.5223305700000003</v>
          </cell>
        </row>
        <row r="1490">
          <cell r="L1490">
            <v>20.356164379999999</v>
          </cell>
          <cell r="M1490">
            <v>4.5229499300000002</v>
          </cell>
        </row>
        <row r="1491">
          <cell r="L1491">
            <v>20.36986301</v>
          </cell>
          <cell r="M1491">
            <v>4.5235698700000002</v>
          </cell>
        </row>
        <row r="1492">
          <cell r="L1492">
            <v>20.38356164</v>
          </cell>
          <cell r="M1492">
            <v>4.5241907599999998</v>
          </cell>
        </row>
        <row r="1493">
          <cell r="L1493">
            <v>20.39726027</v>
          </cell>
          <cell r="M1493">
            <v>4.5248129500000003</v>
          </cell>
        </row>
        <row r="1494">
          <cell r="L1494">
            <v>20.410958900000001</v>
          </cell>
          <cell r="M1494">
            <v>4.5254367999999996</v>
          </cell>
        </row>
        <row r="1495">
          <cell r="L1495">
            <v>20.424657530000001</v>
          </cell>
          <cell r="M1495">
            <v>4.52606267</v>
          </cell>
        </row>
        <row r="1496">
          <cell r="L1496">
            <v>20.438356160000001</v>
          </cell>
          <cell r="M1496">
            <v>4.52669093</v>
          </cell>
        </row>
        <row r="1497">
          <cell r="L1497">
            <v>20.452054789999998</v>
          </cell>
          <cell r="M1497">
            <v>4.5273219200000003</v>
          </cell>
        </row>
        <row r="1498">
          <cell r="L1498">
            <v>20.465753419999999</v>
          </cell>
          <cell r="M1498">
            <v>4.5279560200000004</v>
          </cell>
        </row>
        <row r="1499">
          <cell r="L1499">
            <v>20.479452049999999</v>
          </cell>
          <cell r="M1499">
            <v>4.52859357</v>
          </cell>
        </row>
        <row r="1500">
          <cell r="L1500">
            <v>20.493150679999999</v>
          </cell>
          <cell r="M1500">
            <v>4.5292349400000003</v>
          </cell>
        </row>
        <row r="1501">
          <cell r="L1501">
            <v>20.506849320000001</v>
          </cell>
          <cell r="M1501">
            <v>4.5298788800000001</v>
          </cell>
        </row>
        <row r="1502">
          <cell r="L1502">
            <v>20.520547950000001</v>
          </cell>
          <cell r="M1502">
            <v>4.5305160000000004</v>
          </cell>
        </row>
        <row r="1503">
          <cell r="L1503">
            <v>20.534246580000001</v>
          </cell>
          <cell r="M1503">
            <v>4.5311450600000001</v>
          </cell>
        </row>
        <row r="1504">
          <cell r="L1504">
            <v>20.547945210000002</v>
          </cell>
          <cell r="M1504">
            <v>4.5317664000000004</v>
          </cell>
        </row>
        <row r="1505">
          <cell r="L1505">
            <v>20.561643839999999</v>
          </cell>
          <cell r="M1505">
            <v>4.5323803700000003</v>
          </cell>
        </row>
        <row r="1506">
          <cell r="L1506">
            <v>20.575342469999999</v>
          </cell>
          <cell r="M1506">
            <v>4.53298734</v>
          </cell>
        </row>
        <row r="1507">
          <cell r="L1507">
            <v>20.589041099999999</v>
          </cell>
          <cell r="M1507">
            <v>4.5335876400000004</v>
          </cell>
        </row>
        <row r="1508">
          <cell r="L1508">
            <v>20.60273973</v>
          </cell>
          <cell r="M1508">
            <v>4.5341816499999998</v>
          </cell>
        </row>
        <row r="1509">
          <cell r="L1509">
            <v>20.61643836</v>
          </cell>
          <cell r="M1509">
            <v>4.5347697</v>
          </cell>
        </row>
        <row r="1510">
          <cell r="L1510">
            <v>20.63013699</v>
          </cell>
          <cell r="M1510">
            <v>4.5353521499999996</v>
          </cell>
        </row>
        <row r="1511">
          <cell r="L1511">
            <v>20.643835620000001</v>
          </cell>
          <cell r="M1511">
            <v>4.5359293699999998</v>
          </cell>
        </row>
        <row r="1512">
          <cell r="L1512">
            <v>20.657534250000001</v>
          </cell>
          <cell r="M1512">
            <v>4.5365016899999997</v>
          </cell>
        </row>
        <row r="1513">
          <cell r="L1513">
            <v>20.671232880000002</v>
          </cell>
          <cell r="M1513">
            <v>4.5370694800000004</v>
          </cell>
        </row>
        <row r="1514">
          <cell r="L1514">
            <v>20.684931509999998</v>
          </cell>
          <cell r="M1514">
            <v>4.53763308</v>
          </cell>
        </row>
        <row r="1515">
          <cell r="L1515">
            <v>20.698630139999999</v>
          </cell>
          <cell r="M1515">
            <v>4.5381928499999997</v>
          </cell>
        </row>
        <row r="1516">
          <cell r="L1516">
            <v>20.712328769999999</v>
          </cell>
          <cell r="M1516">
            <v>4.5387491500000001</v>
          </cell>
        </row>
        <row r="1517">
          <cell r="L1517">
            <v>20.7260274</v>
          </cell>
          <cell r="M1517">
            <v>4.5393023299999999</v>
          </cell>
        </row>
        <row r="1518">
          <cell r="L1518">
            <v>20.73972603</v>
          </cell>
          <cell r="M1518">
            <v>4.5398527299999998</v>
          </cell>
        </row>
        <row r="1519">
          <cell r="L1519">
            <v>20.75342466</v>
          </cell>
          <cell r="M1519">
            <v>4.5404007200000001</v>
          </cell>
        </row>
        <row r="1520">
          <cell r="L1520">
            <v>20.767123290000001</v>
          </cell>
          <cell r="M1520">
            <v>4.5409466500000004</v>
          </cell>
        </row>
        <row r="1521">
          <cell r="L1521">
            <v>20.780821920000001</v>
          </cell>
          <cell r="M1521">
            <v>4.5414908699999996</v>
          </cell>
        </row>
        <row r="1522">
          <cell r="L1522">
            <v>20.794520550000001</v>
          </cell>
          <cell r="M1522">
            <v>4.54203373</v>
          </cell>
        </row>
        <row r="1523">
          <cell r="L1523">
            <v>20.808219179999998</v>
          </cell>
          <cell r="M1523">
            <v>4.5425756000000002</v>
          </cell>
        </row>
        <row r="1524">
          <cell r="L1524">
            <v>20.821917809999999</v>
          </cell>
          <cell r="M1524">
            <v>4.5431168099999999</v>
          </cell>
        </row>
        <row r="1525">
          <cell r="L1525">
            <v>20.835616439999999</v>
          </cell>
          <cell r="M1525">
            <v>4.5436577299999996</v>
          </cell>
        </row>
        <row r="1526">
          <cell r="L1526">
            <v>20.849315069999999</v>
          </cell>
          <cell r="M1526">
            <v>4.5441987099999999</v>
          </cell>
        </row>
        <row r="1527">
          <cell r="L1527">
            <v>20.8630137</v>
          </cell>
          <cell r="M1527">
            <v>4.5447401000000003</v>
          </cell>
        </row>
        <row r="1528">
          <cell r="L1528">
            <v>20.87671233</v>
          </cell>
          <cell r="M1528">
            <v>4.5452822499999996</v>
          </cell>
        </row>
        <row r="1529">
          <cell r="L1529">
            <v>20.890410960000001</v>
          </cell>
          <cell r="M1529">
            <v>4.5458255300000001</v>
          </cell>
        </row>
        <row r="1530">
          <cell r="L1530">
            <v>20.904109590000001</v>
          </cell>
          <cell r="M1530">
            <v>4.5463702699999997</v>
          </cell>
        </row>
        <row r="1531">
          <cell r="L1531">
            <v>20.917808220000001</v>
          </cell>
          <cell r="M1531">
            <v>4.5469168399999997</v>
          </cell>
        </row>
        <row r="1532">
          <cell r="L1532">
            <v>20.931506850000002</v>
          </cell>
          <cell r="M1532">
            <v>4.5474655999999998</v>
          </cell>
        </row>
        <row r="1533">
          <cell r="L1533">
            <v>20.945205479999998</v>
          </cell>
          <cell r="M1533">
            <v>4.5480168799999996</v>
          </cell>
        </row>
        <row r="1534">
          <cell r="L1534">
            <v>20.958904109999999</v>
          </cell>
          <cell r="M1534">
            <v>4.5485710499999996</v>
          </cell>
        </row>
        <row r="1535">
          <cell r="L1535">
            <v>20.972602739999999</v>
          </cell>
          <cell r="M1535">
            <v>4.5491284600000004</v>
          </cell>
        </row>
        <row r="1536">
          <cell r="L1536">
            <v>20.98630137</v>
          </cell>
          <cell r="M1536">
            <v>4.5496894599999997</v>
          </cell>
        </row>
        <row r="1537">
          <cell r="L1537">
            <v>21</v>
          </cell>
          <cell r="M1537">
            <v>4.55025441</v>
          </cell>
        </row>
        <row r="1538">
          <cell r="L1538">
            <v>21.01369863</v>
          </cell>
          <cell r="M1538">
            <v>4.5508174400000003</v>
          </cell>
        </row>
        <row r="1539">
          <cell r="L1539">
            <v>21.027397260000001</v>
          </cell>
          <cell r="M1539">
            <v>4.5513726600000002</v>
          </cell>
        </row>
        <row r="1540">
          <cell r="L1540">
            <v>21.041095890000001</v>
          </cell>
          <cell r="M1540">
            <v>4.5519204100000001</v>
          </cell>
        </row>
        <row r="1541">
          <cell r="L1541">
            <v>21.054794520000002</v>
          </cell>
          <cell r="M1541">
            <v>4.55246102</v>
          </cell>
        </row>
        <row r="1542">
          <cell r="L1542">
            <v>21.068493149999998</v>
          </cell>
          <cell r="M1542">
            <v>4.5529948200000003</v>
          </cell>
        </row>
        <row r="1543">
          <cell r="L1543">
            <v>21.082191779999999</v>
          </cell>
          <cell r="M1543">
            <v>4.55352216</v>
          </cell>
        </row>
        <row r="1544">
          <cell r="L1544">
            <v>21.095890409999999</v>
          </cell>
          <cell r="M1544">
            <v>4.5540433699999996</v>
          </cell>
        </row>
        <row r="1545">
          <cell r="L1545">
            <v>21.109589039999999</v>
          </cell>
          <cell r="M1545">
            <v>4.5545587799999998</v>
          </cell>
        </row>
        <row r="1546">
          <cell r="L1546">
            <v>21.12328767</v>
          </cell>
          <cell r="M1546">
            <v>4.5550687200000004</v>
          </cell>
        </row>
        <row r="1547">
          <cell r="L1547">
            <v>21.1369863</v>
          </cell>
          <cell r="M1547">
            <v>4.5555735300000002</v>
          </cell>
        </row>
        <row r="1548">
          <cell r="L1548">
            <v>21.150684930000001</v>
          </cell>
          <cell r="M1548">
            <v>4.5560735499999998</v>
          </cell>
        </row>
        <row r="1549">
          <cell r="L1549">
            <v>21.164383560000001</v>
          </cell>
          <cell r="M1549">
            <v>4.5565690999999999</v>
          </cell>
        </row>
        <row r="1550">
          <cell r="L1550">
            <v>21.178082190000001</v>
          </cell>
          <cell r="M1550">
            <v>4.5570605300000002</v>
          </cell>
        </row>
        <row r="1551">
          <cell r="L1551">
            <v>21.191780820000002</v>
          </cell>
          <cell r="M1551">
            <v>4.5575481699999996</v>
          </cell>
        </row>
        <row r="1552">
          <cell r="L1552">
            <v>21.205479449999999</v>
          </cell>
          <cell r="M1552">
            <v>4.5580323500000004</v>
          </cell>
        </row>
        <row r="1553">
          <cell r="L1553">
            <v>21.219178079999999</v>
          </cell>
          <cell r="M1553">
            <v>4.5585134099999998</v>
          </cell>
        </row>
        <row r="1554">
          <cell r="L1554">
            <v>21.232876709999999</v>
          </cell>
          <cell r="M1554">
            <v>4.5589916800000001</v>
          </cell>
        </row>
        <row r="1555">
          <cell r="L1555">
            <v>21.24657534</v>
          </cell>
          <cell r="M1555">
            <v>4.5594674900000003</v>
          </cell>
        </row>
        <row r="1556">
          <cell r="L1556">
            <v>21.26027397</v>
          </cell>
          <cell r="M1556">
            <v>4.55994119</v>
          </cell>
        </row>
        <row r="1557">
          <cell r="L1557">
            <v>21.2739726</v>
          </cell>
          <cell r="M1557">
            <v>4.5604130999999999</v>
          </cell>
        </row>
        <row r="1558">
          <cell r="L1558">
            <v>21.287671230000001</v>
          </cell>
          <cell r="M1558">
            <v>4.5608835599999997</v>
          </cell>
        </row>
        <row r="1559">
          <cell r="L1559">
            <v>21.301369860000001</v>
          </cell>
          <cell r="M1559">
            <v>4.5613529100000001</v>
          </cell>
        </row>
        <row r="1560">
          <cell r="L1560">
            <v>21.315068490000002</v>
          </cell>
          <cell r="M1560">
            <v>4.5618214699999999</v>
          </cell>
        </row>
        <row r="1561">
          <cell r="L1561">
            <v>21.328767119999998</v>
          </cell>
          <cell r="M1561">
            <v>4.5622895899999998</v>
          </cell>
        </row>
        <row r="1562">
          <cell r="L1562">
            <v>21.342465749999999</v>
          </cell>
          <cell r="M1562">
            <v>4.5627576000000003</v>
          </cell>
        </row>
        <row r="1563">
          <cell r="L1563">
            <v>21.356164379999999</v>
          </cell>
          <cell r="M1563">
            <v>4.5632258300000004</v>
          </cell>
        </row>
        <row r="1564">
          <cell r="L1564">
            <v>21.36986301</v>
          </cell>
          <cell r="M1564">
            <v>4.5636946199999997</v>
          </cell>
        </row>
        <row r="1565">
          <cell r="L1565">
            <v>21.38356164</v>
          </cell>
          <cell r="M1565">
            <v>4.5641642999999998</v>
          </cell>
        </row>
        <row r="1566">
          <cell r="L1566">
            <v>21.39726027</v>
          </cell>
          <cell r="M1566">
            <v>4.5646352099999996</v>
          </cell>
        </row>
        <row r="1567">
          <cell r="L1567">
            <v>21.410958900000001</v>
          </cell>
          <cell r="M1567">
            <v>4.5651076699999997</v>
          </cell>
        </row>
        <row r="1568">
          <cell r="L1568">
            <v>21.424657530000001</v>
          </cell>
          <cell r="M1568">
            <v>4.5655820399999998</v>
          </cell>
        </row>
        <row r="1569">
          <cell r="L1569">
            <v>21.438356160000001</v>
          </cell>
          <cell r="M1569">
            <v>4.5660586299999997</v>
          </cell>
        </row>
        <row r="1570">
          <cell r="L1570">
            <v>21.452054789999998</v>
          </cell>
          <cell r="M1570">
            <v>4.5665377899999999</v>
          </cell>
        </row>
        <row r="1571">
          <cell r="L1571">
            <v>21.465753419999999</v>
          </cell>
          <cell r="M1571">
            <v>4.5670198400000004</v>
          </cell>
        </row>
        <row r="1572">
          <cell r="L1572">
            <v>21.479452049999999</v>
          </cell>
          <cell r="M1572">
            <v>4.5675051299999998</v>
          </cell>
        </row>
        <row r="1573">
          <cell r="L1573">
            <v>21.493150679999999</v>
          </cell>
          <cell r="M1573">
            <v>4.5679939899999997</v>
          </cell>
        </row>
        <row r="1574">
          <cell r="L1574">
            <v>21.506849320000001</v>
          </cell>
          <cell r="M1574">
            <v>4.5684852899999999</v>
          </cell>
        </row>
        <row r="1575">
          <cell r="L1575">
            <v>21.520547950000001</v>
          </cell>
          <cell r="M1575">
            <v>4.5689705900000002</v>
          </cell>
        </row>
        <row r="1576">
          <cell r="L1576">
            <v>21.534246580000001</v>
          </cell>
          <cell r="M1576">
            <v>4.5694487400000003</v>
          </cell>
        </row>
        <row r="1577">
          <cell r="L1577">
            <v>21.547945210000002</v>
          </cell>
          <cell r="M1577">
            <v>4.5699200500000003</v>
          </cell>
        </row>
        <row r="1578">
          <cell r="L1578">
            <v>21.561643839999999</v>
          </cell>
          <cell r="M1578">
            <v>4.57038484</v>
          </cell>
        </row>
        <row r="1579">
          <cell r="L1579">
            <v>21.575342469999999</v>
          </cell>
          <cell r="M1579">
            <v>4.5708434100000002</v>
          </cell>
        </row>
        <row r="1580">
          <cell r="L1580">
            <v>21.589041099999999</v>
          </cell>
          <cell r="M1580">
            <v>4.5712960899999997</v>
          </cell>
        </row>
        <row r="1581">
          <cell r="L1581">
            <v>21.60273973</v>
          </cell>
          <cell r="M1581">
            <v>4.5717431900000003</v>
          </cell>
        </row>
        <row r="1582">
          <cell r="L1582">
            <v>21.61643836</v>
          </cell>
          <cell r="M1582">
            <v>4.5721850100000001</v>
          </cell>
        </row>
        <row r="1583">
          <cell r="L1583">
            <v>21.63013699</v>
          </cell>
          <cell r="M1583">
            <v>4.5726218799999998</v>
          </cell>
        </row>
        <row r="1584">
          <cell r="L1584">
            <v>21.643835620000001</v>
          </cell>
          <cell r="M1584">
            <v>4.5730541000000002</v>
          </cell>
        </row>
        <row r="1585">
          <cell r="L1585">
            <v>21.657534250000001</v>
          </cell>
          <cell r="M1585">
            <v>4.5734819900000003</v>
          </cell>
        </row>
        <row r="1586">
          <cell r="L1586">
            <v>21.671232880000002</v>
          </cell>
          <cell r="M1586">
            <v>4.57390586</v>
          </cell>
        </row>
        <row r="1587">
          <cell r="L1587">
            <v>21.684931509999998</v>
          </cell>
          <cell r="M1587">
            <v>4.57432602</v>
          </cell>
        </row>
        <row r="1588">
          <cell r="L1588">
            <v>21.698630139999999</v>
          </cell>
          <cell r="M1588">
            <v>4.5747428000000001</v>
          </cell>
        </row>
        <row r="1589">
          <cell r="L1589">
            <v>21.712328769999999</v>
          </cell>
          <cell r="M1589">
            <v>4.5751564900000004</v>
          </cell>
        </row>
        <row r="1590">
          <cell r="L1590">
            <v>21.7260274</v>
          </cell>
          <cell r="M1590">
            <v>4.5755674199999996</v>
          </cell>
        </row>
        <row r="1591">
          <cell r="L1591">
            <v>21.73972603</v>
          </cell>
          <cell r="M1591">
            <v>4.5759758899999996</v>
          </cell>
        </row>
        <row r="1592">
          <cell r="L1592">
            <v>21.75342466</v>
          </cell>
          <cell r="M1592">
            <v>4.5763822300000001</v>
          </cell>
        </row>
        <row r="1593">
          <cell r="L1593">
            <v>21.767123290000001</v>
          </cell>
          <cell r="M1593">
            <v>4.5767867400000002</v>
          </cell>
        </row>
        <row r="1594">
          <cell r="L1594">
            <v>21.780821920000001</v>
          </cell>
          <cell r="M1594">
            <v>4.5771897299999997</v>
          </cell>
        </row>
        <row r="1595">
          <cell r="L1595">
            <v>21.794520550000001</v>
          </cell>
          <cell r="M1595">
            <v>4.5775915300000003</v>
          </cell>
        </row>
        <row r="1596">
          <cell r="L1596">
            <v>21.808219179999998</v>
          </cell>
          <cell r="M1596">
            <v>4.5779924400000001</v>
          </cell>
        </row>
        <row r="1597">
          <cell r="L1597">
            <v>21.821917809999999</v>
          </cell>
          <cell r="M1597">
            <v>4.5783927699999998</v>
          </cell>
        </row>
        <row r="1598">
          <cell r="L1598">
            <v>21.835616439999999</v>
          </cell>
          <cell r="M1598">
            <v>4.5787928400000002</v>
          </cell>
        </row>
        <row r="1599">
          <cell r="L1599">
            <v>21.849315069999999</v>
          </cell>
          <cell r="M1599">
            <v>4.5791929600000003</v>
          </cell>
        </row>
        <row r="1600">
          <cell r="L1600">
            <v>21.8630137</v>
          </cell>
          <cell r="M1600">
            <v>4.57959345</v>
          </cell>
        </row>
        <row r="1601">
          <cell r="L1601">
            <v>21.87671233</v>
          </cell>
          <cell r="M1601">
            <v>4.5799946199999999</v>
          </cell>
        </row>
        <row r="1602">
          <cell r="L1602">
            <v>21.890410960000001</v>
          </cell>
          <cell r="M1602">
            <v>4.5803967800000001</v>
          </cell>
        </row>
        <row r="1603">
          <cell r="L1603">
            <v>21.904109590000001</v>
          </cell>
          <cell r="M1603">
            <v>4.5808002400000003</v>
          </cell>
        </row>
        <row r="1604">
          <cell r="L1604">
            <v>21.917808220000001</v>
          </cell>
          <cell r="M1604">
            <v>4.5812053300000004</v>
          </cell>
        </row>
        <row r="1605">
          <cell r="L1605">
            <v>21.931506850000002</v>
          </cell>
          <cell r="M1605">
            <v>4.5816123400000004</v>
          </cell>
        </row>
        <row r="1606">
          <cell r="L1606">
            <v>21.945205479999998</v>
          </cell>
          <cell r="M1606">
            <v>4.5820216</v>
          </cell>
        </row>
        <row r="1607">
          <cell r="L1607">
            <v>21.958904109999999</v>
          </cell>
          <cell r="M1607">
            <v>4.5824334100000002</v>
          </cell>
        </row>
        <row r="1608">
          <cell r="L1608">
            <v>21.972602739999999</v>
          </cell>
          <cell r="M1608">
            <v>4.5828480899999997</v>
          </cell>
        </row>
        <row r="1609">
          <cell r="L1609">
            <v>21.98630137</v>
          </cell>
          <cell r="M1609">
            <v>4.5832659600000003</v>
          </cell>
        </row>
        <row r="1610">
          <cell r="L1610">
            <v>22</v>
          </cell>
          <cell r="M1610">
            <v>4.5836873300000001</v>
          </cell>
        </row>
        <row r="1611">
          <cell r="L1611">
            <v>22.01369863</v>
          </cell>
          <cell r="M1611">
            <v>4.58410706</v>
          </cell>
        </row>
        <row r="1612">
          <cell r="L1612">
            <v>22.027397260000001</v>
          </cell>
          <cell r="M1612">
            <v>4.5845200200000003</v>
          </cell>
        </row>
        <row r="1613">
          <cell r="L1613">
            <v>22.041095890000001</v>
          </cell>
          <cell r="M1613">
            <v>4.58492649</v>
          </cell>
        </row>
        <row r="1614">
          <cell r="L1614">
            <v>22.054794520000002</v>
          </cell>
          <cell r="M1614">
            <v>4.58532677</v>
          </cell>
        </row>
        <row r="1615">
          <cell r="L1615">
            <v>22.068493149999998</v>
          </cell>
          <cell r="M1615">
            <v>4.5857211400000004</v>
          </cell>
        </row>
        <row r="1616">
          <cell r="L1616">
            <v>22.082191779999999</v>
          </cell>
          <cell r="M1616">
            <v>4.5861099000000003</v>
          </cell>
        </row>
        <row r="1617">
          <cell r="L1617">
            <v>22.095890409999999</v>
          </cell>
          <cell r="M1617">
            <v>4.5864933399999996</v>
          </cell>
        </row>
        <row r="1618">
          <cell r="L1618">
            <v>22.109589039999999</v>
          </cell>
          <cell r="M1618">
            <v>4.5868717400000003</v>
          </cell>
        </row>
        <row r="1619">
          <cell r="L1619">
            <v>22.12328767</v>
          </cell>
          <cell r="M1619">
            <v>4.5872454100000004</v>
          </cell>
        </row>
        <row r="1620">
          <cell r="L1620">
            <v>22.1369863</v>
          </cell>
          <cell r="M1620">
            <v>4.5876146200000001</v>
          </cell>
        </row>
        <row r="1621">
          <cell r="L1621">
            <v>22.150684930000001</v>
          </cell>
          <cell r="M1621">
            <v>4.5879796600000002</v>
          </cell>
        </row>
        <row r="1622">
          <cell r="L1622">
            <v>22.164383560000001</v>
          </cell>
          <cell r="M1622">
            <v>4.5883408399999999</v>
          </cell>
        </row>
        <row r="1623">
          <cell r="L1623">
            <v>22.178082190000001</v>
          </cell>
          <cell r="M1623">
            <v>4.5886984399999999</v>
          </cell>
        </row>
        <row r="1624">
          <cell r="L1624">
            <v>22.191780820000002</v>
          </cell>
          <cell r="M1624">
            <v>4.5890527399999996</v>
          </cell>
        </row>
        <row r="1625">
          <cell r="L1625">
            <v>22.205479449999999</v>
          </cell>
          <cell r="M1625">
            <v>4.5894040499999997</v>
          </cell>
        </row>
        <row r="1626">
          <cell r="L1626">
            <v>22.219178079999999</v>
          </cell>
          <cell r="M1626">
            <v>4.5897526400000004</v>
          </cell>
        </row>
        <row r="1627">
          <cell r="L1627">
            <v>22.232876709999999</v>
          </cell>
          <cell r="M1627">
            <v>4.5900988199999997</v>
          </cell>
        </row>
        <row r="1628">
          <cell r="L1628">
            <v>22.24657534</v>
          </cell>
          <cell r="M1628">
            <v>4.5904428599999996</v>
          </cell>
        </row>
        <row r="1629">
          <cell r="L1629">
            <v>22.26027397</v>
          </cell>
          <cell r="M1629">
            <v>4.5907850699999999</v>
          </cell>
        </row>
        <row r="1630">
          <cell r="L1630">
            <v>22.2739726</v>
          </cell>
          <cell r="M1630">
            <v>4.5911257299999999</v>
          </cell>
        </row>
        <row r="1631">
          <cell r="L1631">
            <v>22.287671230000001</v>
          </cell>
          <cell r="M1631">
            <v>4.5914651299999996</v>
          </cell>
        </row>
        <row r="1632">
          <cell r="L1632">
            <v>22.301369860000001</v>
          </cell>
          <cell r="M1632">
            <v>4.5918035599999998</v>
          </cell>
        </row>
        <row r="1633">
          <cell r="L1633">
            <v>22.315068490000002</v>
          </cell>
          <cell r="M1633">
            <v>4.5921413099999997</v>
          </cell>
        </row>
        <row r="1634">
          <cell r="L1634">
            <v>22.328767119999998</v>
          </cell>
          <cell r="M1634">
            <v>4.5924786800000001</v>
          </cell>
        </row>
        <row r="1635">
          <cell r="L1635">
            <v>22.342465749999999</v>
          </cell>
          <cell r="M1635">
            <v>4.5928159500000003</v>
          </cell>
        </row>
        <row r="1636">
          <cell r="L1636">
            <v>22.356164379999999</v>
          </cell>
          <cell r="M1636">
            <v>4.5931534100000002</v>
          </cell>
        </row>
        <row r="1637">
          <cell r="L1637">
            <v>22.36986301</v>
          </cell>
          <cell r="M1637">
            <v>4.5934913599999998</v>
          </cell>
        </row>
        <row r="1638">
          <cell r="L1638">
            <v>22.38356164</v>
          </cell>
          <cell r="M1638">
            <v>4.59383008</v>
          </cell>
        </row>
        <row r="1639">
          <cell r="L1639">
            <v>22.39726027</v>
          </cell>
          <cell r="M1639">
            <v>4.59416987</v>
          </cell>
        </row>
        <row r="1640">
          <cell r="L1640">
            <v>22.410958900000001</v>
          </cell>
          <cell r="M1640">
            <v>4.5945110099999997</v>
          </cell>
        </row>
        <row r="1641">
          <cell r="L1641">
            <v>22.424657530000001</v>
          </cell>
          <cell r="M1641">
            <v>4.5948538000000001</v>
          </cell>
        </row>
        <row r="1642">
          <cell r="L1642">
            <v>22.438356160000001</v>
          </cell>
          <cell r="M1642">
            <v>4.5951985200000003</v>
          </cell>
        </row>
        <row r="1643">
          <cell r="L1643">
            <v>22.452054789999998</v>
          </cell>
          <cell r="M1643">
            <v>4.5955454700000002</v>
          </cell>
        </row>
        <row r="1644">
          <cell r="L1644">
            <v>22.465753419999999</v>
          </cell>
          <cell r="M1644">
            <v>4.59589494</v>
          </cell>
        </row>
        <row r="1645">
          <cell r="L1645">
            <v>22.479452049999999</v>
          </cell>
          <cell r="M1645">
            <v>4.5962472099999996</v>
          </cell>
        </row>
        <row r="1646">
          <cell r="L1646">
            <v>22.493150679999999</v>
          </cell>
          <cell r="M1646">
            <v>4.5966025799999999</v>
          </cell>
        </row>
        <row r="1647">
          <cell r="L1647">
            <v>22.506849320000001</v>
          </cell>
          <cell r="M1647">
            <v>4.5969600899999996</v>
          </cell>
        </row>
        <row r="1648">
          <cell r="L1648">
            <v>22.520547950000001</v>
          </cell>
          <cell r="M1648">
            <v>4.5973125000000001</v>
          </cell>
        </row>
        <row r="1649">
          <cell r="L1649">
            <v>22.534246580000001</v>
          </cell>
          <cell r="M1649">
            <v>4.5976588300000003</v>
          </cell>
        </row>
        <row r="1650">
          <cell r="L1650">
            <v>22.547945210000002</v>
          </cell>
          <cell r="M1650">
            <v>4.5979993500000003</v>
          </cell>
        </row>
        <row r="1651">
          <cell r="L1651">
            <v>22.561643839999999</v>
          </cell>
          <cell r="M1651">
            <v>4.5983343200000002</v>
          </cell>
        </row>
        <row r="1652">
          <cell r="L1652">
            <v>22.575342469999999</v>
          </cell>
          <cell r="M1652">
            <v>4.5986640100000002</v>
          </cell>
        </row>
        <row r="1653">
          <cell r="L1653">
            <v>22.589041099999999</v>
          </cell>
          <cell r="M1653">
            <v>4.5989886899999997</v>
          </cell>
        </row>
        <row r="1654">
          <cell r="L1654">
            <v>22.60273973</v>
          </cell>
          <cell r="M1654">
            <v>4.5993086200000004</v>
          </cell>
        </row>
        <row r="1655">
          <cell r="L1655">
            <v>22.61643836</v>
          </cell>
          <cell r="M1655">
            <v>4.59962407</v>
          </cell>
        </row>
        <row r="1656">
          <cell r="L1656">
            <v>22.63013699</v>
          </cell>
          <cell r="M1656">
            <v>4.5999353000000003</v>
          </cell>
        </row>
        <row r="1657">
          <cell r="L1657">
            <v>22.643835620000001</v>
          </cell>
          <cell r="M1657">
            <v>4.6002425799999997</v>
          </cell>
        </row>
        <row r="1658">
          <cell r="L1658">
            <v>22.657534250000001</v>
          </cell>
          <cell r="M1658">
            <v>4.6005461800000003</v>
          </cell>
        </row>
        <row r="1659">
          <cell r="L1659">
            <v>22.671232880000002</v>
          </cell>
          <cell r="M1659">
            <v>4.6008463700000002</v>
          </cell>
        </row>
        <row r="1660">
          <cell r="L1660">
            <v>22.684931509999998</v>
          </cell>
          <cell r="M1660">
            <v>4.6011433999999998</v>
          </cell>
        </row>
        <row r="1661">
          <cell r="L1661">
            <v>22.698630139999999</v>
          </cell>
          <cell r="M1661">
            <v>4.60143755</v>
          </cell>
        </row>
        <row r="1662">
          <cell r="L1662">
            <v>22.712328769999999</v>
          </cell>
          <cell r="M1662">
            <v>4.6017290800000001</v>
          </cell>
        </row>
        <row r="1663">
          <cell r="L1663">
            <v>22.7260274</v>
          </cell>
          <cell r="M1663">
            <v>4.6020182600000004</v>
          </cell>
        </row>
        <row r="1664">
          <cell r="L1664">
            <v>22.73972603</v>
          </cell>
          <cell r="M1664">
            <v>4.60230535</v>
          </cell>
        </row>
        <row r="1665">
          <cell r="L1665">
            <v>22.75342466</v>
          </cell>
          <cell r="M1665">
            <v>4.6025906299999999</v>
          </cell>
        </row>
        <row r="1666">
          <cell r="L1666">
            <v>22.767123290000001</v>
          </cell>
          <cell r="M1666">
            <v>4.6028743499999996</v>
          </cell>
        </row>
        <row r="1667">
          <cell r="L1667">
            <v>22.780821920000001</v>
          </cell>
          <cell r="M1667">
            <v>4.6031567799999999</v>
          </cell>
        </row>
        <row r="1668">
          <cell r="L1668">
            <v>22.794520550000001</v>
          </cell>
          <cell r="M1668">
            <v>4.6034382000000003</v>
          </cell>
        </row>
        <row r="1669">
          <cell r="L1669">
            <v>22.808219179999998</v>
          </cell>
          <cell r="M1669">
            <v>4.6037188499999999</v>
          </cell>
        </row>
        <row r="1670">
          <cell r="L1670">
            <v>22.821917809999999</v>
          </cell>
          <cell r="M1670">
            <v>4.6039990299999998</v>
          </cell>
        </row>
        <row r="1671">
          <cell r="L1671">
            <v>22.835616439999999</v>
          </cell>
          <cell r="M1671">
            <v>4.6042789800000001</v>
          </cell>
        </row>
        <row r="1672">
          <cell r="L1672">
            <v>22.849315069999999</v>
          </cell>
          <cell r="M1672">
            <v>4.6045589700000003</v>
          </cell>
        </row>
        <row r="1673">
          <cell r="L1673">
            <v>22.8630137</v>
          </cell>
          <cell r="M1673">
            <v>4.6048392700000003</v>
          </cell>
        </row>
        <row r="1674">
          <cell r="L1674">
            <v>22.87671233</v>
          </cell>
          <cell r="M1674">
            <v>4.6051201600000002</v>
          </cell>
        </row>
        <row r="1675">
          <cell r="L1675">
            <v>22.890410960000001</v>
          </cell>
          <cell r="M1675">
            <v>4.6054018799999996</v>
          </cell>
        </row>
        <row r="1676">
          <cell r="L1676">
            <v>22.904109590000001</v>
          </cell>
          <cell r="M1676">
            <v>4.6056847100000002</v>
          </cell>
        </row>
        <row r="1677">
          <cell r="L1677">
            <v>22.917808220000001</v>
          </cell>
          <cell r="M1677">
            <v>4.6059689199999996</v>
          </cell>
        </row>
        <row r="1678">
          <cell r="L1678">
            <v>22.931506850000002</v>
          </cell>
          <cell r="M1678">
            <v>4.6062547699999996</v>
          </cell>
        </row>
        <row r="1679">
          <cell r="L1679">
            <v>22.945205479999998</v>
          </cell>
          <cell r="M1679">
            <v>4.6065425299999996</v>
          </cell>
        </row>
        <row r="1680">
          <cell r="L1680">
            <v>22.958904109999999</v>
          </cell>
          <cell r="M1680">
            <v>4.6068324699999996</v>
          </cell>
        </row>
        <row r="1681">
          <cell r="L1681">
            <v>22.972602739999999</v>
          </cell>
          <cell r="M1681">
            <v>4.60712484</v>
          </cell>
        </row>
        <row r="1682">
          <cell r="L1682">
            <v>22.98630137</v>
          </cell>
          <cell r="M1682">
            <v>4.6074199199999999</v>
          </cell>
        </row>
        <row r="1683">
          <cell r="L1683">
            <v>23</v>
          </cell>
          <cell r="M1683">
            <v>4.6077179700000004</v>
          </cell>
        </row>
        <row r="1684">
          <cell r="L1684">
            <v>23.01369863</v>
          </cell>
          <cell r="M1684">
            <v>4.6080147199999999</v>
          </cell>
        </row>
        <row r="1685">
          <cell r="L1685">
            <v>23.027397260000001</v>
          </cell>
          <cell r="M1685">
            <v>4.6083058399999999</v>
          </cell>
        </row>
        <row r="1686">
          <cell r="L1686">
            <v>23.041095890000001</v>
          </cell>
          <cell r="M1686">
            <v>4.6085915899999996</v>
          </cell>
        </row>
        <row r="1687">
          <cell r="L1687">
            <v>23.054794520000002</v>
          </cell>
          <cell r="M1687">
            <v>4.6088722100000004</v>
          </cell>
        </row>
        <row r="1688">
          <cell r="L1688">
            <v>23.068493149999998</v>
          </cell>
          <cell r="M1688">
            <v>4.6091479299999998</v>
          </cell>
        </row>
        <row r="1689">
          <cell r="L1689">
            <v>23.082191779999999</v>
          </cell>
          <cell r="M1689">
            <v>4.6094189999999999</v>
          </cell>
        </row>
        <row r="1690">
          <cell r="L1690">
            <v>23.095890409999999</v>
          </cell>
          <cell r="M1690">
            <v>4.6096856500000003</v>
          </cell>
        </row>
        <row r="1691">
          <cell r="L1691">
            <v>23.109589039999999</v>
          </cell>
          <cell r="M1691">
            <v>4.6099481400000002</v>
          </cell>
        </row>
        <row r="1692">
          <cell r="L1692">
            <v>23.12328767</v>
          </cell>
          <cell r="M1692">
            <v>4.6102066900000001</v>
          </cell>
        </row>
        <row r="1693">
          <cell r="L1693">
            <v>23.1369863</v>
          </cell>
          <cell r="M1693">
            <v>4.6104615500000001</v>
          </cell>
        </row>
        <row r="1694">
          <cell r="L1694">
            <v>23.150684930000001</v>
          </cell>
          <cell r="M1694">
            <v>4.6107129499999999</v>
          </cell>
        </row>
        <row r="1695">
          <cell r="L1695">
            <v>23.164383560000001</v>
          </cell>
          <cell r="M1695">
            <v>4.6109611499999996</v>
          </cell>
        </row>
        <row r="1696">
          <cell r="L1696">
            <v>23.178082190000001</v>
          </cell>
          <cell r="M1696">
            <v>4.6112063799999996</v>
          </cell>
        </row>
        <row r="1697">
          <cell r="L1697">
            <v>23.191780820000002</v>
          </cell>
          <cell r="M1697">
            <v>4.6114488800000002</v>
          </cell>
        </row>
        <row r="1698">
          <cell r="L1698">
            <v>23.205479449999999</v>
          </cell>
          <cell r="M1698">
            <v>4.6116888899999999</v>
          </cell>
        </row>
        <row r="1699">
          <cell r="L1699">
            <v>23.219178079999999</v>
          </cell>
          <cell r="M1699">
            <v>4.61192665</v>
          </cell>
        </row>
        <row r="1700">
          <cell r="L1700">
            <v>23.232876709999999</v>
          </cell>
          <cell r="M1700">
            <v>4.6121624099999998</v>
          </cell>
        </row>
        <row r="1701">
          <cell r="L1701">
            <v>23.24657534</v>
          </cell>
          <cell r="M1701">
            <v>4.6123963999999997</v>
          </cell>
        </row>
        <row r="1702">
          <cell r="L1702">
            <v>23.26027397</v>
          </cell>
          <cell r="M1702">
            <v>4.6126288600000001</v>
          </cell>
        </row>
        <row r="1703">
          <cell r="L1703">
            <v>23.2739726</v>
          </cell>
          <cell r="M1703">
            <v>4.6128600300000002</v>
          </cell>
        </row>
        <row r="1704">
          <cell r="L1704">
            <v>23.287671230000001</v>
          </cell>
          <cell r="M1704">
            <v>4.6130901599999996</v>
          </cell>
        </row>
        <row r="1705">
          <cell r="L1705">
            <v>23.301369860000001</v>
          </cell>
          <cell r="M1705">
            <v>4.6133194800000004</v>
          </cell>
        </row>
        <row r="1706">
          <cell r="L1706">
            <v>23.315068490000002</v>
          </cell>
          <cell r="M1706">
            <v>4.6135482400000001</v>
          </cell>
        </row>
        <row r="1707">
          <cell r="L1707">
            <v>23.328767119999998</v>
          </cell>
          <cell r="M1707">
            <v>4.61377668</v>
          </cell>
        </row>
        <row r="1708">
          <cell r="L1708">
            <v>23.342465749999999</v>
          </cell>
          <cell r="M1708">
            <v>4.6140050300000004</v>
          </cell>
        </row>
        <row r="1709">
          <cell r="L1709">
            <v>23.356164379999999</v>
          </cell>
          <cell r="M1709">
            <v>4.6142335399999999</v>
          </cell>
        </row>
        <row r="1710">
          <cell r="L1710">
            <v>23.36986301</v>
          </cell>
          <cell r="M1710">
            <v>4.6144624500000004</v>
          </cell>
        </row>
        <row r="1711">
          <cell r="L1711">
            <v>23.38356164</v>
          </cell>
          <cell r="M1711">
            <v>4.6146919899999999</v>
          </cell>
        </row>
        <row r="1712">
          <cell r="L1712">
            <v>23.39726027</v>
          </cell>
          <cell r="M1712">
            <v>4.6149224100000001</v>
          </cell>
        </row>
        <row r="1713">
          <cell r="L1713">
            <v>23.410958900000001</v>
          </cell>
          <cell r="M1713">
            <v>4.6151539599999998</v>
          </cell>
        </row>
        <row r="1714">
          <cell r="L1714">
            <v>23.424657530000001</v>
          </cell>
          <cell r="M1714">
            <v>4.6153868600000001</v>
          </cell>
        </row>
        <row r="1715">
          <cell r="L1715">
            <v>23.438356160000001</v>
          </cell>
          <cell r="M1715">
            <v>4.6156213599999996</v>
          </cell>
        </row>
        <row r="1716">
          <cell r="L1716">
            <v>23.452054789999998</v>
          </cell>
          <cell r="M1716">
            <v>4.6158577000000003</v>
          </cell>
        </row>
        <row r="1717">
          <cell r="L1717">
            <v>23.465753419999999</v>
          </cell>
          <cell r="M1717">
            <v>4.6160961299999999</v>
          </cell>
        </row>
        <row r="1718">
          <cell r="L1718">
            <v>23.479452049999999</v>
          </cell>
          <cell r="M1718">
            <v>4.6163368699999996</v>
          </cell>
        </row>
        <row r="1719">
          <cell r="L1719">
            <v>23.493150679999999</v>
          </cell>
          <cell r="M1719">
            <v>4.6165801799999997</v>
          </cell>
        </row>
        <row r="1720">
          <cell r="L1720">
            <v>23.506849320000001</v>
          </cell>
          <cell r="M1720">
            <v>4.6168252799999996</v>
          </cell>
        </row>
        <row r="1721">
          <cell r="L1721">
            <v>23.520547950000001</v>
          </cell>
          <cell r="M1721">
            <v>4.6170663000000003</v>
          </cell>
        </row>
        <row r="1722">
          <cell r="L1722">
            <v>23.534246580000001</v>
          </cell>
          <cell r="M1722">
            <v>4.6173024399999996</v>
          </cell>
        </row>
        <row r="1723">
          <cell r="L1723">
            <v>23.547945210000002</v>
          </cell>
          <cell r="M1723">
            <v>4.6175339199999996</v>
          </cell>
        </row>
        <row r="1724">
          <cell r="L1724">
            <v>23.561643839999999</v>
          </cell>
          <cell r="M1724">
            <v>4.6177609400000001</v>
          </cell>
        </row>
        <row r="1725">
          <cell r="L1725">
            <v>23.575342469999999</v>
          </cell>
          <cell r="M1725">
            <v>4.6179837299999997</v>
          </cell>
        </row>
        <row r="1726">
          <cell r="L1726">
            <v>23.589041099999999</v>
          </cell>
          <cell r="M1726">
            <v>4.6182024999999998</v>
          </cell>
        </row>
        <row r="1727">
          <cell r="L1727">
            <v>23.60273973</v>
          </cell>
          <cell r="M1727">
            <v>4.6184174499999999</v>
          </cell>
        </row>
        <row r="1728">
          <cell r="L1728">
            <v>23.61643836</v>
          </cell>
          <cell r="M1728">
            <v>4.6186288099999997</v>
          </cell>
        </row>
        <row r="1729">
          <cell r="L1729">
            <v>23.63013699</v>
          </cell>
          <cell r="M1729">
            <v>4.6188367899999996</v>
          </cell>
        </row>
        <row r="1730">
          <cell r="L1730">
            <v>23.643835620000001</v>
          </cell>
          <cell r="M1730">
            <v>4.6190415900000001</v>
          </cell>
        </row>
        <row r="1731">
          <cell r="L1731">
            <v>23.657534250000001</v>
          </cell>
          <cell r="M1731">
            <v>4.61924344</v>
          </cell>
        </row>
        <row r="1732">
          <cell r="L1732">
            <v>23.671232880000002</v>
          </cell>
          <cell r="M1732">
            <v>4.6194425399999997</v>
          </cell>
        </row>
        <row r="1733">
          <cell r="L1733">
            <v>23.684931509999998</v>
          </cell>
          <cell r="M1733">
            <v>4.6196391099999996</v>
          </cell>
        </row>
        <row r="1734">
          <cell r="L1734">
            <v>23.698630139999999</v>
          </cell>
          <cell r="M1734">
            <v>4.6198333700000003</v>
          </cell>
        </row>
        <row r="1735">
          <cell r="L1735">
            <v>23.712328769999999</v>
          </cell>
          <cell r="M1735">
            <v>4.6200255200000004</v>
          </cell>
        </row>
        <row r="1736">
          <cell r="L1736">
            <v>23.7260274</v>
          </cell>
          <cell r="M1736">
            <v>4.6202157899999996</v>
          </cell>
        </row>
        <row r="1737">
          <cell r="L1737">
            <v>23.73972603</v>
          </cell>
          <cell r="M1737">
            <v>4.6204043700000001</v>
          </cell>
        </row>
        <row r="1738">
          <cell r="L1738">
            <v>23.75342466</v>
          </cell>
          <cell r="M1738">
            <v>4.6205914999999997</v>
          </cell>
        </row>
        <row r="1739">
          <cell r="L1739">
            <v>23.767123290000001</v>
          </cell>
          <cell r="M1739">
            <v>4.6207773699999999</v>
          </cell>
        </row>
        <row r="1740">
          <cell r="L1740">
            <v>23.780821920000001</v>
          </cell>
          <cell r="M1740">
            <v>4.6209622100000001</v>
          </cell>
        </row>
        <row r="1741">
          <cell r="L1741">
            <v>23.794520550000001</v>
          </cell>
          <cell r="M1741">
            <v>4.6211462299999999</v>
          </cell>
        </row>
        <row r="1742">
          <cell r="L1742">
            <v>23.808219179999998</v>
          </cell>
          <cell r="M1742">
            <v>4.62132963</v>
          </cell>
        </row>
        <row r="1743">
          <cell r="L1743">
            <v>23.821917809999999</v>
          </cell>
          <cell r="M1743">
            <v>4.6215126399999997</v>
          </cell>
        </row>
        <row r="1744">
          <cell r="L1744">
            <v>23.835616439999999</v>
          </cell>
          <cell r="M1744">
            <v>4.6216954699999997</v>
          </cell>
        </row>
        <row r="1745">
          <cell r="L1745">
            <v>23.849315069999999</v>
          </cell>
          <cell r="M1745">
            <v>4.6218783300000004</v>
          </cell>
        </row>
        <row r="1746">
          <cell r="L1746">
            <v>23.8630137</v>
          </cell>
          <cell r="M1746">
            <v>4.6220614299999996</v>
          </cell>
        </row>
        <row r="1747">
          <cell r="L1747">
            <v>23.87671233</v>
          </cell>
          <cell r="M1747">
            <v>4.6222449900000004</v>
          </cell>
        </row>
        <row r="1748">
          <cell r="L1748">
            <v>23.890410960000001</v>
          </cell>
          <cell r="M1748">
            <v>4.6224292199999999</v>
          </cell>
        </row>
        <row r="1749">
          <cell r="L1749">
            <v>23.904109590000001</v>
          </cell>
          <cell r="M1749">
            <v>4.6226143300000002</v>
          </cell>
        </row>
        <row r="1750">
          <cell r="L1750">
            <v>23.917808220000001</v>
          </cell>
          <cell r="M1750">
            <v>4.6228005400000001</v>
          </cell>
        </row>
        <row r="1751">
          <cell r="L1751">
            <v>23.931506850000002</v>
          </cell>
          <cell r="M1751">
            <v>4.6229880699999999</v>
          </cell>
        </row>
        <row r="1752">
          <cell r="L1752">
            <v>23.945205479999998</v>
          </cell>
          <cell r="M1752">
            <v>4.6231771200000003</v>
          </cell>
        </row>
        <row r="1753">
          <cell r="L1753">
            <v>23.958904109999999</v>
          </cell>
          <cell r="M1753">
            <v>4.6233678999999999</v>
          </cell>
        </row>
        <row r="1754">
          <cell r="L1754">
            <v>23.972602739999999</v>
          </cell>
          <cell r="M1754">
            <v>4.62356064</v>
          </cell>
        </row>
        <row r="1755">
          <cell r="L1755">
            <v>23.98630137</v>
          </cell>
          <cell r="M1755">
            <v>4.6237555400000003</v>
          </cell>
        </row>
        <row r="1756">
          <cell r="L1756">
            <v>24</v>
          </cell>
          <cell r="M1756">
            <v>4.6239528200000004</v>
          </cell>
        </row>
        <row r="1757">
          <cell r="L1757">
            <v>24.01369863</v>
          </cell>
          <cell r="M1757">
            <v>4.6241491400000001</v>
          </cell>
        </row>
        <row r="1758">
          <cell r="L1758">
            <v>24.027397260000001</v>
          </cell>
          <cell r="M1758">
            <v>4.6243411200000004</v>
          </cell>
        </row>
        <row r="1759">
          <cell r="L1759">
            <v>24.041095890000001</v>
          </cell>
          <cell r="M1759">
            <v>4.6245289600000001</v>
          </cell>
        </row>
        <row r="1760">
          <cell r="L1760">
            <v>24.054794520000002</v>
          </cell>
          <cell r="M1760">
            <v>4.6247128499999999</v>
          </cell>
        </row>
        <row r="1761">
          <cell r="L1761">
            <v>24.068493149999998</v>
          </cell>
          <cell r="M1761">
            <v>4.6248929600000004</v>
          </cell>
        </row>
        <row r="1762">
          <cell r="L1762">
            <v>24.082191779999999</v>
          </cell>
          <cell r="M1762">
            <v>4.6250694799999996</v>
          </cell>
        </row>
        <row r="1763">
          <cell r="L1763">
            <v>24.095890409999999</v>
          </cell>
          <cell r="M1763">
            <v>4.6252426</v>
          </cell>
        </row>
        <row r="1764">
          <cell r="L1764">
            <v>24.109589039999999</v>
          </cell>
          <cell r="M1764">
            <v>4.6254125000000004</v>
          </cell>
        </row>
        <row r="1765">
          <cell r="L1765">
            <v>24.12328767</v>
          </cell>
          <cell r="M1765">
            <v>4.6255793799999996</v>
          </cell>
        </row>
        <row r="1766">
          <cell r="L1766">
            <v>24.1369863</v>
          </cell>
          <cell r="M1766">
            <v>4.6257434000000002</v>
          </cell>
        </row>
        <row r="1767">
          <cell r="L1767">
            <v>24.150684930000001</v>
          </cell>
          <cell r="M1767">
            <v>4.62590477</v>
          </cell>
        </row>
        <row r="1768">
          <cell r="L1768">
            <v>24.164383560000001</v>
          </cell>
          <cell r="M1768">
            <v>4.6260636499999999</v>
          </cell>
        </row>
        <row r="1769">
          <cell r="L1769">
            <v>24.178082190000001</v>
          </cell>
          <cell r="M1769">
            <v>4.6262202500000003</v>
          </cell>
        </row>
        <row r="1770">
          <cell r="L1770">
            <v>24.191780820000002</v>
          </cell>
          <cell r="M1770">
            <v>4.6263747500000001</v>
          </cell>
        </row>
        <row r="1771">
          <cell r="L1771">
            <v>24.205479449999999</v>
          </cell>
          <cell r="M1771">
            <v>4.6265273200000001</v>
          </cell>
        </row>
        <row r="1772">
          <cell r="L1772">
            <v>24.219178079999999</v>
          </cell>
          <cell r="M1772">
            <v>4.62667816</v>
          </cell>
        </row>
        <row r="1773">
          <cell r="L1773">
            <v>24.232876709999999</v>
          </cell>
          <cell r="M1773">
            <v>4.6268274600000003</v>
          </cell>
        </row>
        <row r="1774">
          <cell r="L1774">
            <v>24.24657534</v>
          </cell>
          <cell r="M1774">
            <v>4.6269753900000001</v>
          </cell>
        </row>
        <row r="1775">
          <cell r="L1775">
            <v>24.26027397</v>
          </cell>
          <cell r="M1775">
            <v>4.62712214</v>
          </cell>
        </row>
        <row r="1776">
          <cell r="L1776">
            <v>24.2739726</v>
          </cell>
          <cell r="M1776">
            <v>4.6272678899999997</v>
          </cell>
        </row>
        <row r="1777">
          <cell r="L1777">
            <v>24.287671230000001</v>
          </cell>
          <cell r="M1777">
            <v>4.6274128499999998</v>
          </cell>
        </row>
        <row r="1778">
          <cell r="L1778">
            <v>24.301369860000001</v>
          </cell>
          <cell r="M1778">
            <v>4.6275571800000002</v>
          </cell>
        </row>
        <row r="1779">
          <cell r="L1779">
            <v>24.315068490000002</v>
          </cell>
          <cell r="M1779">
            <v>4.6277010699999996</v>
          </cell>
        </row>
        <row r="1780">
          <cell r="L1780">
            <v>24.328767119999998</v>
          </cell>
          <cell r="M1780">
            <v>4.6278447099999998</v>
          </cell>
        </row>
        <row r="1781">
          <cell r="L1781">
            <v>24.342465749999999</v>
          </cell>
          <cell r="M1781">
            <v>4.6279882900000002</v>
          </cell>
        </row>
        <row r="1782">
          <cell r="L1782">
            <v>24.356164379999999</v>
          </cell>
          <cell r="M1782">
            <v>4.62813198</v>
          </cell>
        </row>
        <row r="1783">
          <cell r="L1783">
            <v>24.36986301</v>
          </cell>
          <cell r="M1783">
            <v>4.6282759799999997</v>
          </cell>
        </row>
        <row r="1784">
          <cell r="L1784">
            <v>24.38356164</v>
          </cell>
          <cell r="M1784">
            <v>4.62842047</v>
          </cell>
        </row>
        <row r="1785">
          <cell r="L1785">
            <v>24.39726027</v>
          </cell>
          <cell r="M1785">
            <v>4.6285656399999997</v>
          </cell>
        </row>
        <row r="1786">
          <cell r="L1786">
            <v>24.410958900000001</v>
          </cell>
          <cell r="M1786">
            <v>4.6287116700000004</v>
          </cell>
        </row>
        <row r="1787">
          <cell r="L1787">
            <v>24.424657530000001</v>
          </cell>
          <cell r="M1787">
            <v>4.6288587400000001</v>
          </cell>
        </row>
        <row r="1788">
          <cell r="L1788">
            <v>24.438356160000001</v>
          </cell>
          <cell r="M1788">
            <v>4.6290070500000002</v>
          </cell>
        </row>
        <row r="1789">
          <cell r="L1789">
            <v>24.452054789999998</v>
          </cell>
          <cell r="M1789">
            <v>4.6291567699999998</v>
          </cell>
        </row>
        <row r="1790">
          <cell r="L1790">
            <v>24.465753419999999</v>
          </cell>
          <cell r="M1790">
            <v>4.6293081000000003</v>
          </cell>
        </row>
        <row r="1791">
          <cell r="L1791">
            <v>24.479452049999999</v>
          </cell>
          <cell r="M1791">
            <v>4.6294612099999997</v>
          </cell>
        </row>
        <row r="1792">
          <cell r="L1792">
            <v>24.493150679999999</v>
          </cell>
          <cell r="M1792">
            <v>4.6296162900000004</v>
          </cell>
        </row>
        <row r="1793">
          <cell r="L1793">
            <v>24.506849320000001</v>
          </cell>
          <cell r="M1793">
            <v>4.6297727799999997</v>
          </cell>
        </row>
        <row r="1794">
          <cell r="L1794">
            <v>24.520547950000001</v>
          </cell>
          <cell r="M1794">
            <v>4.6299263000000002</v>
          </cell>
        </row>
        <row r="1795">
          <cell r="L1795">
            <v>24.534246580000001</v>
          </cell>
          <cell r="M1795">
            <v>4.6300762400000002</v>
          </cell>
        </row>
        <row r="1796">
          <cell r="L1796">
            <v>24.547945210000002</v>
          </cell>
          <cell r="M1796">
            <v>4.6302227699999996</v>
          </cell>
        </row>
        <row r="1797">
          <cell r="L1797">
            <v>24.561643839999999</v>
          </cell>
          <cell r="M1797">
            <v>4.6303660400000002</v>
          </cell>
        </row>
        <row r="1798">
          <cell r="L1798">
            <v>24.575342469999999</v>
          </cell>
          <cell r="M1798">
            <v>4.6305062000000001</v>
          </cell>
        </row>
        <row r="1799">
          <cell r="L1799">
            <v>24.589041099999999</v>
          </cell>
          <cell r="M1799">
            <v>4.6306434200000002</v>
          </cell>
        </row>
        <row r="1800">
          <cell r="L1800">
            <v>24.60273973</v>
          </cell>
          <cell r="M1800">
            <v>4.6307778500000003</v>
          </cell>
        </row>
        <row r="1801">
          <cell r="L1801">
            <v>24.61643836</v>
          </cell>
          <cell r="M1801">
            <v>4.6309096399999996</v>
          </cell>
        </row>
        <row r="1802">
          <cell r="L1802">
            <v>24.63013699</v>
          </cell>
          <cell r="M1802">
            <v>4.6310389599999997</v>
          </cell>
        </row>
        <row r="1803">
          <cell r="L1803">
            <v>24.643835620000001</v>
          </cell>
          <cell r="M1803">
            <v>4.6311659499999998</v>
          </cell>
        </row>
        <row r="1804">
          <cell r="L1804">
            <v>24.657534250000001</v>
          </cell>
          <cell r="M1804">
            <v>4.6312907799999996</v>
          </cell>
        </row>
        <row r="1805">
          <cell r="L1805">
            <v>24.671232880000002</v>
          </cell>
          <cell r="M1805">
            <v>4.6314136000000001</v>
          </cell>
        </row>
        <row r="1806">
          <cell r="L1806">
            <v>24.684931509999998</v>
          </cell>
          <cell r="M1806">
            <v>4.6315345700000004</v>
          </cell>
        </row>
        <row r="1807">
          <cell r="L1807">
            <v>24.698630139999999</v>
          </cell>
          <cell r="M1807">
            <v>4.6316538400000002</v>
          </cell>
        </row>
        <row r="1808">
          <cell r="L1808">
            <v>24.712328769999999</v>
          </cell>
          <cell r="M1808">
            <v>4.6317715699999997</v>
          </cell>
        </row>
        <row r="1809">
          <cell r="L1809">
            <v>24.7260274</v>
          </cell>
          <cell r="M1809">
            <v>4.6318879199999996</v>
          </cell>
        </row>
        <row r="1810">
          <cell r="L1810">
            <v>24.73972603</v>
          </cell>
          <cell r="M1810">
            <v>4.6320030399999998</v>
          </cell>
        </row>
        <row r="1811">
          <cell r="L1811">
            <v>24.75342466</v>
          </cell>
          <cell r="M1811">
            <v>4.6321170900000004</v>
          </cell>
        </row>
        <row r="1812">
          <cell r="L1812">
            <v>24.767123290000001</v>
          </cell>
          <cell r="M1812">
            <v>4.6322302200000003</v>
          </cell>
        </row>
        <row r="1813">
          <cell r="L1813">
            <v>24.780821920000001</v>
          </cell>
          <cell r="M1813">
            <v>4.6323426000000003</v>
          </cell>
        </row>
        <row r="1814">
          <cell r="L1814">
            <v>24.794520550000001</v>
          </cell>
          <cell r="M1814">
            <v>4.6324543800000004</v>
          </cell>
        </row>
        <row r="1815">
          <cell r="L1815">
            <v>24.808219179999998</v>
          </cell>
          <cell r="M1815">
            <v>4.6325657099999997</v>
          </cell>
        </row>
        <row r="1816">
          <cell r="L1816">
            <v>24.821917809999999</v>
          </cell>
          <cell r="M1816">
            <v>4.6326767499999999</v>
          </cell>
        </row>
        <row r="1817">
          <cell r="L1817">
            <v>24.835616439999999</v>
          </cell>
          <cell r="M1817">
            <v>4.63278766</v>
          </cell>
        </row>
        <row r="1818">
          <cell r="L1818">
            <v>24.849315069999999</v>
          </cell>
          <cell r="M1818">
            <v>4.6328985899999999</v>
          </cell>
        </row>
        <row r="1819">
          <cell r="L1819">
            <v>24.8630137</v>
          </cell>
          <cell r="M1819">
            <v>4.6330096999999997</v>
          </cell>
        </row>
        <row r="1820">
          <cell r="L1820">
            <v>24.87671233</v>
          </cell>
          <cell r="M1820">
            <v>4.63312115</v>
          </cell>
        </row>
        <row r="1821">
          <cell r="L1821">
            <v>24.890410960000001</v>
          </cell>
          <cell r="M1821">
            <v>4.6332330900000001</v>
          </cell>
        </row>
        <row r="1822">
          <cell r="L1822">
            <v>24.904109590000001</v>
          </cell>
          <cell r="M1822">
            <v>4.6333456799999997</v>
          </cell>
        </row>
        <row r="1823">
          <cell r="L1823">
            <v>24.917808220000001</v>
          </cell>
          <cell r="M1823">
            <v>4.6334590699999998</v>
          </cell>
        </row>
        <row r="1824">
          <cell r="L1824">
            <v>24.931506850000002</v>
          </cell>
          <cell r="M1824">
            <v>4.6335734300000002</v>
          </cell>
        </row>
        <row r="1825">
          <cell r="L1825">
            <v>24.945205479999998</v>
          </cell>
          <cell r="M1825">
            <v>4.6336889000000001</v>
          </cell>
        </row>
        <row r="1826">
          <cell r="L1826">
            <v>24.958904109999999</v>
          </cell>
          <cell r="M1826">
            <v>4.6338056500000002</v>
          </cell>
        </row>
        <row r="1827">
          <cell r="L1827">
            <v>24.972602739999999</v>
          </cell>
          <cell r="M1827">
            <v>4.6339238299999996</v>
          </cell>
        </row>
        <row r="1828">
          <cell r="L1828">
            <v>24.98630137</v>
          </cell>
          <cell r="M1828">
            <v>4.6340435900000001</v>
          </cell>
        </row>
        <row r="1829">
          <cell r="L1829">
            <v>25</v>
          </cell>
          <cell r="M1829">
            <v>4.6341650999999997</v>
          </cell>
        </row>
        <row r="1830">
          <cell r="L1830">
            <v>25.01369863</v>
          </cell>
          <cell r="M1830">
            <v>4.6342860300000002</v>
          </cell>
        </row>
        <row r="1831">
          <cell r="L1831">
            <v>25.027397260000001</v>
          </cell>
          <cell r="M1831">
            <v>4.6344040299999998</v>
          </cell>
        </row>
        <row r="1832">
          <cell r="L1832">
            <v>25.041095890000001</v>
          </cell>
          <cell r="M1832">
            <v>4.6345192400000004</v>
          </cell>
        </row>
        <row r="1833">
          <cell r="L1833">
            <v>25.054794520000002</v>
          </cell>
          <cell r="M1833">
            <v>4.6346317600000004</v>
          </cell>
        </row>
        <row r="1834">
          <cell r="L1834">
            <v>25.068493149999998</v>
          </cell>
          <cell r="M1834">
            <v>4.63474173</v>
          </cell>
        </row>
        <row r="1835">
          <cell r="L1835">
            <v>25.082191779999999</v>
          </cell>
          <cell r="M1835">
            <v>4.6348492700000001</v>
          </cell>
        </row>
        <row r="1836">
          <cell r="L1836">
            <v>25.095890409999999</v>
          </cell>
          <cell r="M1836">
            <v>4.63495451</v>
          </cell>
        </row>
        <row r="1837">
          <cell r="L1837">
            <v>25.109589039999999</v>
          </cell>
          <cell r="M1837">
            <v>4.6350575699999998</v>
          </cell>
        </row>
        <row r="1838">
          <cell r="L1838">
            <v>25.12328767</v>
          </cell>
          <cell r="M1838">
            <v>4.6351585699999998</v>
          </cell>
        </row>
        <row r="1839">
          <cell r="L1839">
            <v>25.1369863</v>
          </cell>
          <cell r="M1839">
            <v>4.6352576299999999</v>
          </cell>
        </row>
        <row r="1840">
          <cell r="L1840">
            <v>25.150684930000001</v>
          </cell>
          <cell r="M1840">
            <v>4.6353548900000003</v>
          </cell>
        </row>
        <row r="1841">
          <cell r="L1841">
            <v>25.164383560000001</v>
          </cell>
          <cell r="M1841">
            <v>4.6354504700000003</v>
          </cell>
        </row>
        <row r="1842">
          <cell r="L1842">
            <v>25.178082190000001</v>
          </cell>
          <cell r="M1842">
            <v>4.6355444800000001</v>
          </cell>
        </row>
        <row r="1843">
          <cell r="L1843">
            <v>25.191780820000002</v>
          </cell>
          <cell r="M1843">
            <v>4.6356370499999997</v>
          </cell>
        </row>
        <row r="1844">
          <cell r="L1844">
            <v>25.205479449999999</v>
          </cell>
          <cell r="M1844">
            <v>4.6357283200000001</v>
          </cell>
        </row>
        <row r="1845">
          <cell r="L1845">
            <v>25.219178079999999</v>
          </cell>
          <cell r="M1845">
            <v>4.6358183899999998</v>
          </cell>
        </row>
        <row r="1846">
          <cell r="L1846">
            <v>25.232876709999999</v>
          </cell>
          <cell r="M1846">
            <v>4.6359073999999998</v>
          </cell>
        </row>
        <row r="1847">
          <cell r="L1847">
            <v>25.24657534</v>
          </cell>
          <cell r="M1847">
            <v>4.6359954700000001</v>
          </cell>
        </row>
        <row r="1848">
          <cell r="L1848">
            <v>25.26027397</v>
          </cell>
          <cell r="M1848">
            <v>4.6360827200000001</v>
          </cell>
        </row>
        <row r="1849">
          <cell r="L1849">
            <v>25.2739726</v>
          </cell>
          <cell r="M1849">
            <v>4.6361692799999998</v>
          </cell>
        </row>
        <row r="1850">
          <cell r="L1850">
            <v>25.287671230000001</v>
          </cell>
          <cell r="M1850">
            <v>4.6362552800000003</v>
          </cell>
        </row>
        <row r="1851">
          <cell r="L1851">
            <v>25.301369860000001</v>
          </cell>
          <cell r="M1851">
            <v>4.63634083</v>
          </cell>
        </row>
        <row r="1852">
          <cell r="L1852">
            <v>25.315068490000002</v>
          </cell>
          <cell r="M1852">
            <v>4.6364260499999999</v>
          </cell>
        </row>
        <row r="1853">
          <cell r="L1853">
            <v>25.328767119999998</v>
          </cell>
          <cell r="M1853">
            <v>4.6365110899999999</v>
          </cell>
        </row>
        <row r="1854">
          <cell r="L1854">
            <v>25.342465749999999</v>
          </cell>
          <cell r="M1854">
            <v>4.6365960499999996</v>
          </cell>
        </row>
        <row r="1855">
          <cell r="L1855">
            <v>25.356164379999999</v>
          </cell>
          <cell r="M1855">
            <v>4.6366810599999999</v>
          </cell>
        </row>
        <row r="1856">
          <cell r="L1856">
            <v>25.36986301</v>
          </cell>
          <cell r="M1856">
            <v>4.63676625</v>
          </cell>
        </row>
        <row r="1857">
          <cell r="L1857">
            <v>25.38356164</v>
          </cell>
          <cell r="M1857">
            <v>4.6368517300000001</v>
          </cell>
        </row>
        <row r="1858">
          <cell r="L1858">
            <v>25.39726027</v>
          </cell>
          <cell r="M1858">
            <v>4.6369376500000001</v>
          </cell>
        </row>
        <row r="1859">
          <cell r="L1859">
            <v>25.410958900000001</v>
          </cell>
          <cell r="M1859">
            <v>4.6370241099999996</v>
          </cell>
        </row>
        <row r="1860">
          <cell r="L1860">
            <v>25.424657530000001</v>
          </cell>
          <cell r="M1860">
            <v>4.6371112400000003</v>
          </cell>
        </row>
        <row r="1861">
          <cell r="L1861">
            <v>25.438356160000001</v>
          </cell>
          <cell r="M1861">
            <v>4.6371991699999997</v>
          </cell>
        </row>
        <row r="1862">
          <cell r="L1862">
            <v>25.452054789999998</v>
          </cell>
          <cell r="M1862">
            <v>4.6372880199999997</v>
          </cell>
        </row>
        <row r="1863">
          <cell r="L1863">
            <v>25.465753419999999</v>
          </cell>
          <cell r="M1863">
            <v>4.6373779099999997</v>
          </cell>
        </row>
        <row r="1864">
          <cell r="L1864">
            <v>25.479452049999999</v>
          </cell>
          <cell r="M1864">
            <v>4.6374689800000004</v>
          </cell>
        </row>
        <row r="1865">
          <cell r="L1865">
            <v>25.493150679999999</v>
          </cell>
          <cell r="M1865">
            <v>4.6375613299999996</v>
          </cell>
        </row>
        <row r="1866">
          <cell r="L1866">
            <v>25.506849320000001</v>
          </cell>
          <cell r="M1866">
            <v>4.6376546400000001</v>
          </cell>
        </row>
        <row r="1867">
          <cell r="L1867">
            <v>25.520547950000001</v>
          </cell>
          <cell r="M1867">
            <v>4.6377462600000001</v>
          </cell>
        </row>
        <row r="1868">
          <cell r="L1868">
            <v>25.534246580000001</v>
          </cell>
          <cell r="M1868">
            <v>4.6378358100000003</v>
          </cell>
        </row>
        <row r="1869">
          <cell r="L1869">
            <v>25.547945210000002</v>
          </cell>
          <cell r="M1869">
            <v>4.6379233800000002</v>
          </cell>
        </row>
        <row r="1870">
          <cell r="L1870">
            <v>25.561643839999999</v>
          </cell>
          <cell r="M1870">
            <v>4.6380090599999999</v>
          </cell>
        </row>
        <row r="1871">
          <cell r="L1871">
            <v>25.575342469999999</v>
          </cell>
          <cell r="M1871">
            <v>4.63809293</v>
          </cell>
        </row>
        <row r="1872">
          <cell r="L1872">
            <v>25.589041099999999</v>
          </cell>
          <cell r="M1872">
            <v>4.6381750899999998</v>
          </cell>
        </row>
        <row r="1873">
          <cell r="L1873">
            <v>25.60273973</v>
          </cell>
          <cell r="M1873">
            <v>4.6382556199999998</v>
          </cell>
        </row>
        <row r="1874">
          <cell r="L1874">
            <v>25.61643836</v>
          </cell>
          <cell r="M1874">
            <v>4.6383346000000003</v>
          </cell>
        </row>
        <row r="1875">
          <cell r="L1875">
            <v>25.63013699</v>
          </cell>
          <cell r="M1875">
            <v>4.6384121299999999</v>
          </cell>
        </row>
        <row r="1876">
          <cell r="L1876">
            <v>25.643835620000001</v>
          </cell>
          <cell r="M1876">
            <v>4.6384882799999998</v>
          </cell>
        </row>
        <row r="1877">
          <cell r="L1877">
            <v>25.657534250000001</v>
          </cell>
          <cell r="M1877">
            <v>4.6385631600000004</v>
          </cell>
        </row>
        <row r="1878">
          <cell r="L1878">
            <v>25.671232880000002</v>
          </cell>
          <cell r="M1878">
            <v>4.6386368400000002</v>
          </cell>
        </row>
        <row r="1879">
          <cell r="L1879">
            <v>25.684931509999998</v>
          </cell>
          <cell r="M1879">
            <v>4.6387094199999996</v>
          </cell>
        </row>
        <row r="1880">
          <cell r="L1880">
            <v>25.698630139999999</v>
          </cell>
          <cell r="M1880">
            <v>4.63878097</v>
          </cell>
        </row>
        <row r="1881">
          <cell r="L1881">
            <v>25.712328769999999</v>
          </cell>
          <cell r="M1881">
            <v>4.6388515899999998</v>
          </cell>
        </row>
        <row r="1882">
          <cell r="L1882">
            <v>25.7260274</v>
          </cell>
          <cell r="M1882">
            <v>4.6389213600000003</v>
          </cell>
        </row>
        <row r="1883">
          <cell r="L1883">
            <v>25.73972603</v>
          </cell>
          <cell r="M1883">
            <v>4.6389903800000001</v>
          </cell>
        </row>
        <row r="1884">
          <cell r="L1884">
            <v>25.75342466</v>
          </cell>
          <cell r="M1884">
            <v>4.6390587200000004</v>
          </cell>
        </row>
        <row r="1885">
          <cell r="L1885">
            <v>25.767123290000001</v>
          </cell>
          <cell r="M1885">
            <v>4.6391264799999998</v>
          </cell>
        </row>
        <row r="1886">
          <cell r="L1886">
            <v>25.780821920000001</v>
          </cell>
          <cell r="M1886">
            <v>4.6391937399999996</v>
          </cell>
        </row>
        <row r="1887">
          <cell r="L1887">
            <v>25.794520550000001</v>
          </cell>
          <cell r="M1887">
            <v>4.6392605900000001</v>
          </cell>
        </row>
        <row r="1888">
          <cell r="L1888">
            <v>25.808219179999998</v>
          </cell>
          <cell r="M1888">
            <v>4.6393271199999999</v>
          </cell>
        </row>
        <row r="1889">
          <cell r="L1889">
            <v>25.821917809999999</v>
          </cell>
          <cell r="M1889">
            <v>4.6393934100000003</v>
          </cell>
        </row>
        <row r="1890">
          <cell r="L1890">
            <v>25.835616439999999</v>
          </cell>
          <cell r="M1890">
            <v>4.6394595499999998</v>
          </cell>
        </row>
        <row r="1891">
          <cell r="L1891">
            <v>25.849315069999999</v>
          </cell>
          <cell r="M1891">
            <v>4.6395256399999996</v>
          </cell>
        </row>
        <row r="1892">
          <cell r="L1892">
            <v>25.8630137</v>
          </cell>
          <cell r="M1892">
            <v>4.6395917400000002</v>
          </cell>
        </row>
        <row r="1893">
          <cell r="L1893">
            <v>25.87671233</v>
          </cell>
          <cell r="M1893">
            <v>4.6396579600000001</v>
          </cell>
        </row>
        <row r="1894">
          <cell r="L1894">
            <v>25.890410960000001</v>
          </cell>
          <cell r="M1894">
            <v>4.6397243799999996</v>
          </cell>
        </row>
        <row r="1895">
          <cell r="L1895">
            <v>25.904109590000001</v>
          </cell>
          <cell r="M1895">
            <v>4.6397910900000001</v>
          </cell>
        </row>
        <row r="1896">
          <cell r="L1896">
            <v>25.917808220000001</v>
          </cell>
          <cell r="M1896">
            <v>4.6398581700000001</v>
          </cell>
        </row>
        <row r="1897">
          <cell r="L1897">
            <v>25.931506850000002</v>
          </cell>
          <cell r="M1897">
            <v>4.63992571</v>
          </cell>
        </row>
        <row r="1898">
          <cell r="L1898">
            <v>25.945205479999998</v>
          </cell>
          <cell r="M1898">
            <v>4.6399938000000001</v>
          </cell>
        </row>
        <row r="1899">
          <cell r="L1899">
            <v>25.958904109999999</v>
          </cell>
          <cell r="M1899">
            <v>4.6400625199999999</v>
          </cell>
        </row>
        <row r="1900">
          <cell r="L1900">
            <v>25.972602739999999</v>
          </cell>
          <cell r="M1900">
            <v>4.6401319699999997</v>
          </cell>
        </row>
        <row r="1901">
          <cell r="L1901">
            <v>25.98630137</v>
          </cell>
          <cell r="M1901">
            <v>4.6402022299999999</v>
          </cell>
        </row>
        <row r="1902">
          <cell r="L1902">
            <v>26</v>
          </cell>
          <cell r="M1902">
            <v>4.64027338</v>
          </cell>
        </row>
        <row r="1903">
          <cell r="L1903">
            <v>26.01369863</v>
          </cell>
          <cell r="M1903">
            <v>4.6403443600000003</v>
          </cell>
        </row>
        <row r="1904">
          <cell r="L1904">
            <v>26.027397260000001</v>
          </cell>
          <cell r="M1904">
            <v>4.6404140500000004</v>
          </cell>
        </row>
        <row r="1905">
          <cell r="L1905">
            <v>26.041095890000001</v>
          </cell>
          <cell r="M1905">
            <v>4.64048251</v>
          </cell>
        </row>
        <row r="1906">
          <cell r="L1906">
            <v>26.054794520000002</v>
          </cell>
          <cell r="M1906">
            <v>4.6405497899999997</v>
          </cell>
        </row>
        <row r="1907">
          <cell r="L1907">
            <v>26.068493149999998</v>
          </cell>
          <cell r="M1907">
            <v>4.6406159499999999</v>
          </cell>
        </row>
        <row r="1908">
          <cell r="L1908">
            <v>26.082191779999999</v>
          </cell>
          <cell r="M1908">
            <v>4.6406810299999997</v>
          </cell>
        </row>
        <row r="1909">
          <cell r="L1909">
            <v>26.095890409999999</v>
          </cell>
          <cell r="M1909">
            <v>4.6407451000000002</v>
          </cell>
        </row>
        <row r="1910">
          <cell r="L1910">
            <v>26.109589039999999</v>
          </cell>
          <cell r="M1910">
            <v>4.6408081900000004</v>
          </cell>
        </row>
        <row r="1911">
          <cell r="L1911">
            <v>26.12328767</v>
          </cell>
          <cell r="M1911">
            <v>4.64087037</v>
          </cell>
        </row>
        <row r="1912">
          <cell r="L1912">
            <v>26.1369863</v>
          </cell>
          <cell r="M1912">
            <v>4.6409316900000004</v>
          </cell>
        </row>
        <row r="1913">
          <cell r="L1913">
            <v>26.150684930000001</v>
          </cell>
          <cell r="M1913">
            <v>4.6409922000000003</v>
          </cell>
        </row>
        <row r="1914">
          <cell r="L1914">
            <v>26.164383560000001</v>
          </cell>
          <cell r="M1914">
            <v>4.6410519600000004</v>
          </cell>
        </row>
        <row r="1915">
          <cell r="L1915">
            <v>26.178082190000001</v>
          </cell>
          <cell r="M1915">
            <v>4.6411110100000004</v>
          </cell>
        </row>
        <row r="1916">
          <cell r="L1916">
            <v>26.191780820000002</v>
          </cell>
          <cell r="M1916">
            <v>4.6411693999999999</v>
          </cell>
        </row>
        <row r="1917">
          <cell r="L1917">
            <v>26.205479449999999</v>
          </cell>
          <cell r="M1917">
            <v>4.6412272000000003</v>
          </cell>
        </row>
        <row r="1918">
          <cell r="L1918">
            <v>26.219178079999999</v>
          </cell>
          <cell r="M1918">
            <v>4.6412844499999997</v>
          </cell>
        </row>
        <row r="1919">
          <cell r="L1919">
            <v>26.232876709999999</v>
          </cell>
          <cell r="M1919">
            <v>4.6413412100000002</v>
          </cell>
        </row>
        <row r="1920">
          <cell r="L1920">
            <v>26.24657534</v>
          </cell>
          <cell r="M1920">
            <v>4.6413975299999999</v>
          </cell>
        </row>
        <row r="1921">
          <cell r="L1921">
            <v>26.26027397</v>
          </cell>
          <cell r="M1921">
            <v>4.6414534500000002</v>
          </cell>
        </row>
        <row r="1922">
          <cell r="L1922">
            <v>26.2739726</v>
          </cell>
          <cell r="M1922">
            <v>4.6415090499999998</v>
          </cell>
        </row>
        <row r="1923">
          <cell r="L1923">
            <v>26.287671230000001</v>
          </cell>
          <cell r="M1923">
            <v>4.6415643500000003</v>
          </cell>
        </row>
        <row r="1924">
          <cell r="L1924">
            <v>26.301369860000001</v>
          </cell>
          <cell r="M1924">
            <v>4.6416194300000004</v>
          </cell>
        </row>
        <row r="1925">
          <cell r="L1925">
            <v>26.315068490000002</v>
          </cell>
          <cell r="M1925">
            <v>4.6416743299999998</v>
          </cell>
        </row>
        <row r="1926">
          <cell r="L1926">
            <v>26.328767119999998</v>
          </cell>
          <cell r="M1926">
            <v>4.6417291000000001</v>
          </cell>
        </row>
        <row r="1927">
          <cell r="L1927">
            <v>26.342465749999999</v>
          </cell>
          <cell r="M1927">
            <v>4.6417837999999998</v>
          </cell>
        </row>
        <row r="1928">
          <cell r="L1928">
            <v>26.356164379999999</v>
          </cell>
          <cell r="M1928">
            <v>4.6418384799999997</v>
          </cell>
        </row>
        <row r="1929">
          <cell r="L1929">
            <v>26.36986301</v>
          </cell>
          <cell r="M1929">
            <v>4.6418931900000002</v>
          </cell>
        </row>
        <row r="1930">
          <cell r="L1930">
            <v>26.38356164</v>
          </cell>
          <cell r="M1930">
            <v>4.6419479800000003</v>
          </cell>
        </row>
        <row r="1931">
          <cell r="L1931">
            <v>26.39726027</v>
          </cell>
          <cell r="M1931">
            <v>4.6420029200000004</v>
          </cell>
        </row>
        <row r="1932">
          <cell r="L1932">
            <v>26.410958900000001</v>
          </cell>
          <cell r="M1932">
            <v>4.6420580400000002</v>
          </cell>
        </row>
        <row r="1933">
          <cell r="L1933">
            <v>26.424657530000001</v>
          </cell>
          <cell r="M1933">
            <v>4.6421134100000003</v>
          </cell>
        </row>
        <row r="1934">
          <cell r="L1934">
            <v>26.438356160000001</v>
          </cell>
          <cell r="M1934">
            <v>4.6421690699999996</v>
          </cell>
        </row>
        <row r="1935">
          <cell r="L1935">
            <v>26.452054789999998</v>
          </cell>
          <cell r="M1935">
            <v>4.6422250700000003</v>
          </cell>
        </row>
        <row r="1936">
          <cell r="L1936">
            <v>26.465753419999999</v>
          </cell>
          <cell r="M1936">
            <v>4.6422814800000003</v>
          </cell>
        </row>
        <row r="1937">
          <cell r="L1937">
            <v>26.479452049999999</v>
          </cell>
          <cell r="M1937">
            <v>4.6423383400000002</v>
          </cell>
        </row>
        <row r="1938">
          <cell r="L1938">
            <v>26.493150679999999</v>
          </cell>
          <cell r="M1938">
            <v>4.6423957099999997</v>
          </cell>
        </row>
        <row r="1939">
          <cell r="L1939">
            <v>26.506849320000001</v>
          </cell>
          <cell r="M1939">
            <v>4.6424534800000004</v>
          </cell>
        </row>
        <row r="1940">
          <cell r="L1940">
            <v>26.520547950000001</v>
          </cell>
          <cell r="M1940">
            <v>4.6425108100000001</v>
          </cell>
        </row>
        <row r="1941">
          <cell r="L1941">
            <v>26.534246580000001</v>
          </cell>
          <cell r="M1941">
            <v>4.6425675599999998</v>
          </cell>
        </row>
        <row r="1942">
          <cell r="L1942">
            <v>26.547945210000002</v>
          </cell>
          <cell r="M1942">
            <v>4.6426237600000002</v>
          </cell>
        </row>
        <row r="1943">
          <cell r="L1943">
            <v>26.561643839999999</v>
          </cell>
          <cell r="M1943">
            <v>4.6426794300000003</v>
          </cell>
        </row>
        <row r="1944">
          <cell r="L1944">
            <v>26.575342469999999</v>
          </cell>
          <cell r="M1944">
            <v>4.6427346099999998</v>
          </cell>
        </row>
        <row r="1945">
          <cell r="L1945">
            <v>26.589041099999999</v>
          </cell>
          <cell r="M1945">
            <v>4.6427893200000003</v>
          </cell>
        </row>
        <row r="1946">
          <cell r="L1946">
            <v>26.60273973</v>
          </cell>
          <cell r="M1946">
            <v>4.6428435700000001</v>
          </cell>
        </row>
        <row r="1947">
          <cell r="L1947">
            <v>26.61643836</v>
          </cell>
          <cell r="M1947">
            <v>4.6428973999999998</v>
          </cell>
        </row>
        <row r="1948">
          <cell r="L1948">
            <v>26.63013699</v>
          </cell>
          <cell r="M1948">
            <v>4.6429508300000002</v>
          </cell>
        </row>
        <row r="1949">
          <cell r="L1949">
            <v>26.643835620000001</v>
          </cell>
          <cell r="M1949">
            <v>4.6430038900000001</v>
          </cell>
        </row>
        <row r="1950">
          <cell r="L1950">
            <v>26.657534250000001</v>
          </cell>
          <cell r="M1950">
            <v>4.6430566000000004</v>
          </cell>
        </row>
        <row r="1951">
          <cell r="L1951">
            <v>26.671232880000002</v>
          </cell>
          <cell r="M1951">
            <v>4.64310899</v>
          </cell>
        </row>
        <row r="1952">
          <cell r="L1952">
            <v>26.684931509999998</v>
          </cell>
          <cell r="M1952">
            <v>4.6431610799999996</v>
          </cell>
        </row>
        <row r="1953">
          <cell r="L1953">
            <v>26.698630139999999</v>
          </cell>
          <cell r="M1953">
            <v>4.64321289</v>
          </cell>
        </row>
        <row r="1954">
          <cell r="L1954">
            <v>26.712328769999999</v>
          </cell>
          <cell r="M1954">
            <v>4.6432644600000001</v>
          </cell>
        </row>
        <row r="1955">
          <cell r="L1955">
            <v>26.7260274</v>
          </cell>
          <cell r="M1955">
            <v>4.6433157999999999</v>
          </cell>
        </row>
        <row r="1956">
          <cell r="L1956">
            <v>26.73972603</v>
          </cell>
          <cell r="M1956">
            <v>4.6433669399999999</v>
          </cell>
        </row>
        <row r="1957">
          <cell r="L1957">
            <v>26.75342466</v>
          </cell>
          <cell r="M1957">
            <v>4.6434179100000001</v>
          </cell>
        </row>
        <row r="1958">
          <cell r="L1958">
            <v>26.767123290000001</v>
          </cell>
          <cell r="M1958">
            <v>4.6434687300000004</v>
          </cell>
        </row>
        <row r="1959">
          <cell r="L1959">
            <v>26.780821920000001</v>
          </cell>
          <cell r="M1959">
            <v>4.6435194299999996</v>
          </cell>
        </row>
        <row r="1960">
          <cell r="L1960">
            <v>26.794520550000001</v>
          </cell>
          <cell r="M1960">
            <v>4.6435700300000002</v>
          </cell>
        </row>
        <row r="1961">
          <cell r="L1961">
            <v>26.808219179999998</v>
          </cell>
          <cell r="M1961">
            <v>4.6436205499999996</v>
          </cell>
        </row>
        <row r="1962">
          <cell r="L1962">
            <v>26.821917809999999</v>
          </cell>
          <cell r="M1962">
            <v>4.6436710300000001</v>
          </cell>
        </row>
        <row r="1963">
          <cell r="L1963">
            <v>26.835616439999999</v>
          </cell>
          <cell r="M1963">
            <v>4.6437214899999999</v>
          </cell>
        </row>
        <row r="1964">
          <cell r="L1964">
            <v>26.849315069999999</v>
          </cell>
          <cell r="M1964">
            <v>4.6437719399999997</v>
          </cell>
        </row>
        <row r="1965">
          <cell r="L1965">
            <v>26.8630137</v>
          </cell>
          <cell r="M1965">
            <v>4.6438224300000002</v>
          </cell>
        </row>
        <row r="1966">
          <cell r="L1966">
            <v>26.87671233</v>
          </cell>
          <cell r="M1966">
            <v>4.6438729600000004</v>
          </cell>
        </row>
        <row r="1967">
          <cell r="L1967">
            <v>26.890410960000001</v>
          </cell>
          <cell r="M1967">
            <v>4.6439235700000001</v>
          </cell>
        </row>
        <row r="1968">
          <cell r="L1968">
            <v>26.904109590000001</v>
          </cell>
          <cell r="M1968">
            <v>4.6439742900000001</v>
          </cell>
        </row>
        <row r="1969">
          <cell r="L1969">
            <v>26.917808220000001</v>
          </cell>
          <cell r="M1969">
            <v>4.6440251300000002</v>
          </cell>
        </row>
        <row r="1970">
          <cell r="L1970">
            <v>26.931506850000002</v>
          </cell>
          <cell r="M1970">
            <v>4.6440761200000003</v>
          </cell>
        </row>
        <row r="1971">
          <cell r="L1971">
            <v>26.945205479999998</v>
          </cell>
          <cell r="M1971">
            <v>4.6441272900000001</v>
          </cell>
        </row>
        <row r="1972">
          <cell r="L1972">
            <v>26.958904109999999</v>
          </cell>
          <cell r="M1972">
            <v>4.6441786699999996</v>
          </cell>
        </row>
        <row r="1973">
          <cell r="L1973">
            <v>26.972602739999999</v>
          </cell>
          <cell r="M1973">
            <v>4.6442302700000004</v>
          </cell>
        </row>
        <row r="1974">
          <cell r="L1974">
            <v>26.98630137</v>
          </cell>
          <cell r="M1974">
            <v>4.6442821199999997</v>
          </cell>
        </row>
        <row r="1975">
          <cell r="L1975">
            <v>27</v>
          </cell>
          <cell r="M1975">
            <v>4.64433425</v>
          </cell>
        </row>
        <row r="1976">
          <cell r="L1976">
            <v>27.01369863</v>
          </cell>
          <cell r="M1976">
            <v>4.6443865799999999</v>
          </cell>
        </row>
        <row r="1977">
          <cell r="L1977">
            <v>27.027397260000001</v>
          </cell>
          <cell r="M1977">
            <v>4.6444390200000001</v>
          </cell>
        </row>
        <row r="1978">
          <cell r="L1978">
            <v>27.041095890000001</v>
          </cell>
          <cell r="M1978">
            <v>4.6444915599999996</v>
          </cell>
        </row>
        <row r="1979">
          <cell r="L1979">
            <v>27.054794520000002</v>
          </cell>
          <cell r="M1979">
            <v>4.6445442000000003</v>
          </cell>
        </row>
        <row r="1980">
          <cell r="L1980">
            <v>27.068493149999998</v>
          </cell>
          <cell r="M1980">
            <v>4.6445969399999996</v>
          </cell>
        </row>
        <row r="1981">
          <cell r="L1981">
            <v>27.082191779999999</v>
          </cell>
          <cell r="M1981">
            <v>4.64464977</v>
          </cell>
        </row>
        <row r="1982">
          <cell r="L1982">
            <v>27.095890409999999</v>
          </cell>
          <cell r="M1982">
            <v>4.64470268</v>
          </cell>
        </row>
        <row r="1983">
          <cell r="L1983">
            <v>27.109589039999999</v>
          </cell>
          <cell r="M1983">
            <v>4.6447556800000003</v>
          </cell>
        </row>
        <row r="1984">
          <cell r="L1984">
            <v>27.12328767</v>
          </cell>
          <cell r="M1984">
            <v>4.6448087500000002</v>
          </cell>
        </row>
        <row r="1985">
          <cell r="L1985">
            <v>27.1369863</v>
          </cell>
          <cell r="M1985">
            <v>4.6448619000000004</v>
          </cell>
        </row>
        <row r="1986">
          <cell r="L1986">
            <v>27.150684930000001</v>
          </cell>
          <cell r="M1986">
            <v>4.6449151200000003</v>
          </cell>
        </row>
        <row r="1987">
          <cell r="L1987">
            <v>27.164383560000001</v>
          </cell>
          <cell r="M1987">
            <v>4.6449684099999997</v>
          </cell>
        </row>
        <row r="1988">
          <cell r="L1988">
            <v>27.178082190000001</v>
          </cell>
          <cell r="M1988">
            <v>4.6450217599999997</v>
          </cell>
        </row>
        <row r="1989">
          <cell r="L1989">
            <v>27.191780820000002</v>
          </cell>
          <cell r="M1989">
            <v>4.6450751600000002</v>
          </cell>
        </row>
        <row r="1990">
          <cell r="L1990">
            <v>27.205479449999999</v>
          </cell>
          <cell r="M1990">
            <v>4.6451286200000004</v>
          </cell>
        </row>
        <row r="1991">
          <cell r="L1991">
            <v>27.219178079999999</v>
          </cell>
          <cell r="M1991">
            <v>4.6451821300000002</v>
          </cell>
        </row>
        <row r="1992">
          <cell r="L1992">
            <v>27.232876709999999</v>
          </cell>
          <cell r="M1992">
            <v>4.6452356899999998</v>
          </cell>
        </row>
        <row r="1993">
          <cell r="L1993">
            <v>27.24657534</v>
          </cell>
          <cell r="M1993">
            <v>4.64528929</v>
          </cell>
        </row>
        <row r="1994">
          <cell r="L1994">
            <v>27.26027397</v>
          </cell>
          <cell r="M1994">
            <v>4.64534292</v>
          </cell>
        </row>
        <row r="1995">
          <cell r="L1995">
            <v>27.2739726</v>
          </cell>
          <cell r="M1995">
            <v>4.6453965899999998</v>
          </cell>
        </row>
        <row r="1996">
          <cell r="L1996">
            <v>27.287671230000001</v>
          </cell>
          <cell r="M1996">
            <v>4.6454502900000003</v>
          </cell>
        </row>
        <row r="1997">
          <cell r="L1997">
            <v>27.301369860000001</v>
          </cell>
          <cell r="M1997">
            <v>4.6455040199999997</v>
          </cell>
        </row>
        <row r="1998">
          <cell r="L1998">
            <v>27.315068490000002</v>
          </cell>
          <cell r="M1998">
            <v>4.64555776</v>
          </cell>
        </row>
        <row r="1999">
          <cell r="L1999">
            <v>27.328767119999998</v>
          </cell>
          <cell r="M1999">
            <v>4.6456115200000001</v>
          </cell>
        </row>
        <row r="2000">
          <cell r="L2000">
            <v>27.342465749999999</v>
          </cell>
          <cell r="M2000">
            <v>4.6456653000000001</v>
          </cell>
        </row>
        <row r="2001">
          <cell r="L2001">
            <v>27.356164379999999</v>
          </cell>
          <cell r="M2001">
            <v>4.6457190800000001</v>
          </cell>
        </row>
        <row r="2002">
          <cell r="L2002">
            <v>27.36986301</v>
          </cell>
          <cell r="M2002">
            <v>4.6457728700000001</v>
          </cell>
        </row>
        <row r="2003">
          <cell r="L2003">
            <v>27.38356164</v>
          </cell>
          <cell r="M2003">
            <v>4.64582666</v>
          </cell>
        </row>
        <row r="2004">
          <cell r="L2004">
            <v>27.39726027</v>
          </cell>
          <cell r="M2004">
            <v>4.6458804499999999</v>
          </cell>
        </row>
        <row r="2005">
          <cell r="L2005">
            <v>27.410958900000001</v>
          </cell>
          <cell r="M2005">
            <v>4.64593422</v>
          </cell>
        </row>
        <row r="2006">
          <cell r="L2006">
            <v>27.424657530000001</v>
          </cell>
          <cell r="M2006">
            <v>4.6459879900000001</v>
          </cell>
        </row>
        <row r="2007">
          <cell r="L2007">
            <v>27.438356160000001</v>
          </cell>
          <cell r="M2007">
            <v>4.6460417400000003</v>
          </cell>
        </row>
        <row r="2008">
          <cell r="L2008">
            <v>27.452054789999998</v>
          </cell>
          <cell r="M2008">
            <v>4.6460954699999997</v>
          </cell>
        </row>
        <row r="2009">
          <cell r="L2009">
            <v>27.465753419999999</v>
          </cell>
          <cell r="M2009">
            <v>4.6461491800000001</v>
          </cell>
        </row>
        <row r="2010">
          <cell r="L2010">
            <v>27.479452049999999</v>
          </cell>
          <cell r="M2010">
            <v>4.6462028599999998</v>
          </cell>
        </row>
        <row r="2011">
          <cell r="L2011">
            <v>27.493150679999999</v>
          </cell>
          <cell r="M2011">
            <v>4.6462565099999997</v>
          </cell>
        </row>
        <row r="2012">
          <cell r="L2012">
            <v>27.506849320000001</v>
          </cell>
          <cell r="M2012">
            <v>4.64631024</v>
          </cell>
        </row>
        <row r="2013">
          <cell r="L2013">
            <v>27.520547950000001</v>
          </cell>
          <cell r="M2013">
            <v>4.6463647699999999</v>
          </cell>
        </row>
        <row r="2014">
          <cell r="L2014">
            <v>27.534246580000001</v>
          </cell>
          <cell r="M2014">
            <v>4.6464201899999997</v>
          </cell>
        </row>
        <row r="2015">
          <cell r="L2015">
            <v>27.547945210000002</v>
          </cell>
          <cell r="M2015">
            <v>4.6464764599999997</v>
          </cell>
        </row>
        <row r="2016">
          <cell r="L2016">
            <v>27.561643839999999</v>
          </cell>
          <cell r="M2016">
            <v>4.6465335400000001</v>
          </cell>
        </row>
        <row r="2017">
          <cell r="L2017">
            <v>27.575342469999999</v>
          </cell>
          <cell r="M2017">
            <v>4.6465913900000002</v>
          </cell>
        </row>
        <row r="2018">
          <cell r="L2018">
            <v>27.589041099999999</v>
          </cell>
          <cell r="M2018">
            <v>4.6466499800000003</v>
          </cell>
        </row>
        <row r="2019">
          <cell r="L2019">
            <v>27.60273973</v>
          </cell>
          <cell r="M2019">
            <v>4.6467092699999997</v>
          </cell>
        </row>
        <row r="2020">
          <cell r="L2020">
            <v>27.61643836</v>
          </cell>
          <cell r="M2020">
            <v>4.6467692200000004</v>
          </cell>
        </row>
        <row r="2021">
          <cell r="L2021">
            <v>27.63013699</v>
          </cell>
          <cell r="M2021">
            <v>4.64682979</v>
          </cell>
        </row>
        <row r="2022">
          <cell r="L2022">
            <v>27.643835620000001</v>
          </cell>
          <cell r="M2022">
            <v>4.6468909500000004</v>
          </cell>
        </row>
        <row r="2023">
          <cell r="L2023">
            <v>27.657534250000001</v>
          </cell>
          <cell r="M2023">
            <v>4.6469526600000002</v>
          </cell>
        </row>
        <row r="2024">
          <cell r="L2024">
            <v>27.671232880000002</v>
          </cell>
          <cell r="M2024">
            <v>4.6470148699999996</v>
          </cell>
        </row>
        <row r="2025">
          <cell r="L2025">
            <v>27.684931509999998</v>
          </cell>
          <cell r="M2025">
            <v>4.6470775700000004</v>
          </cell>
        </row>
        <row r="2026">
          <cell r="L2026">
            <v>27.698630139999999</v>
          </cell>
          <cell r="M2026">
            <v>4.6471406999999996</v>
          </cell>
        </row>
        <row r="2027">
          <cell r="L2027">
            <v>27.712328769999999</v>
          </cell>
          <cell r="M2027">
            <v>4.6472042199999999</v>
          </cell>
        </row>
        <row r="2028">
          <cell r="L2028">
            <v>27.7260274</v>
          </cell>
          <cell r="M2028">
            <v>4.6472681099999997</v>
          </cell>
        </row>
        <row r="2029">
          <cell r="L2029">
            <v>27.73972603</v>
          </cell>
          <cell r="M2029">
            <v>4.6473323200000003</v>
          </cell>
        </row>
        <row r="2030">
          <cell r="L2030">
            <v>27.75342466</v>
          </cell>
          <cell r="M2030">
            <v>4.64739682</v>
          </cell>
        </row>
        <row r="2031">
          <cell r="L2031">
            <v>27.767123290000001</v>
          </cell>
          <cell r="M2031">
            <v>4.6474615699999999</v>
          </cell>
        </row>
        <row r="2032">
          <cell r="L2032">
            <v>27.780821920000001</v>
          </cell>
          <cell r="M2032">
            <v>4.6475265300000004</v>
          </cell>
        </row>
        <row r="2033">
          <cell r="L2033">
            <v>27.794520550000001</v>
          </cell>
          <cell r="M2033">
            <v>4.6475916599999998</v>
          </cell>
        </row>
        <row r="2034">
          <cell r="L2034">
            <v>27.808219179999998</v>
          </cell>
          <cell r="M2034">
            <v>4.6476569300000001</v>
          </cell>
        </row>
        <row r="2035">
          <cell r="L2035">
            <v>27.821917809999999</v>
          </cell>
          <cell r="M2035">
            <v>4.6477222999999999</v>
          </cell>
        </row>
        <row r="2036">
          <cell r="L2036">
            <v>27.835616439999999</v>
          </cell>
          <cell r="M2036">
            <v>4.6477877300000001</v>
          </cell>
        </row>
        <row r="2037">
          <cell r="L2037">
            <v>27.849315069999999</v>
          </cell>
          <cell r="M2037">
            <v>4.6478531800000003</v>
          </cell>
        </row>
        <row r="2038">
          <cell r="L2038">
            <v>27.8630137</v>
          </cell>
          <cell r="M2038">
            <v>4.6479186199999996</v>
          </cell>
        </row>
        <row r="2039">
          <cell r="L2039">
            <v>27.87671233</v>
          </cell>
          <cell r="M2039">
            <v>4.6479840000000001</v>
          </cell>
        </row>
        <row r="2040">
          <cell r="L2040">
            <v>27.890410960000001</v>
          </cell>
          <cell r="M2040">
            <v>4.6480493000000003</v>
          </cell>
        </row>
        <row r="2041">
          <cell r="L2041">
            <v>27.904109590000001</v>
          </cell>
          <cell r="M2041">
            <v>4.6481144800000003</v>
          </cell>
        </row>
        <row r="2042">
          <cell r="L2042">
            <v>27.917808220000001</v>
          </cell>
          <cell r="M2042">
            <v>4.6481794900000004</v>
          </cell>
        </row>
        <row r="2043">
          <cell r="L2043">
            <v>27.931506850000002</v>
          </cell>
          <cell r="M2043">
            <v>4.6482442900000001</v>
          </cell>
        </row>
        <row r="2044">
          <cell r="L2044">
            <v>27.945205479999998</v>
          </cell>
          <cell r="M2044">
            <v>4.6483088600000002</v>
          </cell>
        </row>
        <row r="2045">
          <cell r="L2045">
            <v>27.958904109999999</v>
          </cell>
          <cell r="M2045">
            <v>4.6483731600000002</v>
          </cell>
        </row>
        <row r="2046">
          <cell r="L2046">
            <v>27.972602739999999</v>
          </cell>
          <cell r="M2046">
            <v>4.6484371400000004</v>
          </cell>
        </row>
        <row r="2047">
          <cell r="L2047">
            <v>27.98630137</v>
          </cell>
          <cell r="M2047">
            <v>4.6485007700000001</v>
          </cell>
        </row>
        <row r="2048">
          <cell r="L2048">
            <v>28</v>
          </cell>
          <cell r="M2048">
            <v>4.6485640100000003</v>
          </cell>
        </row>
        <row r="2049">
          <cell r="L2049">
            <v>28.01369863</v>
          </cell>
          <cell r="M2049">
            <v>4.6486279399999999</v>
          </cell>
        </row>
        <row r="2050">
          <cell r="L2050">
            <v>28.027397260000001</v>
          </cell>
          <cell r="M2050">
            <v>4.6486936300000004</v>
          </cell>
        </row>
        <row r="2051">
          <cell r="L2051">
            <v>28.041095890000001</v>
          </cell>
          <cell r="M2051">
            <v>4.6487610000000004</v>
          </cell>
        </row>
        <row r="2052">
          <cell r="L2052">
            <v>28.054794520000002</v>
          </cell>
          <cell r="M2052">
            <v>4.6488299700000004</v>
          </cell>
        </row>
        <row r="2053">
          <cell r="L2053">
            <v>28.068493149999998</v>
          </cell>
          <cell r="M2053">
            <v>4.6489004700000001</v>
          </cell>
        </row>
        <row r="2054">
          <cell r="L2054">
            <v>28.082191779999999</v>
          </cell>
          <cell r="M2054">
            <v>4.6489724299999997</v>
          </cell>
        </row>
        <row r="2055">
          <cell r="L2055">
            <v>28.095890409999999</v>
          </cell>
          <cell r="M2055">
            <v>4.6490457599999999</v>
          </cell>
        </row>
        <row r="2056">
          <cell r="L2056">
            <v>28.109589039999999</v>
          </cell>
          <cell r="M2056">
            <v>4.6491204000000002</v>
          </cell>
        </row>
        <row r="2057">
          <cell r="L2057">
            <v>28.12328767</v>
          </cell>
          <cell r="M2057">
            <v>4.64919627</v>
          </cell>
        </row>
        <row r="2058">
          <cell r="L2058">
            <v>28.1369863</v>
          </cell>
          <cell r="M2058">
            <v>4.6492732999999999</v>
          </cell>
        </row>
        <row r="2059">
          <cell r="L2059">
            <v>28.150684930000001</v>
          </cell>
          <cell r="M2059">
            <v>4.6493514100000004</v>
          </cell>
        </row>
        <row r="2060">
          <cell r="L2060">
            <v>28.164383560000001</v>
          </cell>
          <cell r="M2060">
            <v>4.6494305200000001</v>
          </cell>
        </row>
        <row r="2061">
          <cell r="L2061">
            <v>28.178082190000001</v>
          </cell>
          <cell r="M2061">
            <v>4.6495105600000004</v>
          </cell>
        </row>
        <row r="2062">
          <cell r="L2062">
            <v>28.191780820000002</v>
          </cell>
          <cell r="M2062">
            <v>4.6495914599999999</v>
          </cell>
        </row>
        <row r="2063">
          <cell r="L2063">
            <v>28.205479449999999</v>
          </cell>
          <cell r="M2063">
            <v>4.6496731499999999</v>
          </cell>
        </row>
        <row r="2064">
          <cell r="L2064">
            <v>28.219178079999999</v>
          </cell>
          <cell r="M2064">
            <v>4.6497555400000001</v>
          </cell>
        </row>
        <row r="2065">
          <cell r="L2065">
            <v>28.232876709999999</v>
          </cell>
          <cell r="M2065">
            <v>4.6498385600000001</v>
          </cell>
        </row>
        <row r="2066">
          <cell r="L2066">
            <v>28.24657534</v>
          </cell>
          <cell r="M2066">
            <v>4.6499221400000001</v>
          </cell>
        </row>
        <row r="2067">
          <cell r="L2067">
            <v>28.26027397</v>
          </cell>
          <cell r="M2067">
            <v>4.6500062</v>
          </cell>
        </row>
        <row r="2068">
          <cell r="L2068">
            <v>28.2739726</v>
          </cell>
          <cell r="M2068">
            <v>4.65009067</v>
          </cell>
        </row>
        <row r="2069">
          <cell r="L2069">
            <v>28.287671230000001</v>
          </cell>
          <cell r="M2069">
            <v>4.6501754799999997</v>
          </cell>
        </row>
        <row r="2070">
          <cell r="L2070">
            <v>28.301369860000001</v>
          </cell>
          <cell r="M2070">
            <v>4.6502605399999997</v>
          </cell>
        </row>
        <row r="2071">
          <cell r="L2071">
            <v>28.315068490000002</v>
          </cell>
          <cell r="M2071">
            <v>4.6503457900000003</v>
          </cell>
        </row>
        <row r="2072">
          <cell r="L2072">
            <v>28.328767119999998</v>
          </cell>
          <cell r="M2072">
            <v>4.6504311400000002</v>
          </cell>
        </row>
        <row r="2073">
          <cell r="L2073">
            <v>28.342465749999999</v>
          </cell>
          <cell r="M2073">
            <v>4.65051653</v>
          </cell>
        </row>
        <row r="2074">
          <cell r="L2074">
            <v>28.356164379999999</v>
          </cell>
          <cell r="M2074">
            <v>4.65060188</v>
          </cell>
        </row>
        <row r="2075">
          <cell r="L2075">
            <v>28.36986301</v>
          </cell>
          <cell r="M2075">
            <v>4.6506871199999997</v>
          </cell>
        </row>
        <row r="2076">
          <cell r="L2076">
            <v>28.38356164</v>
          </cell>
          <cell r="M2076">
            <v>4.6507721599999998</v>
          </cell>
        </row>
        <row r="2077">
          <cell r="L2077">
            <v>28.39726027</v>
          </cell>
          <cell r="M2077">
            <v>4.6508569399999997</v>
          </cell>
        </row>
        <row r="2078">
          <cell r="L2078">
            <v>28.410958900000001</v>
          </cell>
          <cell r="M2078">
            <v>4.6509413899999998</v>
          </cell>
        </row>
        <row r="2079">
          <cell r="L2079">
            <v>28.424657530000001</v>
          </cell>
          <cell r="M2079">
            <v>4.6510254099999999</v>
          </cell>
        </row>
        <row r="2080">
          <cell r="L2080">
            <v>28.438356160000001</v>
          </cell>
          <cell r="M2080">
            <v>4.6511089500000002</v>
          </cell>
        </row>
        <row r="2081">
          <cell r="L2081">
            <v>28.452054789999998</v>
          </cell>
          <cell r="M2081">
            <v>4.6511919300000004</v>
          </cell>
        </row>
        <row r="2082">
          <cell r="L2082">
            <v>28.465753419999999</v>
          </cell>
          <cell r="M2082">
            <v>4.65127427</v>
          </cell>
        </row>
        <row r="2083">
          <cell r="L2083">
            <v>28.479452049999999</v>
          </cell>
          <cell r="M2083">
            <v>4.6513558899999996</v>
          </cell>
        </row>
        <row r="2084">
          <cell r="L2084">
            <v>28.493150679999999</v>
          </cell>
          <cell r="M2084">
            <v>4.6514367300000004</v>
          </cell>
        </row>
        <row r="2085">
          <cell r="L2085">
            <v>28.506849320000001</v>
          </cell>
          <cell r="M2085">
            <v>4.65151716</v>
          </cell>
        </row>
        <row r="2086">
          <cell r="L2086">
            <v>28.520547950000001</v>
          </cell>
          <cell r="M2086">
            <v>4.6515998500000002</v>
          </cell>
        </row>
        <row r="2087">
          <cell r="L2087">
            <v>28.534246580000001</v>
          </cell>
          <cell r="M2087">
            <v>4.6516851299999997</v>
          </cell>
        </row>
        <row r="2088">
          <cell r="L2088">
            <v>28.547945210000002</v>
          </cell>
          <cell r="M2088">
            <v>4.65177291</v>
          </cell>
        </row>
        <row r="2089">
          <cell r="L2089">
            <v>28.561643839999999</v>
          </cell>
          <cell r="M2089">
            <v>4.6518630500000002</v>
          </cell>
        </row>
        <row r="2090">
          <cell r="L2090">
            <v>28.575342469999999</v>
          </cell>
          <cell r="M2090">
            <v>4.6519554599999999</v>
          </cell>
        </row>
        <row r="2091">
          <cell r="L2091">
            <v>28.589041099999999</v>
          </cell>
          <cell r="M2091">
            <v>4.6520500199999999</v>
          </cell>
        </row>
        <row r="2092">
          <cell r="L2092">
            <v>28.60273973</v>
          </cell>
          <cell r="M2092">
            <v>4.65214661</v>
          </cell>
        </row>
        <row r="2093">
          <cell r="L2093">
            <v>28.61643836</v>
          </cell>
          <cell r="M2093">
            <v>4.6522451299999998</v>
          </cell>
        </row>
        <row r="2094">
          <cell r="L2094">
            <v>28.63013699</v>
          </cell>
          <cell r="M2094">
            <v>4.6523454500000003</v>
          </cell>
        </row>
        <row r="2095">
          <cell r="L2095">
            <v>28.643835620000001</v>
          </cell>
          <cell r="M2095">
            <v>4.6524474700000003</v>
          </cell>
        </row>
        <row r="2096">
          <cell r="L2096">
            <v>28.657534250000001</v>
          </cell>
          <cell r="M2096">
            <v>4.6525510700000003</v>
          </cell>
        </row>
        <row r="2097">
          <cell r="L2097">
            <v>28.671232880000002</v>
          </cell>
          <cell r="M2097">
            <v>4.6526561400000004</v>
          </cell>
        </row>
        <row r="2098">
          <cell r="L2098">
            <v>28.684931509999998</v>
          </cell>
          <cell r="M2098">
            <v>4.6527625700000002</v>
          </cell>
        </row>
        <row r="2099">
          <cell r="L2099">
            <v>28.698630139999999</v>
          </cell>
          <cell r="M2099">
            <v>4.6528702400000004</v>
          </cell>
        </row>
        <row r="2100">
          <cell r="L2100">
            <v>28.712328769999999</v>
          </cell>
          <cell r="M2100">
            <v>4.6529790499999999</v>
          </cell>
        </row>
        <row r="2101">
          <cell r="L2101">
            <v>28.7260274</v>
          </cell>
          <cell r="M2101">
            <v>4.6530888700000004</v>
          </cell>
        </row>
        <row r="2102">
          <cell r="L2102">
            <v>28.73972603</v>
          </cell>
          <cell r="M2102">
            <v>4.6531995899999998</v>
          </cell>
        </row>
        <row r="2103">
          <cell r="L2103">
            <v>28.75342466</v>
          </cell>
          <cell r="M2103">
            <v>4.6533111099999998</v>
          </cell>
        </row>
        <row r="2104">
          <cell r="L2104">
            <v>28.767123290000001</v>
          </cell>
          <cell r="M2104">
            <v>4.65342331</v>
          </cell>
        </row>
        <row r="2105">
          <cell r="L2105">
            <v>28.780821920000001</v>
          </cell>
          <cell r="M2105">
            <v>4.6535360700000004</v>
          </cell>
        </row>
        <row r="2106">
          <cell r="L2106">
            <v>28.794520550000001</v>
          </cell>
          <cell r="M2106">
            <v>4.6536492899999997</v>
          </cell>
        </row>
        <row r="2107">
          <cell r="L2107">
            <v>28.808219179999998</v>
          </cell>
          <cell r="M2107">
            <v>4.6537628499999997</v>
          </cell>
        </row>
        <row r="2108">
          <cell r="L2108">
            <v>28.821917809999999</v>
          </cell>
          <cell r="M2108">
            <v>4.6538766300000001</v>
          </cell>
        </row>
        <row r="2109">
          <cell r="L2109">
            <v>28.835616439999999</v>
          </cell>
          <cell r="M2109">
            <v>4.6539905299999997</v>
          </cell>
        </row>
        <row r="2110">
          <cell r="L2110">
            <v>28.849315069999999</v>
          </cell>
          <cell r="M2110">
            <v>4.6541044300000003</v>
          </cell>
        </row>
        <row r="2111">
          <cell r="L2111">
            <v>28.8630137</v>
          </cell>
          <cell r="M2111">
            <v>4.6542182099999998</v>
          </cell>
        </row>
        <row r="2112">
          <cell r="L2112">
            <v>28.87671233</v>
          </cell>
          <cell r="M2112">
            <v>4.6543317699999998</v>
          </cell>
        </row>
        <row r="2113">
          <cell r="L2113">
            <v>28.890410960000001</v>
          </cell>
          <cell r="M2113">
            <v>4.6544449999999999</v>
          </cell>
        </row>
        <row r="2114">
          <cell r="L2114">
            <v>28.904109590000001</v>
          </cell>
          <cell r="M2114">
            <v>4.6545577700000003</v>
          </cell>
        </row>
        <row r="2115">
          <cell r="L2115">
            <v>28.917808220000001</v>
          </cell>
          <cell r="M2115">
            <v>4.6546699800000004</v>
          </cell>
        </row>
        <row r="2116">
          <cell r="L2116">
            <v>28.931506850000002</v>
          </cell>
          <cell r="M2116">
            <v>4.6547815100000003</v>
          </cell>
        </row>
        <row r="2117">
          <cell r="L2117">
            <v>28.945205479999998</v>
          </cell>
          <cell r="M2117">
            <v>4.6548922499999996</v>
          </cell>
        </row>
        <row r="2118">
          <cell r="L2118">
            <v>28.958904109999999</v>
          </cell>
          <cell r="M2118">
            <v>4.65500209</v>
          </cell>
        </row>
        <row r="2119">
          <cell r="L2119">
            <v>28.972602739999999</v>
          </cell>
          <cell r="M2119">
            <v>4.6551109100000003</v>
          </cell>
        </row>
        <row r="2120">
          <cell r="L2120">
            <v>28.98630137</v>
          </cell>
          <cell r="M2120">
            <v>4.6552186000000004</v>
          </cell>
        </row>
        <row r="2121">
          <cell r="L2121">
            <v>29</v>
          </cell>
          <cell r="M2121">
            <v>4.6553250500000001</v>
          </cell>
        </row>
        <row r="2122">
          <cell r="L2122">
            <v>29.01369863</v>
          </cell>
          <cell r="M2122">
            <v>4.6554326399999999</v>
          </cell>
        </row>
        <row r="2123">
          <cell r="L2123">
            <v>29.027397260000001</v>
          </cell>
          <cell r="M2123">
            <v>4.6555437099999999</v>
          </cell>
        </row>
        <row r="2124">
          <cell r="L2124">
            <v>29.041095890000001</v>
          </cell>
          <cell r="M2124">
            <v>4.65565812</v>
          </cell>
        </row>
        <row r="2125">
          <cell r="L2125">
            <v>29.054794520000002</v>
          </cell>
          <cell r="M2125">
            <v>4.6557757200000003</v>
          </cell>
        </row>
        <row r="2126">
          <cell r="L2126">
            <v>29.068493149999998</v>
          </cell>
          <cell r="M2126">
            <v>4.6558963599999998</v>
          </cell>
        </row>
        <row r="2127">
          <cell r="L2127">
            <v>29.082191779999999</v>
          </cell>
          <cell r="M2127">
            <v>4.6560198899999996</v>
          </cell>
        </row>
        <row r="2128">
          <cell r="L2128">
            <v>29.095890409999999</v>
          </cell>
          <cell r="M2128">
            <v>4.6561461700000004</v>
          </cell>
        </row>
        <row r="2129">
          <cell r="L2129">
            <v>29.109589039999999</v>
          </cell>
          <cell r="M2129">
            <v>4.6562750299999998</v>
          </cell>
        </row>
        <row r="2130">
          <cell r="L2130">
            <v>29.12328767</v>
          </cell>
          <cell r="M2130">
            <v>4.6564063400000002</v>
          </cell>
        </row>
        <row r="2131">
          <cell r="L2131">
            <v>29.1369863</v>
          </cell>
          <cell r="M2131">
            <v>4.6565399300000001</v>
          </cell>
        </row>
        <row r="2132">
          <cell r="L2132">
            <v>29.150684930000001</v>
          </cell>
          <cell r="M2132">
            <v>4.6566756700000003</v>
          </cell>
        </row>
        <row r="2133">
          <cell r="L2133">
            <v>29.164383560000001</v>
          </cell>
          <cell r="M2133">
            <v>4.6568134099999998</v>
          </cell>
        </row>
        <row r="2134">
          <cell r="L2134">
            <v>29.178082190000001</v>
          </cell>
          <cell r="M2134">
            <v>4.6569529899999997</v>
          </cell>
        </row>
        <row r="2135">
          <cell r="L2135">
            <v>29.191780820000002</v>
          </cell>
          <cell r="M2135">
            <v>4.65709426</v>
          </cell>
        </row>
        <row r="2136">
          <cell r="L2136">
            <v>29.205479449999999</v>
          </cell>
          <cell r="M2136">
            <v>4.6572370799999998</v>
          </cell>
        </row>
        <row r="2137">
          <cell r="L2137">
            <v>29.219178079999999</v>
          </cell>
          <cell r="M2137">
            <v>4.6573812999999999</v>
          </cell>
        </row>
        <row r="2138">
          <cell r="L2138">
            <v>29.232876709999999</v>
          </cell>
          <cell r="M2138">
            <v>4.6575267599999997</v>
          </cell>
        </row>
        <row r="2139">
          <cell r="L2139">
            <v>29.24657534</v>
          </cell>
          <cell r="M2139">
            <v>4.6576733199999998</v>
          </cell>
        </row>
        <row r="2140">
          <cell r="L2140">
            <v>29.26027397</v>
          </cell>
          <cell r="M2140">
            <v>4.6578208200000004</v>
          </cell>
        </row>
        <row r="2141">
          <cell r="L2141">
            <v>29.2739726</v>
          </cell>
          <cell r="M2141">
            <v>4.6579691299999997</v>
          </cell>
        </row>
        <row r="2142">
          <cell r="L2142">
            <v>29.287671230000001</v>
          </cell>
          <cell r="M2142">
            <v>4.6581180800000004</v>
          </cell>
        </row>
        <row r="2143">
          <cell r="L2143">
            <v>29.301369860000001</v>
          </cell>
          <cell r="M2143">
            <v>4.6582675399999998</v>
          </cell>
        </row>
        <row r="2144">
          <cell r="L2144">
            <v>29.315068490000002</v>
          </cell>
          <cell r="M2144">
            <v>4.6584173399999997</v>
          </cell>
        </row>
        <row r="2145">
          <cell r="L2145">
            <v>29.328767119999998</v>
          </cell>
          <cell r="M2145">
            <v>4.6585673400000003</v>
          </cell>
        </row>
        <row r="2146">
          <cell r="L2146">
            <v>29.342465749999999</v>
          </cell>
          <cell r="M2146">
            <v>4.6587173999999996</v>
          </cell>
        </row>
        <row r="2147">
          <cell r="L2147">
            <v>29.356164379999999</v>
          </cell>
          <cell r="M2147">
            <v>4.6588673500000004</v>
          </cell>
        </row>
        <row r="2148">
          <cell r="L2148">
            <v>29.36986301</v>
          </cell>
          <cell r="M2148">
            <v>4.65901706</v>
          </cell>
        </row>
        <row r="2149">
          <cell r="L2149">
            <v>29.38356164</v>
          </cell>
          <cell r="M2149">
            <v>4.6591663700000003</v>
          </cell>
        </row>
        <row r="2150">
          <cell r="L2150">
            <v>29.39726027</v>
          </cell>
          <cell r="M2150">
            <v>4.6593151400000004</v>
          </cell>
        </row>
        <row r="2151">
          <cell r="L2151">
            <v>29.410958900000001</v>
          </cell>
          <cell r="M2151">
            <v>4.6594632100000002</v>
          </cell>
        </row>
        <row r="2152">
          <cell r="L2152">
            <v>29.424657530000001</v>
          </cell>
          <cell r="M2152">
            <v>4.6596104299999999</v>
          </cell>
        </row>
        <row r="2153">
          <cell r="L2153">
            <v>29.438356160000001</v>
          </cell>
          <cell r="M2153">
            <v>4.6597566600000002</v>
          </cell>
        </row>
        <row r="2154">
          <cell r="L2154">
            <v>29.452054789999998</v>
          </cell>
          <cell r="M2154">
            <v>4.6599017399999996</v>
          </cell>
        </row>
        <row r="2155">
          <cell r="L2155">
            <v>29.465753419999999</v>
          </cell>
          <cell r="M2155">
            <v>4.6600455299999997</v>
          </cell>
        </row>
        <row r="2156">
          <cell r="L2156">
            <v>29.479452049999999</v>
          </cell>
          <cell r="M2156">
            <v>4.6601878799999996</v>
          </cell>
        </row>
        <row r="2157">
          <cell r="L2157">
            <v>29.493150679999999</v>
          </cell>
          <cell r="M2157">
            <v>4.6603286300000004</v>
          </cell>
        </row>
        <row r="2158">
          <cell r="L2158">
            <v>29.506849320000001</v>
          </cell>
          <cell r="M2158">
            <v>4.6604684299999999</v>
          </cell>
        </row>
        <row r="2159">
          <cell r="L2159">
            <v>29.520547950000001</v>
          </cell>
          <cell r="M2159">
            <v>4.6606118700000003</v>
          </cell>
        </row>
        <row r="2160">
          <cell r="L2160">
            <v>29.534246580000001</v>
          </cell>
          <cell r="M2160">
            <v>4.6607595399999999</v>
          </cell>
        </row>
        <row r="2161">
          <cell r="L2161">
            <v>29.547945210000002</v>
          </cell>
          <cell r="M2161">
            <v>4.6609112599999998</v>
          </cell>
        </row>
        <row r="2162">
          <cell r="L2162">
            <v>29.561643839999999</v>
          </cell>
          <cell r="M2162">
            <v>4.6610668500000001</v>
          </cell>
        </row>
        <row r="2163">
          <cell r="L2163">
            <v>29.575342469999999</v>
          </cell>
          <cell r="M2163">
            <v>4.6612261200000003</v>
          </cell>
        </row>
        <row r="2164">
          <cell r="L2164">
            <v>29.589041099999999</v>
          </cell>
          <cell r="M2164">
            <v>4.6613888799999996</v>
          </cell>
        </row>
        <row r="2165">
          <cell r="L2165">
            <v>29.60273973</v>
          </cell>
          <cell r="M2165">
            <v>4.6615549500000002</v>
          </cell>
        </row>
        <row r="2166">
          <cell r="L2166">
            <v>29.61643836</v>
          </cell>
          <cell r="M2166">
            <v>4.6617241500000004</v>
          </cell>
        </row>
        <row r="2167">
          <cell r="L2167">
            <v>29.63013699</v>
          </cell>
          <cell r="M2167">
            <v>4.6618962799999997</v>
          </cell>
        </row>
        <row r="2168">
          <cell r="L2168">
            <v>29.643835620000001</v>
          </cell>
          <cell r="M2168">
            <v>4.66207116</v>
          </cell>
        </row>
        <row r="2169">
          <cell r="L2169">
            <v>29.657534250000001</v>
          </cell>
          <cell r="M2169">
            <v>4.6622486199999997</v>
          </cell>
        </row>
        <row r="2170">
          <cell r="L2170">
            <v>29.671232880000002</v>
          </cell>
          <cell r="M2170">
            <v>4.6624284500000002</v>
          </cell>
        </row>
        <row r="2171">
          <cell r="L2171">
            <v>29.684931509999998</v>
          </cell>
          <cell r="M2171">
            <v>4.6626104799999997</v>
          </cell>
        </row>
        <row r="2172">
          <cell r="L2172">
            <v>29.698630139999999</v>
          </cell>
          <cell r="M2172">
            <v>4.6627945200000003</v>
          </cell>
        </row>
        <row r="2173">
          <cell r="L2173">
            <v>29.712328769999999</v>
          </cell>
          <cell r="M2173">
            <v>4.6629803799999996</v>
          </cell>
        </row>
        <row r="2174">
          <cell r="L2174">
            <v>29.7260274</v>
          </cell>
          <cell r="M2174">
            <v>4.6631678799999996</v>
          </cell>
        </row>
        <row r="2175">
          <cell r="L2175">
            <v>29.73972603</v>
          </cell>
          <cell r="M2175">
            <v>4.6633568299999997</v>
          </cell>
        </row>
        <row r="2176">
          <cell r="L2176">
            <v>29.75342466</v>
          </cell>
          <cell r="M2176">
            <v>4.66354705</v>
          </cell>
        </row>
        <row r="2177">
          <cell r="L2177">
            <v>29.767123290000001</v>
          </cell>
          <cell r="M2177">
            <v>4.66373835</v>
          </cell>
        </row>
        <row r="2178">
          <cell r="L2178">
            <v>29.780821920000001</v>
          </cell>
          <cell r="M2178">
            <v>4.6639305499999999</v>
          </cell>
        </row>
        <row r="2179">
          <cell r="L2179">
            <v>29.794520550000001</v>
          </cell>
          <cell r="M2179">
            <v>4.6641234599999999</v>
          </cell>
        </row>
        <row r="2180">
          <cell r="L2180">
            <v>29.808219179999998</v>
          </cell>
          <cell r="M2180">
            <v>4.6643169000000002</v>
          </cell>
        </row>
        <row r="2181">
          <cell r="L2181">
            <v>29.821917809999999</v>
          </cell>
          <cell r="M2181">
            <v>4.6645106700000003</v>
          </cell>
        </row>
        <row r="2182">
          <cell r="L2182">
            <v>29.835616439999999</v>
          </cell>
          <cell r="M2182">
            <v>4.6647046000000003</v>
          </cell>
        </row>
        <row r="2183">
          <cell r="L2183">
            <v>29.849315069999999</v>
          </cell>
          <cell r="M2183">
            <v>4.6648984899999997</v>
          </cell>
        </row>
        <row r="2184">
          <cell r="L2184">
            <v>29.8630137</v>
          </cell>
          <cell r="M2184">
            <v>4.6650921700000003</v>
          </cell>
        </row>
        <row r="2185">
          <cell r="L2185">
            <v>29.87671233</v>
          </cell>
          <cell r="M2185">
            <v>4.6652854399999999</v>
          </cell>
        </row>
        <row r="2186">
          <cell r="L2186">
            <v>29.890410960000001</v>
          </cell>
          <cell r="M2186">
            <v>4.6654781300000003</v>
          </cell>
        </row>
        <row r="2187">
          <cell r="L2187">
            <v>29.904109590000001</v>
          </cell>
          <cell r="M2187">
            <v>4.6656700400000002</v>
          </cell>
        </row>
        <row r="2188">
          <cell r="L2188">
            <v>29.917808220000001</v>
          </cell>
          <cell r="M2188">
            <v>4.6658609899999997</v>
          </cell>
        </row>
        <row r="2189">
          <cell r="L2189">
            <v>29.931506850000002</v>
          </cell>
          <cell r="M2189">
            <v>4.6660507899999999</v>
          </cell>
        </row>
        <row r="2190">
          <cell r="L2190">
            <v>29.945205479999998</v>
          </cell>
          <cell r="M2190">
            <v>4.6662392600000002</v>
          </cell>
        </row>
        <row r="2191">
          <cell r="L2191">
            <v>29.958904109999999</v>
          </cell>
          <cell r="M2191">
            <v>4.66642622</v>
          </cell>
        </row>
        <row r="2192">
          <cell r="L2192">
            <v>29.972602739999999</v>
          </cell>
          <cell r="M2192">
            <v>4.6666114800000003</v>
          </cell>
        </row>
        <row r="2193">
          <cell r="L2193">
            <v>29.98630137</v>
          </cell>
          <cell r="M2193">
            <v>4.6667948399999997</v>
          </cell>
        </row>
        <row r="2194">
          <cell r="L2194">
            <v>30</v>
          </cell>
          <cell r="M2194">
            <v>4.6669761300000001</v>
          </cell>
        </row>
        <row r="2195">
          <cell r="L2195">
            <v>30.01369863</v>
          </cell>
          <cell r="M2195">
            <v>4.6671573999999998</v>
          </cell>
        </row>
        <row r="2196">
          <cell r="L2196">
            <v>30.027397260000001</v>
          </cell>
          <cell r="M2196">
            <v>4.66734077</v>
          </cell>
        </row>
        <row r="2197">
          <cell r="L2197">
            <v>30.041095890000001</v>
          </cell>
          <cell r="M2197">
            <v>4.6675261499999996</v>
          </cell>
        </row>
        <row r="2198">
          <cell r="L2198">
            <v>30.054794520000002</v>
          </cell>
          <cell r="M2198">
            <v>4.66771344</v>
          </cell>
        </row>
        <row r="2199">
          <cell r="L2199">
            <v>30.068493149999998</v>
          </cell>
          <cell r="M2199">
            <v>4.6679025599999999</v>
          </cell>
        </row>
        <row r="2200">
          <cell r="L2200">
            <v>30.082191779999999</v>
          </cell>
          <cell r="M2200">
            <v>4.66809341</v>
          </cell>
        </row>
        <row r="2201">
          <cell r="L2201">
            <v>30.095890409999999</v>
          </cell>
          <cell r="M2201">
            <v>4.6682859199999998</v>
          </cell>
        </row>
        <row r="2202">
          <cell r="L2202">
            <v>30.109589039999999</v>
          </cell>
          <cell r="M2202">
            <v>4.6684799799999999</v>
          </cell>
        </row>
        <row r="2203">
          <cell r="L2203">
            <v>30.12328767</v>
          </cell>
          <cell r="M2203">
            <v>4.6686755099999999</v>
          </cell>
        </row>
        <row r="2204">
          <cell r="L2204">
            <v>30.1369863</v>
          </cell>
          <cell r="M2204">
            <v>4.6688724199999996</v>
          </cell>
        </row>
        <row r="2205">
          <cell r="L2205">
            <v>30.150684930000001</v>
          </cell>
          <cell r="M2205">
            <v>4.6690706100000003</v>
          </cell>
        </row>
        <row r="2206">
          <cell r="L2206">
            <v>30.164383560000001</v>
          </cell>
          <cell r="M2206">
            <v>4.66927001</v>
          </cell>
        </row>
        <row r="2207">
          <cell r="L2207">
            <v>30.178082190000001</v>
          </cell>
          <cell r="M2207">
            <v>4.66947051</v>
          </cell>
        </row>
        <row r="2208">
          <cell r="L2208">
            <v>30.191780820000002</v>
          </cell>
          <cell r="M2208">
            <v>4.6696720300000001</v>
          </cell>
        </row>
        <row r="2209">
          <cell r="L2209">
            <v>30.205479449999999</v>
          </cell>
          <cell r="M2209">
            <v>4.6698744899999998</v>
          </cell>
        </row>
        <row r="2210">
          <cell r="L2210">
            <v>30.219178079999999</v>
          </cell>
          <cell r="M2210">
            <v>4.6700777799999997</v>
          </cell>
        </row>
        <row r="2211">
          <cell r="L2211">
            <v>30.232876709999999</v>
          </cell>
          <cell r="M2211">
            <v>4.6702818199999996</v>
          </cell>
        </row>
        <row r="2212">
          <cell r="L2212">
            <v>30.24657534</v>
          </cell>
          <cell r="M2212">
            <v>4.6704865199999999</v>
          </cell>
        </row>
        <row r="2213">
          <cell r="L2213">
            <v>30.26027397</v>
          </cell>
          <cell r="M2213">
            <v>4.6706917900000002</v>
          </cell>
        </row>
        <row r="2214">
          <cell r="L2214">
            <v>30.2739726</v>
          </cell>
          <cell r="M2214">
            <v>4.6708975400000003</v>
          </cell>
        </row>
        <row r="2215">
          <cell r="L2215">
            <v>30.287671230000001</v>
          </cell>
          <cell r="M2215">
            <v>4.6711036799999999</v>
          </cell>
        </row>
        <row r="2216">
          <cell r="L2216">
            <v>30.301369860000001</v>
          </cell>
          <cell r="M2216">
            <v>4.6713101200000002</v>
          </cell>
        </row>
        <row r="2217">
          <cell r="L2217">
            <v>30.315068490000002</v>
          </cell>
          <cell r="M2217">
            <v>4.6715167700000002</v>
          </cell>
        </row>
        <row r="2218">
          <cell r="L2218">
            <v>30.328767119999998</v>
          </cell>
          <cell r="M2218">
            <v>4.6717235400000003</v>
          </cell>
        </row>
        <row r="2219">
          <cell r="L2219">
            <v>30.342465749999999</v>
          </cell>
          <cell r="M2219">
            <v>4.6719303500000002</v>
          </cell>
        </row>
        <row r="2220">
          <cell r="L2220">
            <v>30.356164379999999</v>
          </cell>
          <cell r="M2220">
            <v>4.6721370899999997</v>
          </cell>
        </row>
        <row r="2221">
          <cell r="L2221">
            <v>30.36986301</v>
          </cell>
          <cell r="M2221">
            <v>4.6723436899999999</v>
          </cell>
        </row>
        <row r="2222">
          <cell r="L2222">
            <v>30.38356164</v>
          </cell>
          <cell r="M2222">
            <v>4.6725500499999999</v>
          </cell>
        </row>
        <row r="2223">
          <cell r="L2223">
            <v>30.39726027</v>
          </cell>
          <cell r="M2223">
            <v>4.6727560800000001</v>
          </cell>
        </row>
        <row r="2224">
          <cell r="L2224">
            <v>30.410958900000001</v>
          </cell>
          <cell r="M2224">
            <v>4.6729616900000002</v>
          </cell>
        </row>
        <row r="2225">
          <cell r="L2225">
            <v>30.424657530000001</v>
          </cell>
          <cell r="M2225">
            <v>4.6731667899999998</v>
          </cell>
        </row>
        <row r="2226">
          <cell r="L2226">
            <v>30.438356160000001</v>
          </cell>
          <cell r="M2226">
            <v>4.6733713000000003</v>
          </cell>
        </row>
        <row r="2227">
          <cell r="L2227">
            <v>30.452054789999998</v>
          </cell>
          <cell r="M2227">
            <v>4.6735751199999997</v>
          </cell>
        </row>
        <row r="2228">
          <cell r="L2228">
            <v>30.465753419999999</v>
          </cell>
          <cell r="M2228">
            <v>4.6737781600000003</v>
          </cell>
        </row>
        <row r="2229">
          <cell r="L2229">
            <v>30.479452049999999</v>
          </cell>
          <cell r="M2229">
            <v>4.67398034</v>
          </cell>
        </row>
        <row r="2230">
          <cell r="L2230">
            <v>30.493150679999999</v>
          </cell>
          <cell r="M2230">
            <v>4.6741815500000001</v>
          </cell>
        </row>
        <row r="2231">
          <cell r="L2231">
            <v>30.506849320000001</v>
          </cell>
          <cell r="M2231">
            <v>4.67438178</v>
          </cell>
        </row>
        <row r="2232">
          <cell r="L2232">
            <v>30.520547950000001</v>
          </cell>
          <cell r="M2232">
            <v>4.6745812600000001</v>
          </cell>
        </row>
        <row r="2233">
          <cell r="L2233">
            <v>30.534246580000001</v>
          </cell>
          <cell r="M2233">
            <v>4.6747800799999997</v>
          </cell>
        </row>
        <row r="2234">
          <cell r="L2234">
            <v>30.547945210000002</v>
          </cell>
          <cell r="M2234">
            <v>4.6749782599999996</v>
          </cell>
        </row>
        <row r="2235">
          <cell r="L2235">
            <v>30.561643839999999</v>
          </cell>
          <cell r="M2235">
            <v>4.6751758399999996</v>
          </cell>
        </row>
        <row r="2236">
          <cell r="L2236">
            <v>30.575342469999999</v>
          </cell>
          <cell r="M2236">
            <v>4.6753728399999996</v>
          </cell>
        </row>
        <row r="2237">
          <cell r="L2237">
            <v>30.589041099999999</v>
          </cell>
          <cell r="M2237">
            <v>4.6755692900000003</v>
          </cell>
        </row>
        <row r="2238">
          <cell r="L2238">
            <v>30.60273973</v>
          </cell>
          <cell r="M2238">
            <v>4.6757652199999997</v>
          </cell>
        </row>
        <row r="2239">
          <cell r="L2239">
            <v>30.61643836</v>
          </cell>
          <cell r="M2239">
            <v>4.6759606700000003</v>
          </cell>
        </row>
        <row r="2240">
          <cell r="L2240">
            <v>30.63013699</v>
          </cell>
          <cell r="M2240">
            <v>4.67615566</v>
          </cell>
        </row>
        <row r="2241">
          <cell r="L2241">
            <v>30.643835620000001</v>
          </cell>
          <cell r="M2241">
            <v>4.6763502199999998</v>
          </cell>
        </row>
        <row r="2242">
          <cell r="L2242">
            <v>30.657534250000001</v>
          </cell>
          <cell r="M2242">
            <v>4.6765443800000002</v>
          </cell>
        </row>
        <row r="2243">
          <cell r="L2243">
            <v>30.671232880000002</v>
          </cell>
          <cell r="M2243">
            <v>4.6767381600000002</v>
          </cell>
        </row>
        <row r="2244">
          <cell r="L2244">
            <v>30.684931509999998</v>
          </cell>
          <cell r="M2244">
            <v>4.6769316099999996</v>
          </cell>
        </row>
        <row r="2245">
          <cell r="L2245">
            <v>30.698630139999999</v>
          </cell>
          <cell r="M2245">
            <v>4.67712474</v>
          </cell>
        </row>
        <row r="2246">
          <cell r="L2246">
            <v>30.712328769999999</v>
          </cell>
          <cell r="M2246">
            <v>4.6773175900000004</v>
          </cell>
        </row>
        <row r="2247">
          <cell r="L2247">
            <v>30.7260274</v>
          </cell>
          <cell r="M2247">
            <v>4.6775101899999996</v>
          </cell>
        </row>
        <row r="2248">
          <cell r="L2248">
            <v>30.73972603</v>
          </cell>
          <cell r="M2248">
            <v>4.6777025700000001</v>
          </cell>
        </row>
        <row r="2249">
          <cell r="L2249">
            <v>30.75342466</v>
          </cell>
          <cell r="M2249">
            <v>4.6778947500000001</v>
          </cell>
        </row>
        <row r="2250">
          <cell r="L2250">
            <v>30.767123290000001</v>
          </cell>
          <cell r="M2250">
            <v>4.6780867600000002</v>
          </cell>
        </row>
        <row r="2251">
          <cell r="L2251">
            <v>30.780821920000001</v>
          </cell>
          <cell r="M2251">
            <v>4.6782786400000003</v>
          </cell>
        </row>
        <row r="2252">
          <cell r="L2252">
            <v>30.794520550000001</v>
          </cell>
          <cell r="M2252">
            <v>4.67847042</v>
          </cell>
        </row>
        <row r="2253">
          <cell r="L2253">
            <v>30.808219179999998</v>
          </cell>
          <cell r="M2253">
            <v>4.6786621100000003</v>
          </cell>
        </row>
        <row r="2254">
          <cell r="L2254">
            <v>30.821917809999999</v>
          </cell>
          <cell r="M2254">
            <v>4.6788537699999999</v>
          </cell>
        </row>
        <row r="2255">
          <cell r="L2255">
            <v>30.835616439999999</v>
          </cell>
          <cell r="M2255">
            <v>4.6790453999999997</v>
          </cell>
        </row>
        <row r="2256">
          <cell r="L2256">
            <v>30.849315069999999</v>
          </cell>
          <cell r="M2256">
            <v>4.6792370400000003</v>
          </cell>
        </row>
        <row r="2257">
          <cell r="L2257">
            <v>30.8630137</v>
          </cell>
          <cell r="M2257">
            <v>4.6794287299999997</v>
          </cell>
        </row>
        <row r="2258">
          <cell r="L2258">
            <v>30.87671233</v>
          </cell>
          <cell r="M2258">
            <v>4.6796204799999996</v>
          </cell>
        </row>
        <row r="2259">
          <cell r="L2259">
            <v>30.890410960000001</v>
          </cell>
          <cell r="M2259">
            <v>4.6798123399999998</v>
          </cell>
        </row>
        <row r="2260">
          <cell r="L2260">
            <v>30.904109590000001</v>
          </cell>
          <cell r="M2260">
            <v>4.6800043200000001</v>
          </cell>
        </row>
        <row r="2261">
          <cell r="L2261">
            <v>30.917808220000001</v>
          </cell>
          <cell r="M2261">
            <v>4.6801964600000003</v>
          </cell>
        </row>
        <row r="2262">
          <cell r="L2262">
            <v>30.931506850000002</v>
          </cell>
          <cell r="M2262">
            <v>4.6803888000000002</v>
          </cell>
        </row>
        <row r="2263">
          <cell r="L2263">
            <v>30.945205479999998</v>
          </cell>
          <cell r="M2263">
            <v>4.6805813399999998</v>
          </cell>
        </row>
        <row r="2264">
          <cell r="L2264">
            <v>30.958904109999999</v>
          </cell>
          <cell r="M2264">
            <v>4.6807741399999996</v>
          </cell>
        </row>
        <row r="2265">
          <cell r="L2265">
            <v>30.972602739999999</v>
          </cell>
          <cell r="M2265">
            <v>4.6809672100000004</v>
          </cell>
        </row>
        <row r="2266">
          <cell r="L2266">
            <v>30.98630137</v>
          </cell>
          <cell r="M2266">
            <v>4.6811605900000002</v>
          </cell>
        </row>
        <row r="2267">
          <cell r="L2267">
            <v>31</v>
          </cell>
          <cell r="M2267">
            <v>4.6813542999999997</v>
          </cell>
        </row>
        <row r="2268">
          <cell r="L2268">
            <v>31.01369863</v>
          </cell>
          <cell r="M2268">
            <v>4.6815478700000002</v>
          </cell>
        </row>
        <row r="2269">
          <cell r="L2269">
            <v>31.027397260000001</v>
          </cell>
          <cell r="M2269">
            <v>4.68174081</v>
          </cell>
        </row>
        <row r="2270">
          <cell r="L2270">
            <v>31.041095890000001</v>
          </cell>
          <cell r="M2270">
            <v>4.6819331599999998</v>
          </cell>
        </row>
        <row r="2271">
          <cell r="L2271">
            <v>31.054794520000002</v>
          </cell>
          <cell r="M2271">
            <v>4.6821249299999996</v>
          </cell>
        </row>
        <row r="2272">
          <cell r="L2272">
            <v>31.068493149999998</v>
          </cell>
          <cell r="M2272">
            <v>4.6823161600000001</v>
          </cell>
        </row>
        <row r="2273">
          <cell r="L2273">
            <v>31.082191779999999</v>
          </cell>
          <cell r="M2273">
            <v>4.6825068700000001</v>
          </cell>
        </row>
        <row r="2274">
          <cell r="L2274">
            <v>31.095890409999999</v>
          </cell>
          <cell r="M2274">
            <v>4.6826970899999996</v>
          </cell>
        </row>
        <row r="2275">
          <cell r="L2275">
            <v>31.109589039999999</v>
          </cell>
          <cell r="M2275">
            <v>4.6828868400000001</v>
          </cell>
        </row>
        <row r="2276">
          <cell r="L2276">
            <v>31.12328767</v>
          </cell>
          <cell r="M2276">
            <v>4.6830761599999997</v>
          </cell>
        </row>
        <row r="2277">
          <cell r="L2277">
            <v>31.1369863</v>
          </cell>
          <cell r="M2277">
            <v>4.68326507</v>
          </cell>
        </row>
        <row r="2278">
          <cell r="L2278">
            <v>31.150684930000001</v>
          </cell>
          <cell r="M2278">
            <v>4.6834536</v>
          </cell>
        </row>
        <row r="2279">
          <cell r="L2279">
            <v>31.164383560000001</v>
          </cell>
          <cell r="M2279">
            <v>4.6836417700000004</v>
          </cell>
        </row>
        <row r="2280">
          <cell r="L2280">
            <v>31.178082190000001</v>
          </cell>
          <cell r="M2280">
            <v>4.6838296100000001</v>
          </cell>
        </row>
        <row r="2281">
          <cell r="L2281">
            <v>31.191780820000002</v>
          </cell>
          <cell r="M2281">
            <v>4.6840171499999999</v>
          </cell>
        </row>
        <row r="2282">
          <cell r="L2282">
            <v>31.205479449999999</v>
          </cell>
          <cell r="M2282">
            <v>4.6842044100000004</v>
          </cell>
        </row>
        <row r="2283">
          <cell r="L2283">
            <v>31.219178079999999</v>
          </cell>
          <cell r="M2283">
            <v>4.6843914299999998</v>
          </cell>
        </row>
        <row r="2284">
          <cell r="L2284">
            <v>31.232876709999999</v>
          </cell>
          <cell r="M2284">
            <v>4.6845782199999997</v>
          </cell>
        </row>
        <row r="2285">
          <cell r="L2285">
            <v>31.24657534</v>
          </cell>
          <cell r="M2285">
            <v>4.6847648199999998</v>
          </cell>
        </row>
        <row r="2286">
          <cell r="L2286">
            <v>31.26027397</v>
          </cell>
          <cell r="M2286">
            <v>4.6849512500000001</v>
          </cell>
        </row>
        <row r="2287">
          <cell r="L2287">
            <v>31.2739726</v>
          </cell>
          <cell r="M2287">
            <v>4.6851375400000004</v>
          </cell>
        </row>
        <row r="2288">
          <cell r="L2288">
            <v>31.287671230000001</v>
          </cell>
          <cell r="M2288">
            <v>4.6853237200000004</v>
          </cell>
        </row>
        <row r="2289">
          <cell r="L2289">
            <v>31.301369860000001</v>
          </cell>
          <cell r="M2289">
            <v>4.6855098100000001</v>
          </cell>
        </row>
        <row r="2290">
          <cell r="L2290">
            <v>31.315068490000002</v>
          </cell>
          <cell r="M2290">
            <v>4.6856958400000002</v>
          </cell>
        </row>
        <row r="2291">
          <cell r="L2291">
            <v>31.328767119999998</v>
          </cell>
          <cell r="M2291">
            <v>4.6858818400000004</v>
          </cell>
        </row>
        <row r="2292">
          <cell r="L2292">
            <v>31.342465749999999</v>
          </cell>
          <cell r="M2292">
            <v>4.6860678299999998</v>
          </cell>
        </row>
        <row r="2293">
          <cell r="L2293">
            <v>31.356164379999999</v>
          </cell>
          <cell r="M2293">
            <v>4.68625384</v>
          </cell>
        </row>
        <row r="2294">
          <cell r="L2294">
            <v>31.36986301</v>
          </cell>
          <cell r="M2294">
            <v>4.6864398999999999</v>
          </cell>
        </row>
        <row r="2295">
          <cell r="L2295">
            <v>31.38356164</v>
          </cell>
          <cell r="M2295">
            <v>4.6866260400000002</v>
          </cell>
        </row>
        <row r="2296">
          <cell r="L2296">
            <v>31.39726027</v>
          </cell>
          <cell r="M2296">
            <v>4.6868122799999998</v>
          </cell>
        </row>
        <row r="2297">
          <cell r="L2297">
            <v>31.410958900000001</v>
          </cell>
          <cell r="M2297">
            <v>4.6869986399999997</v>
          </cell>
        </row>
        <row r="2298">
          <cell r="L2298">
            <v>31.424657530000001</v>
          </cell>
          <cell r="M2298">
            <v>4.6871851700000002</v>
          </cell>
        </row>
        <row r="2299">
          <cell r="L2299">
            <v>31.438356160000001</v>
          </cell>
          <cell r="M2299">
            <v>4.6873718699999998</v>
          </cell>
        </row>
        <row r="2300">
          <cell r="L2300">
            <v>31.452054789999998</v>
          </cell>
          <cell r="M2300">
            <v>4.6875587899999998</v>
          </cell>
        </row>
        <row r="2301">
          <cell r="L2301">
            <v>31.465753419999999</v>
          </cell>
          <cell r="M2301">
            <v>4.6877459400000001</v>
          </cell>
        </row>
        <row r="2302">
          <cell r="L2302">
            <v>31.479452049999999</v>
          </cell>
          <cell r="M2302">
            <v>4.6879333499999998</v>
          </cell>
        </row>
        <row r="2303">
          <cell r="L2303">
            <v>31.493150679999999</v>
          </cell>
          <cell r="M2303">
            <v>4.6881210500000003</v>
          </cell>
        </row>
        <row r="2304">
          <cell r="L2304">
            <v>31.506849320000001</v>
          </cell>
          <cell r="M2304">
            <v>4.6883089599999996</v>
          </cell>
        </row>
        <row r="2305">
          <cell r="L2305">
            <v>31.520547950000001</v>
          </cell>
          <cell r="M2305">
            <v>4.6884964299999998</v>
          </cell>
        </row>
        <row r="2306">
          <cell r="L2306">
            <v>31.534246580000001</v>
          </cell>
          <cell r="M2306">
            <v>4.6886833499999998</v>
          </cell>
        </row>
        <row r="2307">
          <cell r="L2307">
            <v>31.547945210000002</v>
          </cell>
          <cell r="M2307">
            <v>4.6888697600000002</v>
          </cell>
        </row>
        <row r="2308">
          <cell r="L2308">
            <v>31.561643839999999</v>
          </cell>
          <cell r="M2308">
            <v>4.68905569</v>
          </cell>
        </row>
        <row r="2309">
          <cell r="L2309">
            <v>31.575342469999999</v>
          </cell>
          <cell r="M2309">
            <v>4.68924115</v>
          </cell>
        </row>
        <row r="2310">
          <cell r="L2310">
            <v>31.589041099999999</v>
          </cell>
          <cell r="M2310">
            <v>4.68942616</v>
          </cell>
        </row>
        <row r="2311">
          <cell r="L2311">
            <v>31.60273973</v>
          </cell>
          <cell r="M2311">
            <v>4.6896107599999999</v>
          </cell>
        </row>
        <row r="2312">
          <cell r="L2312">
            <v>31.61643836</v>
          </cell>
          <cell r="M2312">
            <v>4.6897949600000004</v>
          </cell>
        </row>
        <row r="2313">
          <cell r="L2313">
            <v>31.63013699</v>
          </cell>
          <cell r="M2313">
            <v>4.6899787899999996</v>
          </cell>
        </row>
        <row r="2314">
          <cell r="L2314">
            <v>31.643835620000001</v>
          </cell>
          <cell r="M2314">
            <v>4.6901622700000001</v>
          </cell>
        </row>
        <row r="2315">
          <cell r="L2315">
            <v>31.657534250000001</v>
          </cell>
          <cell r="M2315">
            <v>4.6903454299999998</v>
          </cell>
        </row>
        <row r="2316">
          <cell r="L2316">
            <v>31.671232880000002</v>
          </cell>
          <cell r="M2316">
            <v>4.6905282899999996</v>
          </cell>
        </row>
        <row r="2317">
          <cell r="L2317">
            <v>31.684931509999998</v>
          </cell>
          <cell r="M2317">
            <v>4.6907108600000003</v>
          </cell>
        </row>
        <row r="2318">
          <cell r="L2318">
            <v>31.698630139999999</v>
          </cell>
          <cell r="M2318">
            <v>4.6908931799999998</v>
          </cell>
        </row>
        <row r="2319">
          <cell r="L2319">
            <v>31.712328769999999</v>
          </cell>
          <cell r="M2319">
            <v>4.6910752799999997</v>
          </cell>
        </row>
        <row r="2320">
          <cell r="L2320">
            <v>31.7260274</v>
          </cell>
          <cell r="M2320">
            <v>4.6912571600000001</v>
          </cell>
        </row>
        <row r="2321">
          <cell r="L2321">
            <v>31.73972603</v>
          </cell>
          <cell r="M2321">
            <v>4.6914388599999999</v>
          </cell>
        </row>
        <row r="2322">
          <cell r="L2322">
            <v>31.75342466</v>
          </cell>
          <cell r="M2322">
            <v>4.6916203999999997</v>
          </cell>
        </row>
        <row r="2323">
          <cell r="L2323">
            <v>31.767123290000001</v>
          </cell>
          <cell r="M2323">
            <v>4.6918018000000004</v>
          </cell>
        </row>
        <row r="2324">
          <cell r="L2324">
            <v>31.780821920000001</v>
          </cell>
          <cell r="M2324">
            <v>4.69198308</v>
          </cell>
        </row>
        <row r="2325">
          <cell r="L2325">
            <v>31.794520550000001</v>
          </cell>
          <cell r="M2325">
            <v>4.6921642800000001</v>
          </cell>
        </row>
        <row r="2326">
          <cell r="L2326">
            <v>31.808219179999998</v>
          </cell>
          <cell r="M2326">
            <v>4.6923454099999997</v>
          </cell>
        </row>
        <row r="2327">
          <cell r="L2327">
            <v>31.821917809999999</v>
          </cell>
          <cell r="M2327">
            <v>4.6925264899999997</v>
          </cell>
        </row>
        <row r="2328">
          <cell r="L2328">
            <v>31.835616439999999</v>
          </cell>
          <cell r="M2328">
            <v>4.6927075599999997</v>
          </cell>
        </row>
        <row r="2329">
          <cell r="L2329">
            <v>31.849315069999999</v>
          </cell>
          <cell r="M2329">
            <v>4.6928886299999997</v>
          </cell>
        </row>
        <row r="2330">
          <cell r="L2330">
            <v>31.8630137</v>
          </cell>
          <cell r="M2330">
            <v>4.6930697199999996</v>
          </cell>
        </row>
        <row r="2331">
          <cell r="L2331">
            <v>31.87671233</v>
          </cell>
          <cell r="M2331">
            <v>4.69325087</v>
          </cell>
        </row>
        <row r="2332">
          <cell r="L2332">
            <v>31.890410960000001</v>
          </cell>
          <cell r="M2332">
            <v>4.6934320899999999</v>
          </cell>
        </row>
        <row r="2333">
          <cell r="L2333">
            <v>31.904109590000001</v>
          </cell>
          <cell r="M2333">
            <v>4.6936134000000003</v>
          </cell>
        </row>
        <row r="2334">
          <cell r="L2334">
            <v>31.917808220000001</v>
          </cell>
          <cell r="M2334">
            <v>4.6937948399999998</v>
          </cell>
        </row>
        <row r="2335">
          <cell r="L2335">
            <v>31.931506850000002</v>
          </cell>
          <cell r="M2335">
            <v>4.6939764200000003</v>
          </cell>
        </row>
        <row r="2336">
          <cell r="L2336">
            <v>31.945205479999998</v>
          </cell>
          <cell r="M2336">
            <v>4.6941581699999997</v>
          </cell>
        </row>
        <row r="2337">
          <cell r="L2337">
            <v>31.958904109999999</v>
          </cell>
          <cell r="M2337">
            <v>4.6943401099999997</v>
          </cell>
        </row>
        <row r="2338">
          <cell r="L2338">
            <v>31.972602739999999</v>
          </cell>
          <cell r="M2338">
            <v>4.6945222600000003</v>
          </cell>
        </row>
        <row r="2339">
          <cell r="L2339">
            <v>31.98630137</v>
          </cell>
          <cell r="M2339">
            <v>4.6947046600000002</v>
          </cell>
        </row>
        <row r="2340">
          <cell r="L2340">
            <v>32</v>
          </cell>
          <cell r="M2340">
            <v>4.6948873100000004</v>
          </cell>
        </row>
        <row r="2341">
          <cell r="L2341">
            <v>32.01369863</v>
          </cell>
          <cell r="M2341">
            <v>4.6950698600000003</v>
          </cell>
        </row>
        <row r="2342">
          <cell r="L2342">
            <v>32.027397260000001</v>
          </cell>
          <cell r="M2342">
            <v>4.6952519400000003</v>
          </cell>
        </row>
        <row r="2343">
          <cell r="L2343">
            <v>32.041095890000001</v>
          </cell>
          <cell r="M2343">
            <v>4.6954335699999996</v>
          </cell>
        </row>
        <row r="2344">
          <cell r="L2344">
            <v>32.054794520000002</v>
          </cell>
          <cell r="M2344">
            <v>4.6956147799999997</v>
          </cell>
        </row>
        <row r="2345">
          <cell r="L2345">
            <v>32.068493150000002</v>
          </cell>
          <cell r="M2345">
            <v>4.6957955800000004</v>
          </cell>
        </row>
        <row r="2346">
          <cell r="L2346">
            <v>32.082191780000002</v>
          </cell>
          <cell r="M2346">
            <v>4.69597599</v>
          </cell>
        </row>
        <row r="2347">
          <cell r="L2347">
            <v>32.095890410000003</v>
          </cell>
          <cell r="M2347">
            <v>4.69615603</v>
          </cell>
        </row>
        <row r="2348">
          <cell r="L2348">
            <v>32.109589040000003</v>
          </cell>
          <cell r="M2348">
            <v>4.6963357200000004</v>
          </cell>
        </row>
        <row r="2349">
          <cell r="L2349">
            <v>32.123287670000003</v>
          </cell>
          <cell r="M2349">
            <v>4.6965150900000001</v>
          </cell>
        </row>
        <row r="2350">
          <cell r="L2350">
            <v>32.136986299999997</v>
          </cell>
          <cell r="M2350">
            <v>4.69669414</v>
          </cell>
        </row>
        <row r="2351">
          <cell r="L2351">
            <v>32.150684929999997</v>
          </cell>
          <cell r="M2351">
            <v>4.6968729199999997</v>
          </cell>
        </row>
        <row r="2352">
          <cell r="L2352">
            <v>32.164383559999997</v>
          </cell>
          <cell r="M2352">
            <v>4.6970514200000002</v>
          </cell>
        </row>
        <row r="2353">
          <cell r="L2353">
            <v>32.178082189999998</v>
          </cell>
          <cell r="M2353">
            <v>4.6972296699999996</v>
          </cell>
        </row>
        <row r="2354">
          <cell r="L2354">
            <v>32.191780819999998</v>
          </cell>
          <cell r="M2354">
            <v>4.6974077000000003</v>
          </cell>
        </row>
        <row r="2355">
          <cell r="L2355">
            <v>32.205479449999999</v>
          </cell>
          <cell r="M2355">
            <v>4.6975855199999996</v>
          </cell>
        </row>
        <row r="2356">
          <cell r="L2356">
            <v>32.219178079999999</v>
          </cell>
          <cell r="M2356">
            <v>4.6977631500000001</v>
          </cell>
        </row>
        <row r="2357">
          <cell r="L2357">
            <v>32.232876709999999</v>
          </cell>
          <cell r="M2357">
            <v>4.6979406199999998</v>
          </cell>
        </row>
        <row r="2358">
          <cell r="L2358">
            <v>32.24657534</v>
          </cell>
          <cell r="M2358">
            <v>4.6981179400000004</v>
          </cell>
        </row>
        <row r="2359">
          <cell r="L2359">
            <v>32.26027397</v>
          </cell>
          <cell r="M2359">
            <v>4.69829513</v>
          </cell>
        </row>
        <row r="2360">
          <cell r="L2360">
            <v>32.2739726</v>
          </cell>
          <cell r="M2360">
            <v>4.6984722100000003</v>
          </cell>
        </row>
        <row r="2361">
          <cell r="L2361">
            <v>32.287671230000001</v>
          </cell>
          <cell r="M2361">
            <v>4.6986492100000001</v>
          </cell>
        </row>
        <row r="2362">
          <cell r="L2362">
            <v>32.301369860000001</v>
          </cell>
          <cell r="M2362">
            <v>4.6988261400000004</v>
          </cell>
        </row>
        <row r="2363">
          <cell r="L2363">
            <v>32.315068490000002</v>
          </cell>
          <cell r="M2363">
            <v>4.6990030200000001</v>
          </cell>
        </row>
        <row r="2364">
          <cell r="L2364">
            <v>32.328767120000002</v>
          </cell>
          <cell r="M2364">
            <v>4.69917988</v>
          </cell>
        </row>
        <row r="2365">
          <cell r="L2365">
            <v>32.342465750000002</v>
          </cell>
          <cell r="M2365">
            <v>4.6993567199999999</v>
          </cell>
        </row>
        <row r="2366">
          <cell r="L2366">
            <v>32.356164380000003</v>
          </cell>
          <cell r="M2366">
            <v>4.6995335899999997</v>
          </cell>
        </row>
        <row r="2367">
          <cell r="L2367">
            <v>32.369863010000003</v>
          </cell>
          <cell r="M2367">
            <v>4.6997104800000002</v>
          </cell>
        </row>
        <row r="2368">
          <cell r="L2368">
            <v>32.383561640000003</v>
          </cell>
          <cell r="M2368">
            <v>4.6998874300000004</v>
          </cell>
        </row>
        <row r="2369">
          <cell r="L2369">
            <v>32.397260269999997</v>
          </cell>
          <cell r="M2369">
            <v>4.7000644600000001</v>
          </cell>
        </row>
        <row r="2370">
          <cell r="L2370">
            <v>32.410958899999997</v>
          </cell>
          <cell r="M2370">
            <v>4.7002415700000002</v>
          </cell>
        </row>
        <row r="2371">
          <cell r="L2371">
            <v>32.424657529999998</v>
          </cell>
          <cell r="M2371">
            <v>4.7004187999999996</v>
          </cell>
        </row>
        <row r="2372">
          <cell r="L2372">
            <v>32.438356159999998</v>
          </cell>
          <cell r="M2372">
            <v>4.7005961699999999</v>
          </cell>
        </row>
        <row r="2373">
          <cell r="L2373">
            <v>32.452054789999998</v>
          </cell>
          <cell r="M2373">
            <v>4.7007736800000002</v>
          </cell>
        </row>
        <row r="2374">
          <cell r="L2374">
            <v>32.465753419999999</v>
          </cell>
          <cell r="M2374">
            <v>4.7009513800000002</v>
          </cell>
        </row>
        <row r="2375">
          <cell r="L2375">
            <v>32.479452049999999</v>
          </cell>
          <cell r="M2375">
            <v>4.7011292600000001</v>
          </cell>
        </row>
        <row r="2376">
          <cell r="L2376">
            <v>32.493150679999999</v>
          </cell>
          <cell r="M2376">
            <v>4.7013073600000004</v>
          </cell>
        </row>
        <row r="2377">
          <cell r="L2377">
            <v>32.506849320000001</v>
          </cell>
          <cell r="M2377">
            <v>4.7014856099999998</v>
          </cell>
        </row>
        <row r="2378">
          <cell r="L2378">
            <v>32.520547950000001</v>
          </cell>
          <cell r="M2378">
            <v>4.7016635500000001</v>
          </cell>
        </row>
        <row r="2379">
          <cell r="L2379">
            <v>32.534246580000001</v>
          </cell>
          <cell r="M2379">
            <v>4.7018411000000002</v>
          </cell>
        </row>
        <row r="2380">
          <cell r="L2380">
            <v>32.547945210000002</v>
          </cell>
          <cell r="M2380">
            <v>4.7020182999999998</v>
          </cell>
        </row>
        <row r="2381">
          <cell r="L2381">
            <v>32.561643840000002</v>
          </cell>
          <cell r="M2381">
            <v>4.7021951399999997</v>
          </cell>
        </row>
        <row r="2382">
          <cell r="L2382">
            <v>32.575342470000002</v>
          </cell>
          <cell r="M2382">
            <v>4.7023716499999999</v>
          </cell>
        </row>
        <row r="2383">
          <cell r="L2383">
            <v>32.589041100000003</v>
          </cell>
          <cell r="M2383">
            <v>4.7025478500000002</v>
          </cell>
        </row>
        <row r="2384">
          <cell r="L2384">
            <v>32.602739730000003</v>
          </cell>
          <cell r="M2384">
            <v>4.7027237499999996</v>
          </cell>
        </row>
        <row r="2385">
          <cell r="L2385">
            <v>32.616438359999997</v>
          </cell>
          <cell r="M2385">
            <v>4.7028993699999999</v>
          </cell>
        </row>
        <row r="2386">
          <cell r="L2386">
            <v>32.630136989999997</v>
          </cell>
          <cell r="M2386">
            <v>4.70307472</v>
          </cell>
        </row>
        <row r="2387">
          <cell r="L2387">
            <v>32.643835619999997</v>
          </cell>
          <cell r="M2387">
            <v>4.7032498299999999</v>
          </cell>
        </row>
        <row r="2388">
          <cell r="L2388">
            <v>32.657534249999998</v>
          </cell>
          <cell r="M2388">
            <v>4.7034247000000002</v>
          </cell>
        </row>
        <row r="2389">
          <cell r="L2389">
            <v>32.671232879999998</v>
          </cell>
          <cell r="M2389">
            <v>4.7035993600000001</v>
          </cell>
        </row>
        <row r="2390">
          <cell r="L2390">
            <v>32.684931509999998</v>
          </cell>
          <cell r="M2390">
            <v>4.7037738200000003</v>
          </cell>
        </row>
        <row r="2391">
          <cell r="L2391">
            <v>32.698630139999999</v>
          </cell>
          <cell r="M2391">
            <v>4.7039480999999999</v>
          </cell>
        </row>
        <row r="2392">
          <cell r="L2392">
            <v>32.712328769999999</v>
          </cell>
          <cell r="M2392">
            <v>4.7041222200000004</v>
          </cell>
        </row>
        <row r="2393">
          <cell r="L2393">
            <v>32.7260274</v>
          </cell>
          <cell r="M2393">
            <v>4.70429618</v>
          </cell>
        </row>
        <row r="2394">
          <cell r="L2394">
            <v>32.73972603</v>
          </cell>
          <cell r="M2394">
            <v>4.7044700199999996</v>
          </cell>
        </row>
        <row r="2395">
          <cell r="L2395">
            <v>32.75342466</v>
          </cell>
          <cell r="M2395">
            <v>4.7046437299999999</v>
          </cell>
        </row>
        <row r="2396">
          <cell r="L2396">
            <v>32.767123290000001</v>
          </cell>
          <cell r="M2396">
            <v>4.7048173499999999</v>
          </cell>
        </row>
        <row r="2397">
          <cell r="L2397">
            <v>32.780821920000001</v>
          </cell>
          <cell r="M2397">
            <v>4.7049908900000004</v>
          </cell>
        </row>
        <row r="2398">
          <cell r="L2398">
            <v>32.794520550000001</v>
          </cell>
          <cell r="M2398">
            <v>4.7051643600000004</v>
          </cell>
        </row>
        <row r="2399">
          <cell r="L2399">
            <v>32.808219180000002</v>
          </cell>
          <cell r="M2399">
            <v>4.7053377899999997</v>
          </cell>
        </row>
        <row r="2400">
          <cell r="L2400">
            <v>32.821917810000002</v>
          </cell>
          <cell r="M2400">
            <v>4.7055111800000002</v>
          </cell>
        </row>
        <row r="2401">
          <cell r="L2401">
            <v>32.835616440000003</v>
          </cell>
          <cell r="M2401">
            <v>4.70568455</v>
          </cell>
        </row>
        <row r="2402">
          <cell r="L2402">
            <v>32.849315070000003</v>
          </cell>
          <cell r="M2402">
            <v>4.7058579299999996</v>
          </cell>
        </row>
        <row r="2403">
          <cell r="L2403">
            <v>32.863013700000003</v>
          </cell>
          <cell r="M2403">
            <v>4.7060313200000001</v>
          </cell>
        </row>
        <row r="2404">
          <cell r="L2404">
            <v>32.876712329999997</v>
          </cell>
          <cell r="M2404">
            <v>4.7062047400000004</v>
          </cell>
        </row>
        <row r="2405">
          <cell r="L2405">
            <v>32.890410959999997</v>
          </cell>
          <cell r="M2405">
            <v>4.7063782200000004</v>
          </cell>
        </row>
        <row r="2406">
          <cell r="L2406">
            <v>32.904109589999997</v>
          </cell>
          <cell r="M2406">
            <v>4.7065517699999999</v>
          </cell>
        </row>
        <row r="2407">
          <cell r="L2407">
            <v>32.917808219999998</v>
          </cell>
          <cell r="M2407">
            <v>4.7067253899999999</v>
          </cell>
        </row>
        <row r="2408">
          <cell r="L2408">
            <v>32.931506849999998</v>
          </cell>
          <cell r="M2408">
            <v>4.7068991200000001</v>
          </cell>
        </row>
        <row r="2409">
          <cell r="L2409">
            <v>32.945205479999998</v>
          </cell>
          <cell r="M2409">
            <v>4.7070729699999996</v>
          </cell>
        </row>
        <row r="2410">
          <cell r="L2410">
            <v>32.958904109999999</v>
          </cell>
          <cell r="M2410">
            <v>4.70724695</v>
          </cell>
        </row>
        <row r="2411">
          <cell r="L2411">
            <v>32.972602739999999</v>
          </cell>
          <cell r="M2411">
            <v>4.7074210799999996</v>
          </cell>
        </row>
        <row r="2412">
          <cell r="L2412">
            <v>32.98630137</v>
          </cell>
          <cell r="M2412">
            <v>4.7075953699999999</v>
          </cell>
        </row>
        <row r="2413">
          <cell r="L2413">
            <v>33</v>
          </cell>
          <cell r="M2413">
            <v>4.70776985</v>
          </cell>
        </row>
        <row r="2414">
          <cell r="L2414">
            <v>33.01369863</v>
          </cell>
          <cell r="M2414">
            <v>4.7079442800000004</v>
          </cell>
        </row>
        <row r="2415">
          <cell r="L2415">
            <v>33.027397260000001</v>
          </cell>
          <cell r="M2415">
            <v>4.70811841</v>
          </cell>
        </row>
        <row r="2416">
          <cell r="L2416">
            <v>33.041095890000001</v>
          </cell>
          <cell r="M2416">
            <v>4.7082922600000003</v>
          </cell>
        </row>
        <row r="2417">
          <cell r="L2417">
            <v>33.054794520000002</v>
          </cell>
          <cell r="M2417">
            <v>4.7084658399999997</v>
          </cell>
        </row>
        <row r="2418">
          <cell r="L2418">
            <v>33.068493150000002</v>
          </cell>
          <cell r="M2418">
            <v>4.7086391699999997</v>
          </cell>
        </row>
        <row r="2419">
          <cell r="L2419">
            <v>33.082191780000002</v>
          </cell>
          <cell r="M2419">
            <v>4.7088122500000003</v>
          </cell>
        </row>
        <row r="2420">
          <cell r="L2420">
            <v>33.095890410000003</v>
          </cell>
          <cell r="M2420">
            <v>4.7089850999999996</v>
          </cell>
        </row>
        <row r="2421">
          <cell r="L2421">
            <v>33.109589040000003</v>
          </cell>
          <cell r="M2421">
            <v>4.7091577300000003</v>
          </cell>
        </row>
        <row r="2422">
          <cell r="L2422">
            <v>33.123287670000003</v>
          </cell>
          <cell r="M2422">
            <v>4.7093301500000004</v>
          </cell>
        </row>
        <row r="2423">
          <cell r="L2423">
            <v>33.136986299999997</v>
          </cell>
          <cell r="M2423">
            <v>4.70950237</v>
          </cell>
        </row>
        <row r="2424">
          <cell r="L2424">
            <v>33.150684929999997</v>
          </cell>
          <cell r="M2424">
            <v>4.7096744099999999</v>
          </cell>
        </row>
        <row r="2425">
          <cell r="L2425">
            <v>33.164383559999997</v>
          </cell>
          <cell r="M2425">
            <v>4.7098462699999999</v>
          </cell>
        </row>
        <row r="2426">
          <cell r="L2426">
            <v>33.178082189999998</v>
          </cell>
          <cell r="M2426">
            <v>4.7100179799999999</v>
          </cell>
        </row>
        <row r="2427">
          <cell r="L2427">
            <v>33.191780819999998</v>
          </cell>
          <cell r="M2427">
            <v>4.71018954</v>
          </cell>
        </row>
        <row r="2428">
          <cell r="L2428">
            <v>33.205479449999999</v>
          </cell>
          <cell r="M2428">
            <v>4.71036096</v>
          </cell>
        </row>
        <row r="2429">
          <cell r="L2429">
            <v>33.219178079999999</v>
          </cell>
          <cell r="M2429">
            <v>4.71053225</v>
          </cell>
        </row>
        <row r="2430">
          <cell r="L2430">
            <v>33.232876709999999</v>
          </cell>
          <cell r="M2430">
            <v>4.7107034399999996</v>
          </cell>
        </row>
        <row r="2431">
          <cell r="L2431">
            <v>33.24657534</v>
          </cell>
          <cell r="M2431">
            <v>4.7108745299999999</v>
          </cell>
        </row>
        <row r="2432">
          <cell r="L2432">
            <v>33.26027397</v>
          </cell>
          <cell r="M2432">
            <v>4.7110455199999999</v>
          </cell>
        </row>
        <row r="2433">
          <cell r="L2433">
            <v>33.2739726</v>
          </cell>
          <cell r="M2433">
            <v>4.7112164500000002</v>
          </cell>
        </row>
        <row r="2434">
          <cell r="L2434">
            <v>33.287671230000001</v>
          </cell>
          <cell r="M2434">
            <v>4.7113873000000002</v>
          </cell>
        </row>
        <row r="2435">
          <cell r="L2435">
            <v>33.301369860000001</v>
          </cell>
          <cell r="M2435">
            <v>4.7115581100000004</v>
          </cell>
        </row>
        <row r="2436">
          <cell r="L2436">
            <v>33.315068490000002</v>
          </cell>
          <cell r="M2436">
            <v>4.7117288799999999</v>
          </cell>
        </row>
        <row r="2437">
          <cell r="L2437">
            <v>33.328767120000002</v>
          </cell>
          <cell r="M2437">
            <v>4.7118996199999996</v>
          </cell>
        </row>
        <row r="2438">
          <cell r="L2438">
            <v>33.342465750000002</v>
          </cell>
          <cell r="M2438">
            <v>4.7120703400000004</v>
          </cell>
        </row>
        <row r="2439">
          <cell r="L2439">
            <v>33.356164380000003</v>
          </cell>
          <cell r="M2439">
            <v>4.7122410600000002</v>
          </cell>
        </row>
        <row r="2440">
          <cell r="L2440">
            <v>33.369863010000003</v>
          </cell>
          <cell r="M2440">
            <v>4.71241179</v>
          </cell>
        </row>
        <row r="2441">
          <cell r="L2441">
            <v>33.383561640000003</v>
          </cell>
          <cell r="M2441">
            <v>4.7125825399999997</v>
          </cell>
        </row>
        <row r="2442">
          <cell r="L2442">
            <v>33.397260269999997</v>
          </cell>
          <cell r="M2442">
            <v>4.71275333</v>
          </cell>
        </row>
        <row r="2443">
          <cell r="L2443">
            <v>33.410958899999997</v>
          </cell>
          <cell r="M2443">
            <v>4.71292416</v>
          </cell>
        </row>
        <row r="2444">
          <cell r="L2444">
            <v>33.424657529999998</v>
          </cell>
          <cell r="M2444">
            <v>4.7130950399999998</v>
          </cell>
        </row>
        <row r="2445">
          <cell r="L2445">
            <v>33.438356159999998</v>
          </cell>
          <cell r="M2445">
            <v>4.713266</v>
          </cell>
        </row>
        <row r="2446">
          <cell r="L2446">
            <v>33.452054789999998</v>
          </cell>
          <cell r="M2446">
            <v>4.7134370299999997</v>
          </cell>
        </row>
        <row r="2447">
          <cell r="L2447">
            <v>33.465753419999999</v>
          </cell>
          <cell r="M2447">
            <v>4.7136081599999997</v>
          </cell>
        </row>
        <row r="2448">
          <cell r="L2448">
            <v>33.479452049999999</v>
          </cell>
          <cell r="M2448">
            <v>4.7137794</v>
          </cell>
        </row>
        <row r="2449">
          <cell r="L2449">
            <v>33.493150679999999</v>
          </cell>
          <cell r="M2449">
            <v>4.7139507500000004</v>
          </cell>
        </row>
        <row r="2450">
          <cell r="L2450">
            <v>33.506849320000001</v>
          </cell>
          <cell r="M2450">
            <v>4.7141221900000003</v>
          </cell>
        </row>
        <row r="2451">
          <cell r="L2451">
            <v>33.520547950000001</v>
          </cell>
          <cell r="M2451">
            <v>4.7142934800000003</v>
          </cell>
        </row>
        <row r="2452">
          <cell r="L2452">
            <v>33.534246580000001</v>
          </cell>
          <cell r="M2452">
            <v>4.7144645900000004</v>
          </cell>
        </row>
        <row r="2453">
          <cell r="L2453">
            <v>33.547945210000002</v>
          </cell>
          <cell r="M2453">
            <v>4.7146355299999998</v>
          </cell>
        </row>
        <row r="2454">
          <cell r="L2454">
            <v>33.561643840000002</v>
          </cell>
          <cell r="M2454">
            <v>4.7148063000000002</v>
          </cell>
        </row>
        <row r="2455">
          <cell r="L2455">
            <v>33.575342470000002</v>
          </cell>
          <cell r="M2455">
            <v>4.7149769199999998</v>
          </cell>
        </row>
        <row r="2456">
          <cell r="L2456">
            <v>33.589041100000003</v>
          </cell>
          <cell r="M2456">
            <v>4.7151473800000003</v>
          </cell>
        </row>
        <row r="2457">
          <cell r="L2457">
            <v>33.602739730000003</v>
          </cell>
          <cell r="M2457">
            <v>4.71531769</v>
          </cell>
        </row>
        <row r="2458">
          <cell r="L2458">
            <v>33.616438359999997</v>
          </cell>
          <cell r="M2458">
            <v>4.7154878800000004</v>
          </cell>
        </row>
        <row r="2459">
          <cell r="L2459">
            <v>33.630136989999997</v>
          </cell>
          <cell r="M2459">
            <v>4.7156579299999999</v>
          </cell>
        </row>
        <row r="2460">
          <cell r="L2460">
            <v>33.643835619999997</v>
          </cell>
          <cell r="M2460">
            <v>4.7158278600000001</v>
          </cell>
        </row>
        <row r="2461">
          <cell r="L2461">
            <v>33.657534249999998</v>
          </cell>
          <cell r="M2461">
            <v>4.7159976700000001</v>
          </cell>
        </row>
        <row r="2462">
          <cell r="L2462">
            <v>33.671232879999998</v>
          </cell>
          <cell r="M2462">
            <v>4.7161673799999999</v>
          </cell>
        </row>
        <row r="2463">
          <cell r="L2463">
            <v>33.684931509999998</v>
          </cell>
          <cell r="M2463">
            <v>4.7163369800000003</v>
          </cell>
        </row>
        <row r="2464">
          <cell r="L2464">
            <v>33.698630139999999</v>
          </cell>
          <cell r="M2464">
            <v>4.7165065000000004</v>
          </cell>
        </row>
        <row r="2465">
          <cell r="L2465">
            <v>33.712328769999999</v>
          </cell>
          <cell r="M2465">
            <v>4.7166759300000001</v>
          </cell>
        </row>
        <row r="2466">
          <cell r="L2466">
            <v>33.7260274</v>
          </cell>
          <cell r="M2466">
            <v>4.7168452800000003</v>
          </cell>
        </row>
        <row r="2467">
          <cell r="L2467">
            <v>33.73972603</v>
          </cell>
          <cell r="M2467">
            <v>4.71701456</v>
          </cell>
        </row>
        <row r="2468">
          <cell r="L2468">
            <v>33.75342466</v>
          </cell>
          <cell r="M2468">
            <v>4.71718378</v>
          </cell>
        </row>
        <row r="2469">
          <cell r="L2469">
            <v>33.767123290000001</v>
          </cell>
          <cell r="M2469">
            <v>4.7173529399999996</v>
          </cell>
        </row>
        <row r="2470">
          <cell r="L2470">
            <v>33.780821920000001</v>
          </cell>
          <cell r="M2470">
            <v>4.7175220500000004</v>
          </cell>
        </row>
        <row r="2471">
          <cell r="L2471">
            <v>33.794520550000001</v>
          </cell>
          <cell r="M2471">
            <v>4.7176911199999996</v>
          </cell>
        </row>
        <row r="2472">
          <cell r="L2472">
            <v>33.808219180000002</v>
          </cell>
          <cell r="M2472">
            <v>4.7178601599999999</v>
          </cell>
        </row>
        <row r="2473">
          <cell r="L2473">
            <v>33.821917810000002</v>
          </cell>
          <cell r="M2473">
            <v>4.7180291700000003</v>
          </cell>
        </row>
        <row r="2474">
          <cell r="L2474">
            <v>33.835616440000003</v>
          </cell>
          <cell r="M2474">
            <v>4.71819816</v>
          </cell>
        </row>
        <row r="2475">
          <cell r="L2475">
            <v>33.849315070000003</v>
          </cell>
          <cell r="M2475">
            <v>4.7183671399999998</v>
          </cell>
        </row>
        <row r="2476">
          <cell r="L2476">
            <v>33.863013700000003</v>
          </cell>
          <cell r="M2476">
            <v>4.7185361099999996</v>
          </cell>
        </row>
        <row r="2477">
          <cell r="L2477">
            <v>33.876712329999997</v>
          </cell>
          <cell r="M2477">
            <v>4.7187050900000003</v>
          </cell>
        </row>
        <row r="2478">
          <cell r="L2478">
            <v>33.890410959999997</v>
          </cell>
          <cell r="M2478">
            <v>4.71887408</v>
          </cell>
        </row>
        <row r="2479">
          <cell r="L2479">
            <v>33.904109589999997</v>
          </cell>
          <cell r="M2479">
            <v>4.7190430799999996</v>
          </cell>
        </row>
        <row r="2480">
          <cell r="L2480">
            <v>33.917808219999998</v>
          </cell>
          <cell r="M2480">
            <v>4.71921211</v>
          </cell>
        </row>
        <row r="2481">
          <cell r="L2481">
            <v>33.931506849999998</v>
          </cell>
          <cell r="M2481">
            <v>4.7193811700000001</v>
          </cell>
        </row>
        <row r="2482">
          <cell r="L2482">
            <v>33.945205479999998</v>
          </cell>
          <cell r="M2482">
            <v>4.71955028</v>
          </cell>
        </row>
        <row r="2483">
          <cell r="L2483">
            <v>33.958904109999999</v>
          </cell>
          <cell r="M2483">
            <v>4.7197194199999997</v>
          </cell>
        </row>
        <row r="2484">
          <cell r="L2484">
            <v>33.972602739999999</v>
          </cell>
          <cell r="M2484">
            <v>4.7198886299999998</v>
          </cell>
        </row>
        <row r="2485">
          <cell r="L2485">
            <v>33.98630137</v>
          </cell>
          <cell r="M2485">
            <v>4.7200578899999996</v>
          </cell>
        </row>
        <row r="2486">
          <cell r="L2486">
            <v>34</v>
          </cell>
          <cell r="M2486">
            <v>4.7202272199999999</v>
          </cell>
        </row>
        <row r="2487">
          <cell r="L2487">
            <v>34.01369863</v>
          </cell>
          <cell r="M2487">
            <v>4.7203965600000002</v>
          </cell>
        </row>
        <row r="2488">
          <cell r="L2488">
            <v>34.027397260000001</v>
          </cell>
          <cell r="M2488">
            <v>4.7205658100000001</v>
          </cell>
        </row>
        <row r="2489">
          <cell r="L2489">
            <v>34.041095890000001</v>
          </cell>
          <cell r="M2489">
            <v>4.7207349900000004</v>
          </cell>
        </row>
        <row r="2490">
          <cell r="L2490">
            <v>34.054794520000002</v>
          </cell>
          <cell r="M2490">
            <v>4.7209041000000003</v>
          </cell>
        </row>
        <row r="2491">
          <cell r="L2491">
            <v>34.068493150000002</v>
          </cell>
          <cell r="M2491">
            <v>4.7210731299999997</v>
          </cell>
        </row>
        <row r="2492">
          <cell r="L2492">
            <v>34.082191780000002</v>
          </cell>
          <cell r="M2492">
            <v>4.7212421000000004</v>
          </cell>
        </row>
        <row r="2493">
          <cell r="L2493">
            <v>34.095890410000003</v>
          </cell>
          <cell r="M2493">
            <v>4.7214109999999998</v>
          </cell>
        </row>
        <row r="2494">
          <cell r="L2494">
            <v>34.109589040000003</v>
          </cell>
          <cell r="M2494">
            <v>4.7215798400000004</v>
          </cell>
        </row>
        <row r="2495">
          <cell r="L2495">
            <v>34.123287670000003</v>
          </cell>
          <cell r="M2495">
            <v>4.7217486199999996</v>
          </cell>
        </row>
        <row r="2496">
          <cell r="L2496">
            <v>34.136986299999997</v>
          </cell>
          <cell r="M2496">
            <v>4.7219173400000001</v>
          </cell>
        </row>
        <row r="2497">
          <cell r="L2497">
            <v>34.150684929999997</v>
          </cell>
          <cell r="M2497">
            <v>4.722086</v>
          </cell>
        </row>
        <row r="2498">
          <cell r="L2498">
            <v>34.164383559999997</v>
          </cell>
          <cell r="M2498">
            <v>4.7222546100000002</v>
          </cell>
        </row>
        <row r="2499">
          <cell r="L2499">
            <v>34.178082189999998</v>
          </cell>
          <cell r="M2499">
            <v>4.7224231699999999</v>
          </cell>
        </row>
        <row r="2500">
          <cell r="L2500">
            <v>34.191780819999998</v>
          </cell>
          <cell r="M2500">
            <v>4.7225916699999999</v>
          </cell>
        </row>
        <row r="2501">
          <cell r="L2501">
            <v>34.205479449999999</v>
          </cell>
          <cell r="M2501">
            <v>4.7227601300000002</v>
          </cell>
        </row>
        <row r="2502">
          <cell r="L2502">
            <v>34.219178079999999</v>
          </cell>
          <cell r="M2502">
            <v>4.7229285399999998</v>
          </cell>
        </row>
        <row r="2503">
          <cell r="L2503">
            <v>34.232876709999999</v>
          </cell>
          <cell r="M2503">
            <v>4.7230969099999998</v>
          </cell>
        </row>
        <row r="2504">
          <cell r="L2504">
            <v>34.24657534</v>
          </cell>
          <cell r="M2504">
            <v>4.7232652399999999</v>
          </cell>
        </row>
        <row r="2505">
          <cell r="L2505">
            <v>34.26027397</v>
          </cell>
          <cell r="M2505">
            <v>4.7234335300000003</v>
          </cell>
        </row>
        <row r="2506">
          <cell r="L2506">
            <v>34.2739726</v>
          </cell>
          <cell r="M2506">
            <v>4.7236017800000001</v>
          </cell>
        </row>
        <row r="2507">
          <cell r="L2507">
            <v>34.287671230000001</v>
          </cell>
          <cell r="M2507">
            <v>4.72377</v>
          </cell>
        </row>
        <row r="2508">
          <cell r="L2508">
            <v>34.301369860000001</v>
          </cell>
          <cell r="M2508">
            <v>4.7239381900000001</v>
          </cell>
        </row>
        <row r="2509">
          <cell r="L2509">
            <v>34.315068490000002</v>
          </cell>
          <cell r="M2509">
            <v>4.7241063399999996</v>
          </cell>
        </row>
        <row r="2510">
          <cell r="L2510">
            <v>34.328767120000002</v>
          </cell>
          <cell r="M2510">
            <v>4.7242744700000001</v>
          </cell>
        </row>
        <row r="2511">
          <cell r="L2511">
            <v>34.342465750000002</v>
          </cell>
          <cell r="M2511">
            <v>4.7244425699999999</v>
          </cell>
        </row>
        <row r="2512">
          <cell r="L2512">
            <v>34.356164380000003</v>
          </cell>
          <cell r="M2512">
            <v>4.7246106599999997</v>
          </cell>
        </row>
        <row r="2513">
          <cell r="L2513">
            <v>34.369863010000003</v>
          </cell>
          <cell r="M2513">
            <v>4.7247787199999998</v>
          </cell>
        </row>
        <row r="2514">
          <cell r="L2514">
            <v>34.383561640000003</v>
          </cell>
          <cell r="M2514">
            <v>4.7249467599999999</v>
          </cell>
        </row>
        <row r="2515">
          <cell r="L2515">
            <v>34.397260269999997</v>
          </cell>
          <cell r="M2515">
            <v>4.7251147800000002</v>
          </cell>
        </row>
        <row r="2516">
          <cell r="L2516">
            <v>34.410958899999997</v>
          </cell>
          <cell r="M2516">
            <v>4.7252827899999996</v>
          </cell>
        </row>
        <row r="2517">
          <cell r="L2517">
            <v>34.424657529999998</v>
          </cell>
          <cell r="M2517">
            <v>4.72545079</v>
          </cell>
        </row>
        <row r="2518">
          <cell r="L2518">
            <v>34.438356159999998</v>
          </cell>
          <cell r="M2518">
            <v>4.7256187799999996</v>
          </cell>
        </row>
        <row r="2519">
          <cell r="L2519">
            <v>34.452054789999998</v>
          </cell>
          <cell r="M2519">
            <v>4.7257867600000001</v>
          </cell>
        </row>
        <row r="2520">
          <cell r="L2520">
            <v>34.465753419999999</v>
          </cell>
          <cell r="M2520">
            <v>4.7259547399999997</v>
          </cell>
        </row>
        <row r="2521">
          <cell r="L2521">
            <v>34.479452049999999</v>
          </cell>
          <cell r="M2521">
            <v>4.7261227100000003</v>
          </cell>
        </row>
        <row r="2522">
          <cell r="L2522">
            <v>34.493150679999999</v>
          </cell>
          <cell r="M2522">
            <v>4.72629068</v>
          </cell>
        </row>
        <row r="2523">
          <cell r="L2523">
            <v>34.506849320000001</v>
          </cell>
          <cell r="M2523">
            <v>4.7264586599999996</v>
          </cell>
        </row>
        <row r="2524">
          <cell r="L2524">
            <v>34.520547950000001</v>
          </cell>
          <cell r="M2524">
            <v>4.7266266799999999</v>
          </cell>
        </row>
        <row r="2525">
          <cell r="L2525">
            <v>34.534246580000001</v>
          </cell>
          <cell r="M2525">
            <v>4.7267947499999998</v>
          </cell>
        </row>
        <row r="2526">
          <cell r="L2526">
            <v>34.547945210000002</v>
          </cell>
          <cell r="M2526">
            <v>4.7269628499999996</v>
          </cell>
        </row>
        <row r="2527">
          <cell r="L2527">
            <v>34.561643840000002</v>
          </cell>
          <cell r="M2527">
            <v>4.72713099</v>
          </cell>
        </row>
        <row r="2528">
          <cell r="L2528">
            <v>34.575342470000002</v>
          </cell>
          <cell r="M2528">
            <v>4.7272991600000003</v>
          </cell>
        </row>
        <row r="2529">
          <cell r="L2529">
            <v>34.589041100000003</v>
          </cell>
          <cell r="M2529">
            <v>4.7274673700000003</v>
          </cell>
        </row>
        <row r="2530">
          <cell r="L2530">
            <v>34.602739730000003</v>
          </cell>
          <cell r="M2530">
            <v>4.7276356000000002</v>
          </cell>
        </row>
        <row r="2531">
          <cell r="L2531">
            <v>34.616438359999997</v>
          </cell>
          <cell r="M2531">
            <v>4.7278038599999999</v>
          </cell>
        </row>
        <row r="2532">
          <cell r="L2532">
            <v>34.630136989999997</v>
          </cell>
          <cell r="M2532">
            <v>4.7279721400000003</v>
          </cell>
        </row>
        <row r="2533">
          <cell r="L2533">
            <v>34.643835619999997</v>
          </cell>
          <cell r="M2533">
            <v>4.7281404399999998</v>
          </cell>
        </row>
        <row r="2534">
          <cell r="L2534">
            <v>34.657534249999998</v>
          </cell>
          <cell r="M2534">
            <v>4.7283087500000001</v>
          </cell>
        </row>
        <row r="2535">
          <cell r="L2535">
            <v>34.671232879999998</v>
          </cell>
          <cell r="M2535">
            <v>4.7284770800000002</v>
          </cell>
        </row>
        <row r="2536">
          <cell r="L2536">
            <v>34.684931509999998</v>
          </cell>
          <cell r="M2536">
            <v>4.7286454100000004</v>
          </cell>
        </row>
        <row r="2537">
          <cell r="L2537">
            <v>34.698630139999999</v>
          </cell>
          <cell r="M2537">
            <v>4.7288137600000004</v>
          </cell>
        </row>
        <row r="2538">
          <cell r="L2538">
            <v>34.712328769999999</v>
          </cell>
          <cell r="M2538">
            <v>4.7289820999999996</v>
          </cell>
        </row>
        <row r="2539">
          <cell r="L2539">
            <v>34.7260274</v>
          </cell>
          <cell r="M2539">
            <v>4.7291504499999997</v>
          </cell>
        </row>
        <row r="2540">
          <cell r="L2540">
            <v>34.73972603</v>
          </cell>
          <cell r="M2540">
            <v>4.7293187999999997</v>
          </cell>
        </row>
        <row r="2541">
          <cell r="L2541">
            <v>34.75342466</v>
          </cell>
          <cell r="M2541">
            <v>4.7294871399999998</v>
          </cell>
        </row>
        <row r="2542">
          <cell r="L2542">
            <v>34.767123290000001</v>
          </cell>
          <cell r="M2542">
            <v>4.72965547</v>
          </cell>
        </row>
        <row r="2543">
          <cell r="L2543">
            <v>34.780821920000001</v>
          </cell>
          <cell r="M2543">
            <v>4.7298238000000001</v>
          </cell>
        </row>
        <row r="2544">
          <cell r="L2544">
            <v>34.794520550000001</v>
          </cell>
          <cell r="M2544">
            <v>4.7299920999999996</v>
          </cell>
        </row>
        <row r="2545">
          <cell r="L2545">
            <v>34.808219180000002</v>
          </cell>
          <cell r="M2545">
            <v>4.73016039</v>
          </cell>
        </row>
        <row r="2546">
          <cell r="L2546">
            <v>34.821917810000002</v>
          </cell>
          <cell r="M2546">
            <v>4.7303286599999996</v>
          </cell>
        </row>
        <row r="2547">
          <cell r="L2547">
            <v>34.835616440000003</v>
          </cell>
          <cell r="M2547">
            <v>4.7304969100000003</v>
          </cell>
        </row>
        <row r="2548">
          <cell r="L2548">
            <v>34.849315070000003</v>
          </cell>
          <cell r="M2548">
            <v>4.7306651300000002</v>
          </cell>
        </row>
        <row r="2549">
          <cell r="L2549">
            <v>34.863013700000003</v>
          </cell>
          <cell r="M2549">
            <v>4.7308333200000003</v>
          </cell>
        </row>
        <row r="2550">
          <cell r="L2550">
            <v>34.876712329999997</v>
          </cell>
          <cell r="M2550">
            <v>4.7310014799999998</v>
          </cell>
        </row>
        <row r="2551">
          <cell r="L2551">
            <v>34.890410959999997</v>
          </cell>
          <cell r="M2551">
            <v>4.7311696100000002</v>
          </cell>
        </row>
        <row r="2552">
          <cell r="L2552">
            <v>34.904109589999997</v>
          </cell>
          <cell r="M2552">
            <v>4.7313376900000002</v>
          </cell>
        </row>
        <row r="2553">
          <cell r="L2553">
            <v>34.917808219999998</v>
          </cell>
          <cell r="M2553">
            <v>4.7315057400000002</v>
          </cell>
        </row>
        <row r="2554">
          <cell r="L2554">
            <v>34.931506849999998</v>
          </cell>
          <cell r="M2554">
            <v>4.7316737399999997</v>
          </cell>
        </row>
        <row r="2555">
          <cell r="L2555">
            <v>34.945205479999998</v>
          </cell>
          <cell r="M2555">
            <v>4.7318417000000004</v>
          </cell>
        </row>
        <row r="2556">
          <cell r="L2556">
            <v>34.958904109999999</v>
          </cell>
          <cell r="M2556">
            <v>4.7320095999999996</v>
          </cell>
        </row>
        <row r="2557">
          <cell r="L2557">
            <v>34.972602739999999</v>
          </cell>
          <cell r="M2557">
            <v>4.73217745</v>
          </cell>
        </row>
        <row r="2558">
          <cell r="L2558">
            <v>34.98630137</v>
          </cell>
          <cell r="M2558">
            <v>4.7323452499999998</v>
          </cell>
        </row>
        <row r="2559">
          <cell r="L2559">
            <v>35</v>
          </cell>
          <cell r="M2559">
            <v>4.7325129800000001</v>
          </cell>
        </row>
        <row r="2560">
          <cell r="L2560">
            <v>35.01369863</v>
          </cell>
          <cell r="M2560">
            <v>4.7326807500000001</v>
          </cell>
        </row>
        <row r="2561">
          <cell r="L2561">
            <v>35.027397260000001</v>
          </cell>
          <cell r="M2561">
            <v>4.7328486600000002</v>
          </cell>
        </row>
        <row r="2562">
          <cell r="L2562">
            <v>35.041095890000001</v>
          </cell>
          <cell r="M2562">
            <v>4.7330166900000004</v>
          </cell>
        </row>
        <row r="2563">
          <cell r="L2563">
            <v>35.054794520000002</v>
          </cell>
          <cell r="M2563">
            <v>4.7331848499999998</v>
          </cell>
        </row>
        <row r="2564">
          <cell r="L2564">
            <v>35.068493150000002</v>
          </cell>
          <cell r="M2564">
            <v>4.7333531200000003</v>
          </cell>
        </row>
        <row r="2565">
          <cell r="L2565">
            <v>35.082191780000002</v>
          </cell>
          <cell r="M2565">
            <v>4.7335214900000002</v>
          </cell>
        </row>
        <row r="2566">
          <cell r="L2566">
            <v>35.095890410000003</v>
          </cell>
          <cell r="M2566">
            <v>4.7336899700000004</v>
          </cell>
        </row>
        <row r="2567">
          <cell r="L2567">
            <v>35.109589040000003</v>
          </cell>
          <cell r="M2567">
            <v>4.7338585499999999</v>
          </cell>
        </row>
        <row r="2568">
          <cell r="L2568">
            <v>35.123287670000003</v>
          </cell>
          <cell r="M2568">
            <v>4.7340272199999998</v>
          </cell>
        </row>
        <row r="2569">
          <cell r="L2569">
            <v>35.136986299999997</v>
          </cell>
          <cell r="M2569">
            <v>4.73419597</v>
          </cell>
        </row>
        <row r="2570">
          <cell r="L2570">
            <v>35.150684929999997</v>
          </cell>
          <cell r="M2570">
            <v>4.7343647999999998</v>
          </cell>
        </row>
        <row r="2571">
          <cell r="L2571">
            <v>35.164383559999997</v>
          </cell>
          <cell r="M2571">
            <v>4.7345337000000001</v>
          </cell>
        </row>
        <row r="2572">
          <cell r="L2572">
            <v>35.178082189999998</v>
          </cell>
          <cell r="M2572">
            <v>4.7347026699999999</v>
          </cell>
        </row>
        <row r="2573">
          <cell r="L2573">
            <v>35.191780819999998</v>
          </cell>
          <cell r="M2573">
            <v>4.7348717000000002</v>
          </cell>
        </row>
        <row r="2574">
          <cell r="L2574">
            <v>35.205479449999999</v>
          </cell>
          <cell r="M2574">
            <v>4.7350407800000003</v>
          </cell>
        </row>
        <row r="2575">
          <cell r="L2575">
            <v>35.219178079999999</v>
          </cell>
          <cell r="M2575">
            <v>4.73520992</v>
          </cell>
        </row>
        <row r="2576">
          <cell r="L2576">
            <v>35.232876709999999</v>
          </cell>
          <cell r="M2576">
            <v>4.7353790900000003</v>
          </cell>
        </row>
        <row r="2577">
          <cell r="L2577">
            <v>35.24657534</v>
          </cell>
          <cell r="M2577">
            <v>4.7355482999999996</v>
          </cell>
        </row>
        <row r="2578">
          <cell r="L2578">
            <v>35.26027397</v>
          </cell>
          <cell r="M2578">
            <v>4.7357175500000004</v>
          </cell>
        </row>
        <row r="2579">
          <cell r="L2579">
            <v>35.2739726</v>
          </cell>
          <cell r="M2579">
            <v>4.7358868100000002</v>
          </cell>
        </row>
        <row r="2580">
          <cell r="L2580">
            <v>35.287671230000001</v>
          </cell>
          <cell r="M2580">
            <v>4.7360560999999999</v>
          </cell>
        </row>
        <row r="2581">
          <cell r="L2581">
            <v>35.301369860000001</v>
          </cell>
          <cell r="M2581">
            <v>4.7362254000000004</v>
          </cell>
        </row>
        <row r="2582">
          <cell r="L2582">
            <v>35.315068490000002</v>
          </cell>
          <cell r="M2582">
            <v>4.7363947</v>
          </cell>
        </row>
        <row r="2583">
          <cell r="L2583">
            <v>35.328767120000002</v>
          </cell>
          <cell r="M2583">
            <v>4.7365640000000004</v>
          </cell>
        </row>
        <row r="2584">
          <cell r="L2584">
            <v>35.342465750000002</v>
          </cell>
          <cell r="M2584">
            <v>4.7367333</v>
          </cell>
        </row>
        <row r="2585">
          <cell r="L2585">
            <v>35.356164380000003</v>
          </cell>
          <cell r="M2585">
            <v>4.7369025899999997</v>
          </cell>
        </row>
        <row r="2586">
          <cell r="L2586">
            <v>35.369863010000003</v>
          </cell>
          <cell r="M2586">
            <v>4.7370718600000004</v>
          </cell>
        </row>
        <row r="2587">
          <cell r="L2587">
            <v>35.383561640000003</v>
          </cell>
          <cell r="M2587">
            <v>4.7372411000000003</v>
          </cell>
        </row>
        <row r="2588">
          <cell r="L2588">
            <v>35.397260269999997</v>
          </cell>
          <cell r="M2588">
            <v>4.7374103200000004</v>
          </cell>
        </row>
        <row r="2589">
          <cell r="L2589">
            <v>35.410958899999997</v>
          </cell>
          <cell r="M2589">
            <v>4.7375794999999998</v>
          </cell>
        </row>
        <row r="2590">
          <cell r="L2590">
            <v>35.424657529999998</v>
          </cell>
          <cell r="M2590">
            <v>4.7377486299999996</v>
          </cell>
        </row>
        <row r="2591">
          <cell r="L2591">
            <v>35.438356159999998</v>
          </cell>
          <cell r="M2591">
            <v>4.7379177200000004</v>
          </cell>
        </row>
        <row r="2592">
          <cell r="L2592">
            <v>35.452054789999998</v>
          </cell>
          <cell r="M2592">
            <v>4.7380867599999998</v>
          </cell>
        </row>
        <row r="2593">
          <cell r="L2593">
            <v>35.465753419999999</v>
          </cell>
          <cell r="M2593">
            <v>4.7382557399999996</v>
          </cell>
        </row>
        <row r="2594">
          <cell r="L2594">
            <v>35.479452049999999</v>
          </cell>
          <cell r="M2594">
            <v>4.7384246499999998</v>
          </cell>
        </row>
        <row r="2595">
          <cell r="L2595">
            <v>35.493150679999999</v>
          </cell>
          <cell r="M2595">
            <v>4.7385934799999996</v>
          </cell>
        </row>
        <row r="2596">
          <cell r="L2596">
            <v>35.506849320000001</v>
          </cell>
          <cell r="M2596">
            <v>4.7387622800000004</v>
          </cell>
        </row>
        <row r="2597">
          <cell r="L2597">
            <v>35.520547950000001</v>
          </cell>
          <cell r="M2597">
            <v>4.7389312500000003</v>
          </cell>
        </row>
        <row r="2598">
          <cell r="L2598">
            <v>35.534246580000001</v>
          </cell>
          <cell r="M2598">
            <v>4.7391003999999999</v>
          </cell>
        </row>
        <row r="2599">
          <cell r="L2599">
            <v>35.547945210000002</v>
          </cell>
          <cell r="M2599">
            <v>4.7392697500000001</v>
          </cell>
        </row>
        <row r="2600">
          <cell r="L2600">
            <v>35.561643840000002</v>
          </cell>
          <cell r="M2600">
            <v>4.7394392700000001</v>
          </cell>
        </row>
        <row r="2601">
          <cell r="L2601">
            <v>35.575342470000002</v>
          </cell>
          <cell r="M2601">
            <v>4.73960896</v>
          </cell>
        </row>
        <row r="2602">
          <cell r="L2602">
            <v>35.589041100000003</v>
          </cell>
          <cell r="M2602">
            <v>4.7397788099999998</v>
          </cell>
        </row>
        <row r="2603">
          <cell r="L2603">
            <v>35.602739730000003</v>
          </cell>
          <cell r="M2603">
            <v>4.7399488200000004</v>
          </cell>
        </row>
        <row r="2604">
          <cell r="L2604">
            <v>35.616438359999997</v>
          </cell>
          <cell r="M2604">
            <v>4.7401189700000002</v>
          </cell>
        </row>
        <row r="2605">
          <cell r="L2605">
            <v>35.630136989999997</v>
          </cell>
          <cell r="M2605">
            <v>4.74028925</v>
          </cell>
        </row>
        <row r="2606">
          <cell r="L2606">
            <v>35.643835619999997</v>
          </cell>
          <cell r="M2606">
            <v>4.74045966</v>
          </cell>
        </row>
        <row r="2607">
          <cell r="L2607">
            <v>35.657534249999998</v>
          </cell>
          <cell r="M2607">
            <v>4.7406301800000001</v>
          </cell>
        </row>
        <row r="2608">
          <cell r="L2608">
            <v>35.671232879999998</v>
          </cell>
          <cell r="M2608">
            <v>4.7408008199999996</v>
          </cell>
        </row>
        <row r="2609">
          <cell r="L2609">
            <v>35.684931509999998</v>
          </cell>
          <cell r="M2609">
            <v>4.7409715600000002</v>
          </cell>
        </row>
        <row r="2610">
          <cell r="L2610">
            <v>35.698630139999999</v>
          </cell>
          <cell r="M2610">
            <v>4.7411423900000003</v>
          </cell>
        </row>
        <row r="2611">
          <cell r="L2611">
            <v>35.712328769999999</v>
          </cell>
          <cell r="M2611">
            <v>4.7413132999999998</v>
          </cell>
        </row>
        <row r="2612">
          <cell r="L2612">
            <v>35.7260274</v>
          </cell>
          <cell r="M2612">
            <v>4.7414842799999999</v>
          </cell>
        </row>
        <row r="2613">
          <cell r="L2613">
            <v>35.73972603</v>
          </cell>
          <cell r="M2613">
            <v>4.7416553400000003</v>
          </cell>
        </row>
        <row r="2614">
          <cell r="L2614">
            <v>35.75342466</v>
          </cell>
          <cell r="M2614">
            <v>4.7418264499999996</v>
          </cell>
        </row>
        <row r="2615">
          <cell r="L2615">
            <v>35.767123290000001</v>
          </cell>
          <cell r="M2615">
            <v>4.7419976100000003</v>
          </cell>
        </row>
        <row r="2616">
          <cell r="L2616">
            <v>35.780821920000001</v>
          </cell>
          <cell r="M2616">
            <v>4.7421688099999999</v>
          </cell>
        </row>
        <row r="2617">
          <cell r="L2617">
            <v>35.794520550000001</v>
          </cell>
          <cell r="M2617">
            <v>4.7423400400000002</v>
          </cell>
        </row>
        <row r="2618">
          <cell r="L2618">
            <v>35.808219180000002</v>
          </cell>
          <cell r="M2618">
            <v>4.7425113000000003</v>
          </cell>
        </row>
        <row r="2619">
          <cell r="L2619">
            <v>35.821917810000002</v>
          </cell>
          <cell r="M2619">
            <v>4.7426825700000004</v>
          </cell>
        </row>
        <row r="2620">
          <cell r="L2620">
            <v>35.835616440000003</v>
          </cell>
          <cell r="M2620">
            <v>4.7428538500000004</v>
          </cell>
        </row>
        <row r="2621">
          <cell r="L2621">
            <v>35.849315070000003</v>
          </cell>
          <cell r="M2621">
            <v>4.7430251300000004</v>
          </cell>
        </row>
        <row r="2622">
          <cell r="L2622">
            <v>35.863013700000003</v>
          </cell>
          <cell r="M2622">
            <v>4.7431963899999996</v>
          </cell>
        </row>
        <row r="2623">
          <cell r="L2623">
            <v>35.876712329999997</v>
          </cell>
          <cell r="M2623">
            <v>4.7433676399999998</v>
          </cell>
        </row>
        <row r="2624">
          <cell r="L2624">
            <v>35.890410959999997</v>
          </cell>
          <cell r="M2624">
            <v>4.7435388500000002</v>
          </cell>
        </row>
        <row r="2625">
          <cell r="L2625">
            <v>35.904109589999997</v>
          </cell>
          <cell r="M2625">
            <v>4.7437100299999999</v>
          </cell>
        </row>
        <row r="2626">
          <cell r="L2626">
            <v>35.917808219999998</v>
          </cell>
          <cell r="M2626">
            <v>4.7438811699999999</v>
          </cell>
        </row>
        <row r="2627">
          <cell r="L2627">
            <v>35.931506849999998</v>
          </cell>
          <cell r="M2627">
            <v>4.7440522500000002</v>
          </cell>
        </row>
        <row r="2628">
          <cell r="L2628">
            <v>35.945205479999998</v>
          </cell>
          <cell r="M2628">
            <v>4.74422327</v>
          </cell>
        </row>
        <row r="2629">
          <cell r="L2629">
            <v>35.958904109999999</v>
          </cell>
          <cell r="M2629">
            <v>4.7443942200000002</v>
          </cell>
        </row>
        <row r="2630">
          <cell r="L2630">
            <v>35.972602739999999</v>
          </cell>
          <cell r="M2630">
            <v>4.7445651</v>
          </cell>
        </row>
        <row r="2631">
          <cell r="L2631">
            <v>35.98630137</v>
          </cell>
          <cell r="M2631">
            <v>4.7447358800000003</v>
          </cell>
        </row>
        <row r="2632">
          <cell r="L2632">
            <v>36</v>
          </cell>
          <cell r="M2632">
            <v>4.7449065600000004</v>
          </cell>
        </row>
        <row r="2633">
          <cell r="L2633">
            <v>36.01369863</v>
          </cell>
          <cell r="M2633">
            <v>4.7450773499999999</v>
          </cell>
        </row>
        <row r="2634">
          <cell r="L2634">
            <v>36.027397260000001</v>
          </cell>
          <cell r="M2634">
            <v>4.7452484400000001</v>
          </cell>
        </row>
        <row r="2635">
          <cell r="L2635">
            <v>36.041095890000001</v>
          </cell>
          <cell r="M2635">
            <v>4.7454197999999996</v>
          </cell>
        </row>
        <row r="2636">
          <cell r="L2636">
            <v>36.054794520000002</v>
          </cell>
          <cell r="M2636">
            <v>4.7455914400000001</v>
          </cell>
        </row>
        <row r="2637">
          <cell r="L2637">
            <v>36.068493150000002</v>
          </cell>
          <cell r="M2637">
            <v>4.7457633399999999</v>
          </cell>
        </row>
        <row r="2638">
          <cell r="L2638">
            <v>36.082191780000002</v>
          </cell>
          <cell r="M2638">
            <v>4.74593548</v>
          </cell>
        </row>
        <row r="2639">
          <cell r="L2639">
            <v>36.095890410000003</v>
          </cell>
          <cell r="M2639">
            <v>4.7461078600000004</v>
          </cell>
        </row>
        <row r="2640">
          <cell r="L2640">
            <v>36.109589040000003</v>
          </cell>
          <cell r="M2640">
            <v>4.7462804600000004</v>
          </cell>
        </row>
        <row r="2641">
          <cell r="L2641">
            <v>36.123287670000003</v>
          </cell>
          <cell r="M2641">
            <v>4.74645326</v>
          </cell>
        </row>
        <row r="2642">
          <cell r="L2642">
            <v>36.136986299999997</v>
          </cell>
          <cell r="M2642">
            <v>4.7466262600000002</v>
          </cell>
        </row>
        <row r="2643">
          <cell r="L2643">
            <v>36.150684929999997</v>
          </cell>
          <cell r="M2643">
            <v>4.7467994400000002</v>
          </cell>
        </row>
        <row r="2644">
          <cell r="L2644">
            <v>36.164383559999997</v>
          </cell>
          <cell r="M2644">
            <v>4.7469727900000001</v>
          </cell>
        </row>
        <row r="2645">
          <cell r="L2645">
            <v>36.178082189999998</v>
          </cell>
          <cell r="M2645">
            <v>4.7471462899999999</v>
          </cell>
        </row>
        <row r="2646">
          <cell r="L2646">
            <v>36.191780819999998</v>
          </cell>
          <cell r="M2646">
            <v>4.7473199399999997</v>
          </cell>
        </row>
        <row r="2647">
          <cell r="L2647">
            <v>36.205479449999999</v>
          </cell>
          <cell r="M2647">
            <v>4.7474937300000004</v>
          </cell>
        </row>
        <row r="2648">
          <cell r="L2648">
            <v>36.219178079999999</v>
          </cell>
          <cell r="M2648">
            <v>4.7476676299999996</v>
          </cell>
        </row>
        <row r="2649">
          <cell r="L2649">
            <v>36.232876709999999</v>
          </cell>
          <cell r="M2649">
            <v>4.7478416299999999</v>
          </cell>
        </row>
        <row r="2650">
          <cell r="L2650">
            <v>36.24657534</v>
          </cell>
          <cell r="M2650">
            <v>4.7480157299999997</v>
          </cell>
        </row>
        <row r="2651">
          <cell r="L2651">
            <v>36.26027397</v>
          </cell>
          <cell r="M2651">
            <v>4.7481899099999998</v>
          </cell>
        </row>
        <row r="2652">
          <cell r="L2652">
            <v>36.2739726</v>
          </cell>
          <cell r="M2652">
            <v>4.7483641600000004</v>
          </cell>
        </row>
        <row r="2653">
          <cell r="L2653">
            <v>36.287671230000001</v>
          </cell>
          <cell r="M2653">
            <v>4.7485384599999998</v>
          </cell>
        </row>
        <row r="2654">
          <cell r="L2654">
            <v>36.301369860000001</v>
          </cell>
          <cell r="M2654">
            <v>4.7487128099999998</v>
          </cell>
        </row>
        <row r="2655">
          <cell r="L2655">
            <v>36.315068490000002</v>
          </cell>
          <cell r="M2655">
            <v>4.7488871799999997</v>
          </cell>
        </row>
        <row r="2656">
          <cell r="L2656">
            <v>36.328767120000002</v>
          </cell>
          <cell r="M2656">
            <v>4.7490615700000003</v>
          </cell>
        </row>
        <row r="2657">
          <cell r="L2657">
            <v>36.342465750000002</v>
          </cell>
          <cell r="M2657">
            <v>4.74923597</v>
          </cell>
        </row>
        <row r="2658">
          <cell r="L2658">
            <v>36.356164380000003</v>
          </cell>
          <cell r="M2658">
            <v>4.7494103599999997</v>
          </cell>
        </row>
        <row r="2659">
          <cell r="L2659">
            <v>36.369863010000003</v>
          </cell>
          <cell r="M2659">
            <v>4.7495847199999996</v>
          </cell>
        </row>
        <row r="2660">
          <cell r="L2660">
            <v>36.383561640000003</v>
          </cell>
          <cell r="M2660">
            <v>4.7497590499999998</v>
          </cell>
        </row>
        <row r="2661">
          <cell r="L2661">
            <v>36.397260269999997</v>
          </cell>
          <cell r="M2661">
            <v>4.7499333400000001</v>
          </cell>
        </row>
        <row r="2662">
          <cell r="L2662">
            <v>36.410958899999997</v>
          </cell>
          <cell r="M2662">
            <v>4.75010756</v>
          </cell>
        </row>
        <row r="2663">
          <cell r="L2663">
            <v>36.424657529999998</v>
          </cell>
          <cell r="M2663">
            <v>4.7502817200000003</v>
          </cell>
        </row>
        <row r="2664">
          <cell r="L2664">
            <v>36.438356159999998</v>
          </cell>
          <cell r="M2664">
            <v>4.7504557900000002</v>
          </cell>
        </row>
        <row r="2665">
          <cell r="L2665">
            <v>36.452054789999998</v>
          </cell>
          <cell r="M2665">
            <v>4.7506297599999998</v>
          </cell>
        </row>
        <row r="2666">
          <cell r="L2666">
            <v>36.465753419999999</v>
          </cell>
          <cell r="M2666">
            <v>4.7508036200000001</v>
          </cell>
        </row>
        <row r="2667">
          <cell r="L2667">
            <v>36.479452049999999</v>
          </cell>
          <cell r="M2667">
            <v>4.7509773600000003</v>
          </cell>
        </row>
        <row r="2668">
          <cell r="L2668">
            <v>36.493150679999999</v>
          </cell>
          <cell r="M2668">
            <v>4.7511509600000004</v>
          </cell>
        </row>
        <row r="2669">
          <cell r="L2669">
            <v>36.506849320000001</v>
          </cell>
          <cell r="M2669">
            <v>4.75132449</v>
          </cell>
        </row>
        <row r="2670">
          <cell r="L2670">
            <v>36.520547950000001</v>
          </cell>
          <cell r="M2670">
            <v>4.7514983600000003</v>
          </cell>
        </row>
        <row r="2671">
          <cell r="L2671">
            <v>36.534246580000001</v>
          </cell>
          <cell r="M2671">
            <v>4.7516726399999998</v>
          </cell>
        </row>
        <row r="2672">
          <cell r="L2672">
            <v>36.547945210000002</v>
          </cell>
          <cell r="M2672">
            <v>4.7518472899999997</v>
          </cell>
        </row>
        <row r="2673">
          <cell r="L2673">
            <v>36.561643840000002</v>
          </cell>
          <cell r="M2673">
            <v>4.75202232</v>
          </cell>
        </row>
        <row r="2674">
          <cell r="L2674">
            <v>36.575342470000002</v>
          </cell>
          <cell r="M2674">
            <v>4.75219769</v>
          </cell>
        </row>
        <row r="2675">
          <cell r="L2675">
            <v>36.589041100000003</v>
          </cell>
          <cell r="M2675">
            <v>4.7523733999999997</v>
          </cell>
        </row>
        <row r="2676">
          <cell r="L2676">
            <v>36.602739730000003</v>
          </cell>
          <cell r="M2676">
            <v>4.7525494100000003</v>
          </cell>
        </row>
        <row r="2677">
          <cell r="L2677">
            <v>36.616438359999997</v>
          </cell>
          <cell r="M2677">
            <v>4.7527257299999999</v>
          </cell>
        </row>
        <row r="2678">
          <cell r="L2678">
            <v>36.630136989999997</v>
          </cell>
          <cell r="M2678">
            <v>4.7529023199999996</v>
          </cell>
        </row>
        <row r="2679">
          <cell r="L2679">
            <v>36.643835619999997</v>
          </cell>
          <cell r="M2679">
            <v>4.7530791700000004</v>
          </cell>
        </row>
        <row r="2680">
          <cell r="L2680">
            <v>36.657534249999998</v>
          </cell>
          <cell r="M2680">
            <v>4.7532562699999996</v>
          </cell>
        </row>
        <row r="2681">
          <cell r="L2681">
            <v>36.671232879999998</v>
          </cell>
          <cell r="M2681">
            <v>4.7534335900000002</v>
          </cell>
        </row>
        <row r="2682">
          <cell r="L2682">
            <v>36.684931509999998</v>
          </cell>
          <cell r="M2682">
            <v>4.7536111200000004</v>
          </cell>
        </row>
        <row r="2683">
          <cell r="L2683">
            <v>36.698630139999999</v>
          </cell>
          <cell r="M2683">
            <v>4.7537888400000003</v>
          </cell>
        </row>
        <row r="2684">
          <cell r="L2684">
            <v>36.712328769999999</v>
          </cell>
          <cell r="M2684">
            <v>4.7539667300000001</v>
          </cell>
        </row>
        <row r="2685">
          <cell r="L2685">
            <v>36.7260274</v>
          </cell>
          <cell r="M2685">
            <v>4.7541447799999998</v>
          </cell>
        </row>
        <row r="2686">
          <cell r="L2686">
            <v>36.73972603</v>
          </cell>
          <cell r="M2686">
            <v>4.7543229699999996</v>
          </cell>
        </row>
        <row r="2687">
          <cell r="L2687">
            <v>36.75342466</v>
          </cell>
          <cell r="M2687">
            <v>4.7545012800000004</v>
          </cell>
        </row>
        <row r="2688">
          <cell r="L2688">
            <v>36.767123290000001</v>
          </cell>
          <cell r="M2688">
            <v>4.7546796899999997</v>
          </cell>
        </row>
        <row r="2689">
          <cell r="L2689">
            <v>36.780821920000001</v>
          </cell>
          <cell r="M2689">
            <v>4.7548581800000003</v>
          </cell>
        </row>
        <row r="2690">
          <cell r="L2690">
            <v>36.794520550000001</v>
          </cell>
          <cell r="M2690">
            <v>4.7550367500000004</v>
          </cell>
        </row>
        <row r="2691">
          <cell r="L2691">
            <v>36.808219180000002</v>
          </cell>
          <cell r="M2691">
            <v>4.7552153600000002</v>
          </cell>
        </row>
        <row r="2692">
          <cell r="L2692">
            <v>36.821917810000002</v>
          </cell>
          <cell r="M2692">
            <v>4.7553940099999998</v>
          </cell>
        </row>
        <row r="2693">
          <cell r="L2693">
            <v>36.835616440000003</v>
          </cell>
          <cell r="M2693">
            <v>4.7555726700000003</v>
          </cell>
        </row>
        <row r="2694">
          <cell r="L2694">
            <v>36.849315070000003</v>
          </cell>
          <cell r="M2694">
            <v>4.7557513299999998</v>
          </cell>
        </row>
        <row r="2695">
          <cell r="L2695">
            <v>36.863013700000003</v>
          </cell>
          <cell r="M2695">
            <v>4.7559299700000004</v>
          </cell>
        </row>
        <row r="2696">
          <cell r="L2696">
            <v>36.876712329999997</v>
          </cell>
          <cell r="M2696">
            <v>4.7561085700000003</v>
          </cell>
        </row>
        <row r="2697">
          <cell r="L2697">
            <v>36.890410959999997</v>
          </cell>
          <cell r="M2697">
            <v>4.7562871199999996</v>
          </cell>
        </row>
        <row r="2698">
          <cell r="L2698">
            <v>36.904109589999997</v>
          </cell>
          <cell r="M2698">
            <v>4.7564655900000004</v>
          </cell>
        </row>
        <row r="2699">
          <cell r="L2699">
            <v>36.917808219999998</v>
          </cell>
          <cell r="M2699">
            <v>4.7566439699999998</v>
          </cell>
        </row>
        <row r="2700">
          <cell r="L2700">
            <v>36.931506849999998</v>
          </cell>
          <cell r="M2700">
            <v>4.7568222499999999</v>
          </cell>
        </row>
        <row r="2701">
          <cell r="L2701">
            <v>36.945205479999998</v>
          </cell>
          <cell r="M2701">
            <v>4.7570003999999999</v>
          </cell>
        </row>
        <row r="2702">
          <cell r="L2702">
            <v>36.958904109999999</v>
          </cell>
          <cell r="M2702">
            <v>4.7571784099999999</v>
          </cell>
        </row>
        <row r="2703">
          <cell r="L2703">
            <v>36.972602739999999</v>
          </cell>
          <cell r="M2703">
            <v>4.7573562599999999</v>
          </cell>
        </row>
        <row r="2704">
          <cell r="L2704">
            <v>36.98630137</v>
          </cell>
          <cell r="M2704">
            <v>4.7575339300000001</v>
          </cell>
        </row>
        <row r="2705">
          <cell r="L2705">
            <v>37</v>
          </cell>
          <cell r="M2705">
            <v>4.7577113999999998</v>
          </cell>
        </row>
        <row r="2706">
          <cell r="L2706">
            <v>37.01369863</v>
          </cell>
          <cell r="M2706">
            <v>4.7578890400000002</v>
          </cell>
        </row>
        <row r="2707">
          <cell r="L2707">
            <v>37.027397260000001</v>
          </cell>
          <cell r="M2707">
            <v>4.7580672100000001</v>
          </cell>
        </row>
        <row r="2708">
          <cell r="L2708">
            <v>37.041095890000001</v>
          </cell>
          <cell r="M2708">
            <v>4.7582458799999996</v>
          </cell>
        </row>
        <row r="2709">
          <cell r="L2709">
            <v>37.054794520000002</v>
          </cell>
          <cell r="M2709">
            <v>4.7584250299999997</v>
          </cell>
        </row>
        <row r="2710">
          <cell r="L2710">
            <v>37.068493150000002</v>
          </cell>
          <cell r="M2710">
            <v>4.7586046299999998</v>
          </cell>
        </row>
        <row r="2711">
          <cell r="L2711">
            <v>37.082191780000002</v>
          </cell>
          <cell r="M2711">
            <v>4.7587846799999998</v>
          </cell>
        </row>
        <row r="2712">
          <cell r="L2712">
            <v>37.095890410000003</v>
          </cell>
          <cell r="M2712">
            <v>4.7589651399999999</v>
          </cell>
        </row>
        <row r="2713">
          <cell r="L2713">
            <v>37.109589040000003</v>
          </cell>
          <cell r="M2713">
            <v>4.7591459800000004</v>
          </cell>
        </row>
        <row r="2714">
          <cell r="L2714">
            <v>37.123287670000003</v>
          </cell>
          <cell r="M2714">
            <v>4.7593272000000004</v>
          </cell>
        </row>
        <row r="2715">
          <cell r="L2715">
            <v>37.136986299999997</v>
          </cell>
          <cell r="M2715">
            <v>4.7595087700000001</v>
          </cell>
        </row>
        <row r="2716">
          <cell r="L2716">
            <v>37.150684929999997</v>
          </cell>
          <cell r="M2716">
            <v>4.7596906499999996</v>
          </cell>
        </row>
        <row r="2717">
          <cell r="L2717">
            <v>37.164383559999997</v>
          </cell>
          <cell r="M2717">
            <v>4.7598728499999998</v>
          </cell>
        </row>
        <row r="2718">
          <cell r="L2718">
            <v>37.178082189999998</v>
          </cell>
          <cell r="M2718">
            <v>4.7600553200000002</v>
          </cell>
        </row>
        <row r="2719">
          <cell r="L2719">
            <v>37.191780819999998</v>
          </cell>
          <cell r="M2719">
            <v>4.7602380399999999</v>
          </cell>
        </row>
        <row r="2720">
          <cell r="L2720">
            <v>37.205479449999999</v>
          </cell>
          <cell r="M2720">
            <v>4.760421</v>
          </cell>
        </row>
        <row r="2721">
          <cell r="L2721">
            <v>37.219178079999999</v>
          </cell>
          <cell r="M2721">
            <v>4.7606041799999996</v>
          </cell>
        </row>
        <row r="2722">
          <cell r="L2722">
            <v>37.232876709999999</v>
          </cell>
          <cell r="M2722">
            <v>4.7607875399999999</v>
          </cell>
        </row>
        <row r="2723">
          <cell r="L2723">
            <v>37.24657534</v>
          </cell>
          <cell r="M2723">
            <v>4.76097108</v>
          </cell>
        </row>
        <row r="2724">
          <cell r="L2724">
            <v>37.26027397</v>
          </cell>
          <cell r="M2724">
            <v>4.7611547600000002</v>
          </cell>
        </row>
        <row r="2725">
          <cell r="L2725">
            <v>37.2739726</v>
          </cell>
          <cell r="M2725">
            <v>4.7613385600000004</v>
          </cell>
        </row>
        <row r="2726">
          <cell r="L2726">
            <v>37.287671230000001</v>
          </cell>
          <cell r="M2726">
            <v>4.7615224600000001</v>
          </cell>
        </row>
        <row r="2727">
          <cell r="L2727">
            <v>37.301369860000001</v>
          </cell>
          <cell r="M2727">
            <v>4.7617064400000002</v>
          </cell>
        </row>
        <row r="2728">
          <cell r="L2728">
            <v>37.315068490000002</v>
          </cell>
          <cell r="M2728">
            <v>4.7618904799999999</v>
          </cell>
        </row>
        <row r="2729">
          <cell r="L2729">
            <v>37.328767120000002</v>
          </cell>
          <cell r="M2729">
            <v>4.7620745500000004</v>
          </cell>
        </row>
        <row r="2730">
          <cell r="L2730">
            <v>37.342465750000002</v>
          </cell>
          <cell r="M2730">
            <v>4.7622586299999998</v>
          </cell>
        </row>
        <row r="2731">
          <cell r="L2731">
            <v>37.356164380000003</v>
          </cell>
          <cell r="M2731">
            <v>4.7624427000000003</v>
          </cell>
        </row>
        <row r="2732">
          <cell r="L2732">
            <v>37.369863010000003</v>
          </cell>
          <cell r="M2732">
            <v>4.76262674</v>
          </cell>
        </row>
        <row r="2733">
          <cell r="L2733">
            <v>37.383561640000003</v>
          </cell>
          <cell r="M2733">
            <v>4.7628107200000001</v>
          </cell>
        </row>
        <row r="2734">
          <cell r="L2734">
            <v>37.397260269999997</v>
          </cell>
          <cell r="M2734">
            <v>4.7629946299999997</v>
          </cell>
        </row>
        <row r="2735">
          <cell r="L2735">
            <v>37.410958899999997</v>
          </cell>
          <cell r="M2735">
            <v>4.76317843</v>
          </cell>
        </row>
        <row r="2736">
          <cell r="L2736">
            <v>37.424657529999998</v>
          </cell>
          <cell r="M2736">
            <v>4.7633621100000001</v>
          </cell>
        </row>
        <row r="2737">
          <cell r="L2737">
            <v>37.438356159999998</v>
          </cell>
          <cell r="M2737">
            <v>4.7635456500000002</v>
          </cell>
        </row>
        <row r="2738">
          <cell r="L2738">
            <v>37.452054789999998</v>
          </cell>
          <cell r="M2738">
            <v>4.7637290200000004</v>
          </cell>
        </row>
        <row r="2739">
          <cell r="L2739">
            <v>37.465753419999999</v>
          </cell>
          <cell r="M2739">
            <v>4.7639122</v>
          </cell>
        </row>
        <row r="2740">
          <cell r="L2740">
            <v>37.479452049999999</v>
          </cell>
          <cell r="M2740">
            <v>4.76409517</v>
          </cell>
        </row>
        <row r="2741">
          <cell r="L2741">
            <v>37.493150679999999</v>
          </cell>
          <cell r="M2741">
            <v>4.7642779099999997</v>
          </cell>
        </row>
        <row r="2742">
          <cell r="L2742">
            <v>37.506849320000001</v>
          </cell>
          <cell r="M2742">
            <v>4.7644605000000002</v>
          </cell>
        </row>
        <row r="2743">
          <cell r="L2743">
            <v>37.520547950000001</v>
          </cell>
          <cell r="M2743">
            <v>4.7646436200000002</v>
          </cell>
        </row>
        <row r="2744">
          <cell r="L2744">
            <v>37.534246580000001</v>
          </cell>
          <cell r="M2744">
            <v>4.7648273699999999</v>
          </cell>
        </row>
        <row r="2745">
          <cell r="L2745">
            <v>37.547945210000002</v>
          </cell>
          <cell r="M2745">
            <v>4.7650117099999996</v>
          </cell>
        </row>
        <row r="2746">
          <cell r="L2746">
            <v>37.561643840000002</v>
          </cell>
          <cell r="M2746">
            <v>4.7651966100000003</v>
          </cell>
        </row>
        <row r="2747">
          <cell r="L2747">
            <v>37.575342470000002</v>
          </cell>
          <cell r="M2747">
            <v>4.7653820600000003</v>
          </cell>
        </row>
        <row r="2748">
          <cell r="L2748">
            <v>37.589041100000003</v>
          </cell>
          <cell r="M2748">
            <v>4.7655680199999999</v>
          </cell>
        </row>
        <row r="2749">
          <cell r="L2749">
            <v>37.602739730000003</v>
          </cell>
          <cell r="M2749">
            <v>4.7657544700000001</v>
          </cell>
        </row>
        <row r="2750">
          <cell r="L2750">
            <v>37.616438359999997</v>
          </cell>
          <cell r="M2750">
            <v>4.7659413700000002</v>
          </cell>
        </row>
        <row r="2751">
          <cell r="L2751">
            <v>37.630136989999997</v>
          </cell>
          <cell r="M2751">
            <v>4.7661287200000002</v>
          </cell>
        </row>
        <row r="2752">
          <cell r="L2752">
            <v>37.643835619999997</v>
          </cell>
          <cell r="M2752">
            <v>4.7663164699999996</v>
          </cell>
        </row>
        <row r="2753">
          <cell r="L2753">
            <v>37.657534249999998</v>
          </cell>
          <cell r="M2753">
            <v>4.7665046000000002</v>
          </cell>
        </row>
        <row r="2754">
          <cell r="L2754">
            <v>37.671232879999998</v>
          </cell>
          <cell r="M2754">
            <v>4.7666930799999996</v>
          </cell>
        </row>
        <row r="2755">
          <cell r="L2755">
            <v>37.684931509999998</v>
          </cell>
          <cell r="M2755">
            <v>4.7668818999999996</v>
          </cell>
        </row>
        <row r="2756">
          <cell r="L2756">
            <v>37.698630139999999</v>
          </cell>
          <cell r="M2756">
            <v>4.7670710100000004</v>
          </cell>
        </row>
        <row r="2757">
          <cell r="L2757">
            <v>37.712328769999999</v>
          </cell>
          <cell r="M2757">
            <v>4.7672603999999996</v>
          </cell>
        </row>
        <row r="2758">
          <cell r="L2758">
            <v>37.7260274</v>
          </cell>
          <cell r="M2758">
            <v>4.7674500399999999</v>
          </cell>
        </row>
        <row r="2759">
          <cell r="L2759">
            <v>37.73972603</v>
          </cell>
          <cell r="M2759">
            <v>4.7676398999999998</v>
          </cell>
        </row>
        <row r="2760">
          <cell r="L2760">
            <v>37.75342466</v>
          </cell>
          <cell r="M2760">
            <v>4.7678299600000003</v>
          </cell>
        </row>
        <row r="2761">
          <cell r="L2761">
            <v>37.767123290000001</v>
          </cell>
          <cell r="M2761">
            <v>4.7680201799999997</v>
          </cell>
        </row>
        <row r="2762">
          <cell r="L2762">
            <v>37.780821920000001</v>
          </cell>
          <cell r="M2762">
            <v>4.76821055</v>
          </cell>
        </row>
        <row r="2763">
          <cell r="L2763">
            <v>37.794520550000001</v>
          </cell>
          <cell r="M2763">
            <v>4.7684010299999997</v>
          </cell>
        </row>
        <row r="2764">
          <cell r="L2764">
            <v>37.808219180000002</v>
          </cell>
          <cell r="M2764">
            <v>4.7685915999999997</v>
          </cell>
        </row>
        <row r="2765">
          <cell r="L2765">
            <v>37.821917810000002</v>
          </cell>
          <cell r="M2765">
            <v>4.7687822400000002</v>
          </cell>
        </row>
        <row r="2766">
          <cell r="L2766">
            <v>37.835616440000003</v>
          </cell>
          <cell r="M2766">
            <v>4.7689729099999996</v>
          </cell>
        </row>
        <row r="2767">
          <cell r="L2767">
            <v>37.849315070000003</v>
          </cell>
          <cell r="M2767">
            <v>4.7691635899999998</v>
          </cell>
        </row>
        <row r="2768">
          <cell r="L2768">
            <v>37.863013700000003</v>
          </cell>
          <cell r="M2768">
            <v>4.7693542500000001</v>
          </cell>
        </row>
        <row r="2769">
          <cell r="L2769">
            <v>37.876712329999997</v>
          </cell>
          <cell r="M2769">
            <v>4.7695448599999999</v>
          </cell>
        </row>
        <row r="2770">
          <cell r="L2770">
            <v>37.890410959999997</v>
          </cell>
          <cell r="M2770">
            <v>4.76973541</v>
          </cell>
        </row>
        <row r="2771">
          <cell r="L2771">
            <v>37.904109589999997</v>
          </cell>
          <cell r="M2771">
            <v>4.7699258599999999</v>
          </cell>
        </row>
        <row r="2772">
          <cell r="L2772">
            <v>37.917808219999998</v>
          </cell>
          <cell r="M2772">
            <v>4.7701161900000004</v>
          </cell>
        </row>
        <row r="2773">
          <cell r="L2773">
            <v>37.931506849999998</v>
          </cell>
          <cell r="M2773">
            <v>4.7703063700000001</v>
          </cell>
        </row>
        <row r="2774">
          <cell r="L2774">
            <v>37.945205479999998</v>
          </cell>
          <cell r="M2774">
            <v>4.77049637</v>
          </cell>
        </row>
        <row r="2775">
          <cell r="L2775">
            <v>37.958904109999999</v>
          </cell>
          <cell r="M2775">
            <v>4.7706861600000003</v>
          </cell>
        </row>
        <row r="2776">
          <cell r="L2776">
            <v>37.972602739999999</v>
          </cell>
          <cell r="M2776">
            <v>4.7708757300000002</v>
          </cell>
        </row>
        <row r="2777">
          <cell r="L2777">
            <v>37.98630137</v>
          </cell>
          <cell r="M2777">
            <v>4.7710650399999999</v>
          </cell>
        </row>
        <row r="2778">
          <cell r="L2778">
            <v>38</v>
          </cell>
          <cell r="M2778">
            <v>4.7712540700000003</v>
          </cell>
        </row>
        <row r="2779">
          <cell r="L2779">
            <v>38.01369863</v>
          </cell>
          <cell r="M2779">
            <v>4.7714433300000003</v>
          </cell>
        </row>
        <row r="2780">
          <cell r="L2780">
            <v>38.027397260000001</v>
          </cell>
          <cell r="M2780">
            <v>4.7716333500000001</v>
          </cell>
        </row>
        <row r="2781">
          <cell r="L2781">
            <v>38.041095890000001</v>
          </cell>
          <cell r="M2781">
            <v>4.77182409</v>
          </cell>
        </row>
        <row r="2782">
          <cell r="L2782">
            <v>38.054794520000002</v>
          </cell>
          <cell r="M2782">
            <v>4.7720155100000001</v>
          </cell>
        </row>
        <row r="2783">
          <cell r="L2783">
            <v>38.068493150000002</v>
          </cell>
          <cell r="M2783">
            <v>4.7722075899999998</v>
          </cell>
        </row>
        <row r="2784">
          <cell r="L2784">
            <v>38.082191780000002</v>
          </cell>
          <cell r="M2784">
            <v>4.7724003000000002</v>
          </cell>
        </row>
        <row r="2785">
          <cell r="L2785">
            <v>38.095890410000003</v>
          </cell>
          <cell r="M2785">
            <v>4.7725936000000004</v>
          </cell>
        </row>
        <row r="2786">
          <cell r="L2786">
            <v>38.109589040000003</v>
          </cell>
          <cell r="M2786">
            <v>4.77278746</v>
          </cell>
        </row>
        <row r="2787">
          <cell r="L2787">
            <v>38.123287670000003</v>
          </cell>
          <cell r="M2787">
            <v>4.7729818399999999</v>
          </cell>
        </row>
        <row r="2788">
          <cell r="L2788">
            <v>38.136986299999997</v>
          </cell>
          <cell r="M2788">
            <v>4.7731767200000004</v>
          </cell>
        </row>
        <row r="2789">
          <cell r="L2789">
            <v>38.150684929999997</v>
          </cell>
          <cell r="M2789">
            <v>4.7733720699999997</v>
          </cell>
        </row>
        <row r="2790">
          <cell r="L2790">
            <v>38.164383559999997</v>
          </cell>
          <cell r="M2790">
            <v>4.7735678500000001</v>
          </cell>
        </row>
        <row r="2791">
          <cell r="L2791">
            <v>38.178082189999998</v>
          </cell>
          <cell r="M2791">
            <v>4.7737640199999998</v>
          </cell>
        </row>
        <row r="2792">
          <cell r="L2792">
            <v>38.191780819999998</v>
          </cell>
          <cell r="M2792">
            <v>4.7739605699999998</v>
          </cell>
        </row>
        <row r="2793">
          <cell r="L2793">
            <v>38.205479449999999</v>
          </cell>
          <cell r="M2793">
            <v>4.7741574499999997</v>
          </cell>
        </row>
        <row r="2794">
          <cell r="L2794">
            <v>38.219178079999999</v>
          </cell>
          <cell r="M2794">
            <v>4.7743546300000004</v>
          </cell>
        </row>
        <row r="2795">
          <cell r="L2795">
            <v>38.232876709999999</v>
          </cell>
          <cell r="M2795">
            <v>4.7745520800000003</v>
          </cell>
        </row>
        <row r="2796">
          <cell r="L2796">
            <v>38.24657534</v>
          </cell>
          <cell r="M2796">
            <v>4.7747497799999996</v>
          </cell>
        </row>
        <row r="2797">
          <cell r="L2797">
            <v>38.26027397</v>
          </cell>
          <cell r="M2797">
            <v>4.7749476800000004</v>
          </cell>
        </row>
        <row r="2798">
          <cell r="L2798">
            <v>38.2739726</v>
          </cell>
          <cell r="M2798">
            <v>4.7751457500000001</v>
          </cell>
        </row>
        <row r="2799">
          <cell r="L2799">
            <v>38.287671230000001</v>
          </cell>
          <cell r="M2799">
            <v>4.7753439699999998</v>
          </cell>
        </row>
        <row r="2800">
          <cell r="L2800">
            <v>38.301369860000001</v>
          </cell>
          <cell r="M2800">
            <v>4.7755422999999997</v>
          </cell>
        </row>
        <row r="2801">
          <cell r="L2801">
            <v>38.315068490000002</v>
          </cell>
          <cell r="M2801">
            <v>4.77574071</v>
          </cell>
        </row>
        <row r="2802">
          <cell r="L2802">
            <v>38.328767120000002</v>
          </cell>
          <cell r="M2802">
            <v>4.7759391600000001</v>
          </cell>
        </row>
        <row r="2803">
          <cell r="L2803">
            <v>38.342465750000002</v>
          </cell>
          <cell r="M2803">
            <v>4.77613763</v>
          </cell>
        </row>
        <row r="2804">
          <cell r="L2804">
            <v>38.356164380000003</v>
          </cell>
          <cell r="M2804">
            <v>4.7763360800000001</v>
          </cell>
        </row>
        <row r="2805">
          <cell r="L2805">
            <v>38.369863010000003</v>
          </cell>
          <cell r="M2805">
            <v>4.7765344799999996</v>
          </cell>
        </row>
        <row r="2806">
          <cell r="L2806">
            <v>38.383561640000003</v>
          </cell>
          <cell r="M2806">
            <v>4.7767327999999996</v>
          </cell>
        </row>
        <row r="2807">
          <cell r="L2807">
            <v>38.397260269999997</v>
          </cell>
          <cell r="M2807">
            <v>4.7769310100000002</v>
          </cell>
        </row>
        <row r="2808">
          <cell r="L2808">
            <v>38.410958899999997</v>
          </cell>
          <cell r="M2808">
            <v>4.77712907</v>
          </cell>
        </row>
        <row r="2809">
          <cell r="L2809">
            <v>38.424657529999998</v>
          </cell>
          <cell r="M2809">
            <v>4.77732695</v>
          </cell>
        </row>
        <row r="2810">
          <cell r="L2810">
            <v>38.438356159999998</v>
          </cell>
          <cell r="M2810">
            <v>4.7775246200000003</v>
          </cell>
        </row>
        <row r="2811">
          <cell r="L2811">
            <v>38.452054789999998</v>
          </cell>
          <cell r="M2811">
            <v>4.7777220500000004</v>
          </cell>
        </row>
        <row r="2812">
          <cell r="L2812">
            <v>38.465753419999999</v>
          </cell>
          <cell r="M2812">
            <v>4.7779192100000003</v>
          </cell>
        </row>
        <row r="2813">
          <cell r="L2813">
            <v>38.479452049999999</v>
          </cell>
          <cell r="M2813">
            <v>4.7781160500000004</v>
          </cell>
        </row>
        <row r="2814">
          <cell r="L2814">
            <v>38.493150679999999</v>
          </cell>
          <cell r="M2814">
            <v>4.7783125699999998</v>
          </cell>
        </row>
        <row r="2815">
          <cell r="L2815">
            <v>38.506849320000001</v>
          </cell>
          <cell r="M2815">
            <v>4.7785088699999996</v>
          </cell>
        </row>
        <row r="2816">
          <cell r="L2816">
            <v>38.520547950000001</v>
          </cell>
          <cell r="M2816">
            <v>4.7787059200000002</v>
          </cell>
        </row>
        <row r="2817">
          <cell r="L2817">
            <v>38.534246580000001</v>
          </cell>
          <cell r="M2817">
            <v>4.7789038599999998</v>
          </cell>
        </row>
        <row r="2818">
          <cell r="L2818">
            <v>38.547945210000002</v>
          </cell>
          <cell r="M2818">
            <v>4.7791026299999997</v>
          </cell>
        </row>
        <row r="2819">
          <cell r="L2819">
            <v>38.561643840000002</v>
          </cell>
          <cell r="M2819">
            <v>4.7793022000000001</v>
          </cell>
        </row>
        <row r="2820">
          <cell r="L2820">
            <v>38.575342470000002</v>
          </cell>
          <cell r="M2820">
            <v>4.7795025300000002</v>
          </cell>
        </row>
        <row r="2821">
          <cell r="L2821">
            <v>38.589041100000003</v>
          </cell>
          <cell r="M2821">
            <v>4.7797035899999996</v>
          </cell>
        </row>
        <row r="2822">
          <cell r="L2822">
            <v>38.602739730000003</v>
          </cell>
          <cell r="M2822">
            <v>4.7799053300000001</v>
          </cell>
        </row>
        <row r="2823">
          <cell r="L2823">
            <v>38.616438359999997</v>
          </cell>
          <cell r="M2823">
            <v>4.7801077300000001</v>
          </cell>
        </row>
        <row r="2824">
          <cell r="L2824">
            <v>38.630136989999997</v>
          </cell>
          <cell r="M2824">
            <v>4.78031074</v>
          </cell>
        </row>
        <row r="2825">
          <cell r="L2825">
            <v>38.643835619999997</v>
          </cell>
          <cell r="M2825">
            <v>4.78051432</v>
          </cell>
        </row>
        <row r="2826">
          <cell r="L2826">
            <v>38.657534249999998</v>
          </cell>
          <cell r="M2826">
            <v>4.7807184400000002</v>
          </cell>
        </row>
        <row r="2827">
          <cell r="L2827">
            <v>38.671232879999998</v>
          </cell>
          <cell r="M2827">
            <v>4.7809230600000001</v>
          </cell>
        </row>
        <row r="2828">
          <cell r="L2828">
            <v>38.684931509999998</v>
          </cell>
          <cell r="M2828">
            <v>4.7811281399999999</v>
          </cell>
        </row>
        <row r="2829">
          <cell r="L2829">
            <v>38.698630139999999</v>
          </cell>
          <cell r="M2829">
            <v>4.7813336399999997</v>
          </cell>
        </row>
        <row r="2830">
          <cell r="L2830">
            <v>38.712328769999999</v>
          </cell>
          <cell r="M2830">
            <v>4.7815395299999999</v>
          </cell>
        </row>
        <row r="2831">
          <cell r="L2831">
            <v>38.7260274</v>
          </cell>
          <cell r="M2831">
            <v>4.7817457699999997</v>
          </cell>
        </row>
        <row r="2832">
          <cell r="L2832">
            <v>38.73972603</v>
          </cell>
          <cell r="M2832">
            <v>4.7819523100000003</v>
          </cell>
        </row>
        <row r="2833">
          <cell r="L2833">
            <v>38.75342466</v>
          </cell>
          <cell r="M2833">
            <v>4.7821591300000001</v>
          </cell>
        </row>
        <row r="2834">
          <cell r="L2834">
            <v>38.767123290000001</v>
          </cell>
          <cell r="M2834">
            <v>4.7823661800000004</v>
          </cell>
        </row>
        <row r="2835">
          <cell r="L2835">
            <v>38.780821920000001</v>
          </cell>
          <cell r="M2835">
            <v>4.7825734300000002</v>
          </cell>
        </row>
        <row r="2836">
          <cell r="L2836">
            <v>38.794520550000001</v>
          </cell>
          <cell r="M2836">
            <v>4.78278084</v>
          </cell>
        </row>
        <row r="2837">
          <cell r="L2837">
            <v>38.808219180000002</v>
          </cell>
          <cell r="M2837">
            <v>4.78298837</v>
          </cell>
        </row>
        <row r="2838">
          <cell r="L2838">
            <v>38.821917810000002</v>
          </cell>
          <cell r="M2838">
            <v>4.7831959900000003</v>
          </cell>
        </row>
        <row r="2839">
          <cell r="L2839">
            <v>38.835616440000003</v>
          </cell>
          <cell r="M2839">
            <v>4.7834036500000003</v>
          </cell>
        </row>
        <row r="2840">
          <cell r="L2840">
            <v>38.849315070000003</v>
          </cell>
          <cell r="M2840">
            <v>4.7836113100000004</v>
          </cell>
        </row>
        <row r="2841">
          <cell r="L2841">
            <v>38.863013700000003</v>
          </cell>
          <cell r="M2841">
            <v>4.7838189499999997</v>
          </cell>
        </row>
        <row r="2842">
          <cell r="L2842">
            <v>38.876712329999997</v>
          </cell>
          <cell r="M2842">
            <v>4.7840265200000003</v>
          </cell>
        </row>
        <row r="2843">
          <cell r="L2843">
            <v>38.890410959999997</v>
          </cell>
          <cell r="M2843">
            <v>4.7842339899999997</v>
          </cell>
        </row>
        <row r="2844">
          <cell r="L2844">
            <v>38.904109589999997</v>
          </cell>
          <cell r="M2844">
            <v>4.7844413100000001</v>
          </cell>
        </row>
        <row r="2845">
          <cell r="L2845">
            <v>38.917808219999998</v>
          </cell>
          <cell r="M2845">
            <v>4.7846484499999997</v>
          </cell>
        </row>
        <row r="2846">
          <cell r="L2846">
            <v>38.931506849999998</v>
          </cell>
          <cell r="M2846">
            <v>4.7848553699999998</v>
          </cell>
        </row>
        <row r="2847">
          <cell r="L2847">
            <v>38.945205479999998</v>
          </cell>
          <cell r="M2847">
            <v>4.7850620399999997</v>
          </cell>
        </row>
        <row r="2848">
          <cell r="L2848">
            <v>38.958904109999999</v>
          </cell>
          <cell r="M2848">
            <v>4.7852684099999996</v>
          </cell>
        </row>
        <row r="2849">
          <cell r="L2849">
            <v>38.972602739999999</v>
          </cell>
          <cell r="M2849">
            <v>4.7854744499999997</v>
          </cell>
        </row>
        <row r="2850">
          <cell r="L2850">
            <v>38.98630137</v>
          </cell>
          <cell r="M2850">
            <v>4.7856801200000003</v>
          </cell>
        </row>
        <row r="2851">
          <cell r="L2851">
            <v>39</v>
          </cell>
          <cell r="M2851">
            <v>4.7858853799999999</v>
          </cell>
        </row>
        <row r="2852">
          <cell r="L2852">
            <v>39.01369863</v>
          </cell>
          <cell r="M2852">
            <v>4.7860909500000002</v>
          </cell>
        </row>
        <row r="2853">
          <cell r="L2853">
            <v>39.027397260000001</v>
          </cell>
          <cell r="M2853">
            <v>4.7862975499999996</v>
          </cell>
        </row>
        <row r="2854">
          <cell r="L2854">
            <v>39.041095890000001</v>
          </cell>
          <cell r="M2854">
            <v>4.7865051200000002</v>
          </cell>
        </row>
        <row r="2855">
          <cell r="L2855">
            <v>39.054794520000002</v>
          </cell>
          <cell r="M2855">
            <v>4.7867136199999996</v>
          </cell>
        </row>
        <row r="2856">
          <cell r="L2856">
            <v>39.068493150000002</v>
          </cell>
          <cell r="M2856">
            <v>4.7869230199999997</v>
          </cell>
        </row>
        <row r="2857">
          <cell r="L2857">
            <v>39.082191780000002</v>
          </cell>
          <cell r="M2857">
            <v>4.7871332600000001</v>
          </cell>
        </row>
        <row r="2858">
          <cell r="L2858">
            <v>39.095890410000003</v>
          </cell>
          <cell r="M2858">
            <v>4.7873443099999999</v>
          </cell>
        </row>
        <row r="2859">
          <cell r="L2859">
            <v>39.109589040000003</v>
          </cell>
          <cell r="M2859">
            <v>4.7875561199999996</v>
          </cell>
        </row>
        <row r="2860">
          <cell r="L2860">
            <v>39.123287670000003</v>
          </cell>
          <cell r="M2860">
            <v>4.7877686400000004</v>
          </cell>
        </row>
        <row r="2861">
          <cell r="L2861">
            <v>39.136986299999997</v>
          </cell>
          <cell r="M2861">
            <v>4.7879818399999996</v>
          </cell>
        </row>
        <row r="2862">
          <cell r="L2862">
            <v>39.150684929999997</v>
          </cell>
          <cell r="M2862">
            <v>4.7881956700000003</v>
          </cell>
        </row>
        <row r="2863">
          <cell r="L2863">
            <v>39.164383559999997</v>
          </cell>
          <cell r="M2863">
            <v>4.7884100800000002</v>
          </cell>
        </row>
        <row r="2864">
          <cell r="L2864">
            <v>39.178082189999998</v>
          </cell>
          <cell r="M2864">
            <v>4.7886250400000003</v>
          </cell>
        </row>
        <row r="2865">
          <cell r="L2865">
            <v>39.191780819999998</v>
          </cell>
          <cell r="M2865">
            <v>4.7888404900000001</v>
          </cell>
        </row>
        <row r="2866">
          <cell r="L2866">
            <v>39.205479449999999</v>
          </cell>
          <cell r="M2866">
            <v>4.7890564099999997</v>
          </cell>
        </row>
        <row r="2867">
          <cell r="L2867">
            <v>39.219178079999999</v>
          </cell>
          <cell r="M2867">
            <v>4.7892727300000004</v>
          </cell>
        </row>
        <row r="2868">
          <cell r="L2868">
            <v>39.232876709999999</v>
          </cell>
          <cell r="M2868">
            <v>4.7894894299999997</v>
          </cell>
        </row>
        <row r="2869">
          <cell r="L2869">
            <v>39.24657534</v>
          </cell>
          <cell r="M2869">
            <v>4.7897064499999997</v>
          </cell>
        </row>
        <row r="2870">
          <cell r="L2870">
            <v>39.26027397</v>
          </cell>
          <cell r="M2870">
            <v>4.7899237499999998</v>
          </cell>
        </row>
        <row r="2871">
          <cell r="L2871">
            <v>39.2739726</v>
          </cell>
          <cell r="M2871">
            <v>4.7901412900000002</v>
          </cell>
        </row>
        <row r="2872">
          <cell r="L2872">
            <v>39.287671230000001</v>
          </cell>
          <cell r="M2872">
            <v>4.7903590300000003</v>
          </cell>
        </row>
        <row r="2873">
          <cell r="L2873">
            <v>39.301369860000001</v>
          </cell>
          <cell r="M2873">
            <v>4.7905769100000004</v>
          </cell>
        </row>
        <row r="2874">
          <cell r="L2874">
            <v>39.315068490000002</v>
          </cell>
          <cell r="M2874">
            <v>4.7907949099999998</v>
          </cell>
        </row>
        <row r="2875">
          <cell r="L2875">
            <v>39.328767120000002</v>
          </cell>
          <cell r="M2875">
            <v>4.7910129699999997</v>
          </cell>
        </row>
        <row r="2876">
          <cell r="L2876">
            <v>39.342465750000002</v>
          </cell>
          <cell r="M2876">
            <v>4.7912310500000004</v>
          </cell>
        </row>
        <row r="2877">
          <cell r="L2877">
            <v>39.356164380000003</v>
          </cell>
          <cell r="M2877">
            <v>4.7914491100000003</v>
          </cell>
        </row>
        <row r="2878">
          <cell r="L2878">
            <v>39.369863010000003</v>
          </cell>
          <cell r="M2878">
            <v>4.7916671099999997</v>
          </cell>
        </row>
        <row r="2879">
          <cell r="L2879">
            <v>39.383561640000003</v>
          </cell>
          <cell r="M2879">
            <v>4.7918849999999997</v>
          </cell>
        </row>
        <row r="2880">
          <cell r="L2880">
            <v>39.397260269999997</v>
          </cell>
          <cell r="M2880">
            <v>4.7921027299999999</v>
          </cell>
        </row>
        <row r="2881">
          <cell r="L2881">
            <v>39.410958899999997</v>
          </cell>
          <cell r="M2881">
            <v>4.7923202700000003</v>
          </cell>
        </row>
        <row r="2882">
          <cell r="L2882">
            <v>39.424657529999998</v>
          </cell>
          <cell r="M2882">
            <v>4.7925375700000004</v>
          </cell>
        </row>
        <row r="2883">
          <cell r="L2883">
            <v>39.438356159999998</v>
          </cell>
          <cell r="M2883">
            <v>4.7927545800000004</v>
          </cell>
        </row>
        <row r="2884">
          <cell r="L2884">
            <v>39.452054789999998</v>
          </cell>
          <cell r="M2884">
            <v>4.7929712699999998</v>
          </cell>
        </row>
        <row r="2885">
          <cell r="L2885">
            <v>39.465753419999999</v>
          </cell>
          <cell r="M2885">
            <v>4.7931875899999996</v>
          </cell>
        </row>
        <row r="2886">
          <cell r="L2886">
            <v>39.479452049999999</v>
          </cell>
          <cell r="M2886">
            <v>4.7934035000000002</v>
          </cell>
        </row>
        <row r="2887">
          <cell r="L2887">
            <v>39.493150679999999</v>
          </cell>
          <cell r="M2887">
            <v>4.7936189499999999</v>
          </cell>
        </row>
        <row r="2888">
          <cell r="L2888">
            <v>39.506849320000001</v>
          </cell>
          <cell r="M2888">
            <v>4.7938341099999997</v>
          </cell>
        </row>
        <row r="2889">
          <cell r="L2889">
            <v>39.520547950000001</v>
          </cell>
          <cell r="M2889">
            <v>4.7940502599999997</v>
          </cell>
        </row>
        <row r="2890">
          <cell r="L2890">
            <v>39.534246580000001</v>
          </cell>
          <cell r="M2890">
            <v>4.7942675399999999</v>
          </cell>
        </row>
        <row r="2891">
          <cell r="L2891">
            <v>39.547945210000002</v>
          </cell>
          <cell r="M2891">
            <v>4.7944859299999996</v>
          </cell>
        </row>
        <row r="2892">
          <cell r="L2892">
            <v>39.561643840000002</v>
          </cell>
          <cell r="M2892">
            <v>4.79470536</v>
          </cell>
        </row>
        <row r="2893">
          <cell r="L2893">
            <v>39.575342470000002</v>
          </cell>
          <cell r="M2893">
            <v>4.7949257799999998</v>
          </cell>
        </row>
        <row r="2894">
          <cell r="L2894">
            <v>39.589041100000003</v>
          </cell>
          <cell r="M2894">
            <v>4.79514716</v>
          </cell>
        </row>
        <row r="2895">
          <cell r="L2895">
            <v>39.602739730000003</v>
          </cell>
          <cell r="M2895">
            <v>4.79536943</v>
          </cell>
        </row>
        <row r="2896">
          <cell r="L2896">
            <v>39.616438359999997</v>
          </cell>
          <cell r="M2896">
            <v>4.7955925500000003</v>
          </cell>
        </row>
        <row r="2897">
          <cell r="L2897">
            <v>39.630136989999997</v>
          </cell>
          <cell r="M2897">
            <v>4.79581648</v>
          </cell>
        </row>
        <row r="2898">
          <cell r="L2898">
            <v>39.643835619999997</v>
          </cell>
          <cell r="M2898">
            <v>4.7960411499999998</v>
          </cell>
        </row>
        <row r="2899">
          <cell r="L2899">
            <v>39.657534249999998</v>
          </cell>
          <cell r="M2899">
            <v>4.7962665199999996</v>
          </cell>
        </row>
        <row r="2900">
          <cell r="L2900">
            <v>39.671232879999998</v>
          </cell>
          <cell r="M2900">
            <v>4.79649255</v>
          </cell>
        </row>
        <row r="2901">
          <cell r="L2901">
            <v>39.684931509999998</v>
          </cell>
          <cell r="M2901">
            <v>4.7967191800000002</v>
          </cell>
        </row>
        <row r="2902">
          <cell r="L2902">
            <v>39.698630139999999</v>
          </cell>
          <cell r="M2902">
            <v>4.7969463599999997</v>
          </cell>
        </row>
        <row r="2903">
          <cell r="L2903">
            <v>39.712328769999999</v>
          </cell>
          <cell r="M2903">
            <v>4.7971740499999997</v>
          </cell>
        </row>
        <row r="2904">
          <cell r="L2904">
            <v>39.7260274</v>
          </cell>
          <cell r="M2904">
            <v>4.7974021899999997</v>
          </cell>
        </row>
        <row r="2905">
          <cell r="L2905">
            <v>39.73972603</v>
          </cell>
          <cell r="M2905">
            <v>4.7976307399999998</v>
          </cell>
        </row>
        <row r="2906">
          <cell r="L2906">
            <v>39.75342466</v>
          </cell>
          <cell r="M2906">
            <v>4.7978596400000004</v>
          </cell>
        </row>
        <row r="2907">
          <cell r="L2907">
            <v>39.767123290000001</v>
          </cell>
          <cell r="M2907">
            <v>4.7980888500000001</v>
          </cell>
        </row>
        <row r="2908">
          <cell r="L2908">
            <v>39.780821920000001</v>
          </cell>
          <cell r="M2908">
            <v>4.7983183199999999</v>
          </cell>
        </row>
        <row r="2909">
          <cell r="L2909">
            <v>39.794520550000001</v>
          </cell>
          <cell r="M2909">
            <v>4.7985479900000003</v>
          </cell>
        </row>
        <row r="2910">
          <cell r="L2910">
            <v>39.808219180000002</v>
          </cell>
          <cell r="M2910">
            <v>4.7987778299999997</v>
          </cell>
        </row>
        <row r="2911">
          <cell r="L2911">
            <v>39.821917810000002</v>
          </cell>
          <cell r="M2911">
            <v>4.7990077700000002</v>
          </cell>
        </row>
        <row r="2912">
          <cell r="L2912">
            <v>39.835616440000003</v>
          </cell>
          <cell r="M2912">
            <v>4.7992377700000004</v>
          </cell>
        </row>
        <row r="2913">
          <cell r="L2913">
            <v>39.849315070000003</v>
          </cell>
          <cell r="M2913">
            <v>4.7994677899999996</v>
          </cell>
        </row>
        <row r="2914">
          <cell r="L2914">
            <v>39.863013700000003</v>
          </cell>
          <cell r="M2914">
            <v>4.7996977699999999</v>
          </cell>
        </row>
        <row r="2915">
          <cell r="L2915">
            <v>39.876712329999997</v>
          </cell>
          <cell r="M2915">
            <v>4.7999276599999998</v>
          </cell>
        </row>
        <row r="2916">
          <cell r="L2916">
            <v>39.890410959999997</v>
          </cell>
          <cell r="M2916">
            <v>4.8001574099999997</v>
          </cell>
        </row>
        <row r="2917">
          <cell r="L2917">
            <v>39.904109589999997</v>
          </cell>
          <cell r="M2917">
            <v>4.8003869799999999</v>
          </cell>
        </row>
        <row r="2918">
          <cell r="L2918">
            <v>39.917808219999998</v>
          </cell>
          <cell r="M2918">
            <v>4.8006163099999997</v>
          </cell>
        </row>
        <row r="2919">
          <cell r="L2919">
            <v>39.931506849999998</v>
          </cell>
          <cell r="M2919">
            <v>4.8008453600000003</v>
          </cell>
        </row>
        <row r="2920">
          <cell r="L2920">
            <v>39.945205479999998</v>
          </cell>
          <cell r="M2920">
            <v>4.8010740700000003</v>
          </cell>
        </row>
        <row r="2921">
          <cell r="L2921">
            <v>39.958904109999999</v>
          </cell>
          <cell r="M2921">
            <v>4.8013024</v>
          </cell>
        </row>
        <row r="2922">
          <cell r="L2922">
            <v>39.972602739999999</v>
          </cell>
          <cell r="M2922">
            <v>4.8015302999999996</v>
          </cell>
        </row>
        <row r="2923">
          <cell r="L2923">
            <v>39.98630137</v>
          </cell>
          <cell r="M2923">
            <v>4.8017577100000004</v>
          </cell>
        </row>
        <row r="2924">
          <cell r="L2924">
            <v>40</v>
          </cell>
          <cell r="M2924">
            <v>4.8019845999999999</v>
          </cell>
        </row>
        <row r="2925">
          <cell r="L2925">
            <v>40.01369863</v>
          </cell>
          <cell r="M2925">
            <v>4.8022112899999998</v>
          </cell>
        </row>
        <row r="2926">
          <cell r="L2926">
            <v>40.027397260000001</v>
          </cell>
          <cell r="M2926">
            <v>4.8024381600000003</v>
          </cell>
        </row>
        <row r="2927">
          <cell r="L2927">
            <v>40.041095890000001</v>
          </cell>
          <cell r="M2927">
            <v>4.8026651999999999</v>
          </cell>
        </row>
        <row r="2928">
          <cell r="L2928">
            <v>40.054794520000002</v>
          </cell>
          <cell r="M2928">
            <v>4.8028924000000002</v>
          </cell>
        </row>
        <row r="2929">
          <cell r="L2929">
            <v>40.068493150000002</v>
          </cell>
          <cell r="M2929">
            <v>4.8031197499999996</v>
          </cell>
        </row>
        <row r="2930">
          <cell r="L2930">
            <v>40.082191780000002</v>
          </cell>
          <cell r="M2930">
            <v>4.8033472499999998</v>
          </cell>
        </row>
        <row r="2931">
          <cell r="L2931">
            <v>40.095890410000003</v>
          </cell>
          <cell r="M2931">
            <v>4.8035748900000002</v>
          </cell>
        </row>
        <row r="2932">
          <cell r="L2932">
            <v>40.109589040000003</v>
          </cell>
          <cell r="M2932">
            <v>4.8038026699999996</v>
          </cell>
        </row>
        <row r="2933">
          <cell r="L2933">
            <v>40.123287670000003</v>
          </cell>
          <cell r="M2933">
            <v>4.8040305700000001</v>
          </cell>
        </row>
        <row r="2934">
          <cell r="L2934">
            <v>40.136986299999997</v>
          </cell>
          <cell r="M2934">
            <v>4.8042585899999999</v>
          </cell>
        </row>
        <row r="2935">
          <cell r="L2935">
            <v>40.150684929999997</v>
          </cell>
          <cell r="M2935">
            <v>4.8044867199999999</v>
          </cell>
        </row>
        <row r="2936">
          <cell r="L2936">
            <v>40.164383559999997</v>
          </cell>
          <cell r="M2936">
            <v>4.8047149600000001</v>
          </cell>
        </row>
        <row r="2937">
          <cell r="L2937">
            <v>40.178082189999998</v>
          </cell>
          <cell r="M2937">
            <v>4.8049432999999997</v>
          </cell>
        </row>
        <row r="2938">
          <cell r="L2938">
            <v>40.191780819999998</v>
          </cell>
          <cell r="M2938">
            <v>4.8051717199999997</v>
          </cell>
        </row>
        <row r="2939">
          <cell r="L2939">
            <v>40.205479449999999</v>
          </cell>
          <cell r="M2939">
            <v>4.80540024</v>
          </cell>
        </row>
        <row r="2940">
          <cell r="L2940">
            <v>40.219178079999999</v>
          </cell>
          <cell r="M2940">
            <v>4.8056288299999999</v>
          </cell>
        </row>
        <row r="2941">
          <cell r="L2941">
            <v>40.232876709999999</v>
          </cell>
          <cell r="M2941">
            <v>4.8058574900000002</v>
          </cell>
        </row>
        <row r="2942">
          <cell r="L2942">
            <v>40.24657534</v>
          </cell>
          <cell r="M2942">
            <v>4.8060862100000001</v>
          </cell>
        </row>
        <row r="2943">
          <cell r="L2943">
            <v>40.26027397</v>
          </cell>
          <cell r="M2943">
            <v>4.8063149899999997</v>
          </cell>
        </row>
        <row r="2944">
          <cell r="L2944">
            <v>40.2739726</v>
          </cell>
          <cell r="M2944">
            <v>4.8065438199999999</v>
          </cell>
        </row>
        <row r="2945">
          <cell r="L2945">
            <v>40.287671230000001</v>
          </cell>
          <cell r="M2945">
            <v>4.8067726899999998</v>
          </cell>
        </row>
        <row r="2946">
          <cell r="L2946">
            <v>40.301369860000001</v>
          </cell>
          <cell r="M2946">
            <v>4.8070016000000004</v>
          </cell>
        </row>
        <row r="2947">
          <cell r="L2947">
            <v>40.315068490000002</v>
          </cell>
          <cell r="M2947">
            <v>4.80723053</v>
          </cell>
        </row>
        <row r="2948">
          <cell r="L2948">
            <v>40.328767120000002</v>
          </cell>
          <cell r="M2948">
            <v>4.8074594900000003</v>
          </cell>
        </row>
        <row r="2949">
          <cell r="L2949">
            <v>40.342465750000002</v>
          </cell>
          <cell r="M2949">
            <v>4.8076884599999996</v>
          </cell>
        </row>
        <row r="2950">
          <cell r="L2950">
            <v>40.356164380000003</v>
          </cell>
          <cell r="M2950">
            <v>4.8079174299999998</v>
          </cell>
        </row>
        <row r="2951">
          <cell r="L2951">
            <v>40.369863010000003</v>
          </cell>
          <cell r="M2951">
            <v>4.80814641</v>
          </cell>
        </row>
        <row r="2952">
          <cell r="L2952">
            <v>40.383561640000003</v>
          </cell>
          <cell r="M2952">
            <v>4.8083753800000002</v>
          </cell>
        </row>
        <row r="2953">
          <cell r="L2953">
            <v>40.397260269999997</v>
          </cell>
          <cell r="M2953">
            <v>4.8086043399999996</v>
          </cell>
        </row>
        <row r="2954">
          <cell r="L2954">
            <v>40.410958899999997</v>
          </cell>
          <cell r="M2954">
            <v>4.80883327</v>
          </cell>
        </row>
        <row r="2955">
          <cell r="L2955">
            <v>40.424657529999998</v>
          </cell>
          <cell r="M2955">
            <v>4.8090621799999997</v>
          </cell>
        </row>
        <row r="2956">
          <cell r="L2956">
            <v>40.438356159999998</v>
          </cell>
          <cell r="M2956">
            <v>4.8092910499999997</v>
          </cell>
        </row>
        <row r="2957">
          <cell r="L2957">
            <v>40.452054789999998</v>
          </cell>
          <cell r="M2957">
            <v>4.8095198799999999</v>
          </cell>
        </row>
        <row r="2958">
          <cell r="L2958">
            <v>40.465753419999999</v>
          </cell>
          <cell r="M2958">
            <v>4.8097486600000003</v>
          </cell>
        </row>
        <row r="2959">
          <cell r="L2959">
            <v>40.479452049999999</v>
          </cell>
          <cell r="M2959">
            <v>4.8099773800000003</v>
          </cell>
        </row>
        <row r="2960">
          <cell r="L2960">
            <v>40.493150679999999</v>
          </cell>
          <cell r="M2960">
            <v>4.8102060399999997</v>
          </cell>
        </row>
        <row r="2961">
          <cell r="L2961">
            <v>40.506849320000001</v>
          </cell>
          <cell r="M2961">
            <v>4.8104345400000001</v>
          </cell>
        </row>
        <row r="2962">
          <cell r="L2962">
            <v>40.520547950000001</v>
          </cell>
          <cell r="M2962">
            <v>4.8106622699999999</v>
          </cell>
        </row>
        <row r="2963">
          <cell r="L2963">
            <v>40.534246580000001</v>
          </cell>
          <cell r="M2963">
            <v>4.8108891800000002</v>
          </cell>
        </row>
        <row r="2964">
          <cell r="L2964">
            <v>40.547945210000002</v>
          </cell>
          <cell r="M2964">
            <v>4.8111153099999999</v>
          </cell>
        </row>
        <row r="2965">
          <cell r="L2965">
            <v>40.561643840000002</v>
          </cell>
          <cell r="M2965">
            <v>4.8113406899999998</v>
          </cell>
        </row>
        <row r="2966">
          <cell r="L2966">
            <v>40.575342470000002</v>
          </cell>
          <cell r="M2966">
            <v>4.8115653500000004</v>
          </cell>
        </row>
        <row r="2967">
          <cell r="L2967">
            <v>40.589041100000003</v>
          </cell>
          <cell r="M2967">
            <v>4.8117893399999998</v>
          </cell>
        </row>
        <row r="2968">
          <cell r="L2968">
            <v>40.602739730000003</v>
          </cell>
          <cell r="M2968">
            <v>4.8120126799999996</v>
          </cell>
        </row>
        <row r="2969">
          <cell r="L2969">
            <v>40.616438359999997</v>
          </cell>
          <cell r="M2969">
            <v>4.8122354200000004</v>
          </cell>
        </row>
        <row r="2970">
          <cell r="L2970">
            <v>40.630136989999997</v>
          </cell>
          <cell r="M2970">
            <v>4.8124575800000002</v>
          </cell>
        </row>
        <row r="2971">
          <cell r="L2971">
            <v>40.643835619999997</v>
          </cell>
          <cell r="M2971">
            <v>4.8126792199999997</v>
          </cell>
        </row>
        <row r="2972">
          <cell r="L2972">
            <v>40.657534249999998</v>
          </cell>
          <cell r="M2972">
            <v>4.8129003499999996</v>
          </cell>
        </row>
        <row r="2973">
          <cell r="L2973">
            <v>40.671232879999998</v>
          </cell>
          <cell r="M2973">
            <v>4.8131210299999996</v>
          </cell>
        </row>
        <row r="2974">
          <cell r="L2974">
            <v>40.684931509999998</v>
          </cell>
          <cell r="M2974">
            <v>4.8133412800000004</v>
          </cell>
        </row>
        <row r="2975">
          <cell r="L2975">
            <v>40.698630139999999</v>
          </cell>
          <cell r="M2975">
            <v>4.8135611300000001</v>
          </cell>
        </row>
        <row r="2976">
          <cell r="L2976">
            <v>40.712328769999999</v>
          </cell>
          <cell r="M2976">
            <v>4.8137806400000001</v>
          </cell>
        </row>
        <row r="2977">
          <cell r="L2977">
            <v>40.7260274</v>
          </cell>
          <cell r="M2977">
            <v>4.8139998200000003</v>
          </cell>
        </row>
        <row r="2978">
          <cell r="L2978">
            <v>40.73972603</v>
          </cell>
          <cell r="M2978">
            <v>4.8142187300000003</v>
          </cell>
        </row>
        <row r="2979">
          <cell r="L2979">
            <v>40.75342466</v>
          </cell>
          <cell r="M2979">
            <v>4.8144373900000001</v>
          </cell>
        </row>
        <row r="2980">
          <cell r="L2980">
            <v>40.767123290000001</v>
          </cell>
          <cell r="M2980">
            <v>4.8146558400000004</v>
          </cell>
        </row>
        <row r="2981">
          <cell r="L2981">
            <v>40.780821920000001</v>
          </cell>
          <cell r="M2981">
            <v>4.8148741099999999</v>
          </cell>
        </row>
        <row r="2982">
          <cell r="L2982">
            <v>40.794520550000001</v>
          </cell>
          <cell r="M2982">
            <v>4.8150922500000002</v>
          </cell>
        </row>
        <row r="2983">
          <cell r="L2983">
            <v>40.808219180000002</v>
          </cell>
          <cell r="M2983">
            <v>4.8153102900000002</v>
          </cell>
        </row>
        <row r="2984">
          <cell r="L2984">
            <v>40.821917810000002</v>
          </cell>
          <cell r="M2984">
            <v>4.8155282599999998</v>
          </cell>
        </row>
        <row r="2985">
          <cell r="L2985">
            <v>40.835616440000003</v>
          </cell>
          <cell r="M2985">
            <v>4.8157462000000004</v>
          </cell>
        </row>
        <row r="2986">
          <cell r="L2986">
            <v>40.849315070000003</v>
          </cell>
          <cell r="M2986">
            <v>4.8159641400000002</v>
          </cell>
        </row>
        <row r="2987">
          <cell r="L2987">
            <v>40.863013700000003</v>
          </cell>
          <cell r="M2987">
            <v>4.8161821299999996</v>
          </cell>
        </row>
        <row r="2988">
          <cell r="L2988">
            <v>40.876712329999997</v>
          </cell>
          <cell r="M2988">
            <v>4.8164002000000004</v>
          </cell>
        </row>
        <row r="2989">
          <cell r="L2989">
            <v>40.890410959999997</v>
          </cell>
          <cell r="M2989">
            <v>4.8166183800000004</v>
          </cell>
        </row>
        <row r="2990">
          <cell r="L2990">
            <v>40.904109589999997</v>
          </cell>
          <cell r="M2990">
            <v>4.8168367099999996</v>
          </cell>
        </row>
        <row r="2991">
          <cell r="L2991">
            <v>40.917808219999998</v>
          </cell>
          <cell r="M2991">
            <v>4.8170552300000002</v>
          </cell>
        </row>
        <row r="2992">
          <cell r="L2992">
            <v>40.931506849999998</v>
          </cell>
          <cell r="M2992">
            <v>4.8172739699999996</v>
          </cell>
        </row>
        <row r="2993">
          <cell r="L2993">
            <v>40.945205479999998</v>
          </cell>
          <cell r="M2993">
            <v>4.81749297</v>
          </cell>
        </row>
        <row r="2994">
          <cell r="L2994">
            <v>40.958904109999999</v>
          </cell>
          <cell r="M2994">
            <v>4.8177122600000004</v>
          </cell>
        </row>
        <row r="2995">
          <cell r="L2995">
            <v>40.972602739999999</v>
          </cell>
          <cell r="M2995">
            <v>4.8179318799999997</v>
          </cell>
        </row>
        <row r="2996">
          <cell r="L2996">
            <v>40.98630137</v>
          </cell>
          <cell r="M2996">
            <v>4.8181518700000003</v>
          </cell>
        </row>
        <row r="2997">
          <cell r="L2997">
            <v>41</v>
          </cell>
          <cell r="M2997">
            <v>4.8183722600000003</v>
          </cell>
        </row>
        <row r="2998">
          <cell r="L2998">
            <v>41.01369863</v>
          </cell>
          <cell r="M2998">
            <v>4.8185924900000003</v>
          </cell>
        </row>
        <row r="2999">
          <cell r="L2999">
            <v>41.027397260000001</v>
          </cell>
          <cell r="M2999">
            <v>4.8188119599999997</v>
          </cell>
        </row>
        <row r="3000">
          <cell r="L3000">
            <v>41.041095890000001</v>
          </cell>
          <cell r="M3000">
            <v>4.8190307299999997</v>
          </cell>
        </row>
        <row r="3001">
          <cell r="L3001">
            <v>41.054794520000002</v>
          </cell>
          <cell r="M3001">
            <v>4.8192488200000003</v>
          </cell>
        </row>
        <row r="3002">
          <cell r="L3002">
            <v>41.068493150000002</v>
          </cell>
          <cell r="M3002">
            <v>4.8194662499999996</v>
          </cell>
        </row>
        <row r="3003">
          <cell r="L3003">
            <v>41.082191780000002</v>
          </cell>
          <cell r="M3003">
            <v>4.81968307</v>
          </cell>
        </row>
        <row r="3004">
          <cell r="L3004">
            <v>41.095890410000003</v>
          </cell>
          <cell r="M3004">
            <v>4.8198993100000003</v>
          </cell>
        </row>
        <row r="3005">
          <cell r="L3005">
            <v>41.109589040000003</v>
          </cell>
          <cell r="M3005">
            <v>4.8201150000000004</v>
          </cell>
        </row>
        <row r="3006">
          <cell r="L3006">
            <v>41.123287670000003</v>
          </cell>
          <cell r="M3006">
            <v>4.8203301600000001</v>
          </cell>
        </row>
        <row r="3007">
          <cell r="L3007">
            <v>41.136986299999997</v>
          </cell>
          <cell r="M3007">
            <v>4.8205448300000002</v>
          </cell>
        </row>
        <row r="3008">
          <cell r="L3008">
            <v>41.150684929999997</v>
          </cell>
          <cell r="M3008">
            <v>4.8207590500000004</v>
          </cell>
        </row>
        <row r="3009">
          <cell r="L3009">
            <v>41.164383559999997</v>
          </cell>
          <cell r="M3009">
            <v>4.8209728399999996</v>
          </cell>
        </row>
        <row r="3010">
          <cell r="L3010">
            <v>41.178082189999998</v>
          </cell>
          <cell r="M3010">
            <v>4.8211862400000003</v>
          </cell>
        </row>
        <row r="3011">
          <cell r="L3011">
            <v>41.191780819999998</v>
          </cell>
          <cell r="M3011">
            <v>4.8213992799999996</v>
          </cell>
        </row>
        <row r="3012">
          <cell r="L3012">
            <v>41.205479449999999</v>
          </cell>
          <cell r="M3012">
            <v>4.8216119900000001</v>
          </cell>
        </row>
        <row r="3013">
          <cell r="L3013">
            <v>41.219178079999999</v>
          </cell>
          <cell r="M3013">
            <v>4.8218243999999997</v>
          </cell>
        </row>
        <row r="3014">
          <cell r="L3014">
            <v>41.232876709999999</v>
          </cell>
          <cell r="M3014">
            <v>4.82203655</v>
          </cell>
        </row>
        <row r="3015">
          <cell r="L3015">
            <v>41.24657534</v>
          </cell>
          <cell r="M3015">
            <v>4.82224846</v>
          </cell>
        </row>
        <row r="3016">
          <cell r="L3016">
            <v>41.26027397</v>
          </cell>
          <cell r="M3016">
            <v>4.8224601700000003</v>
          </cell>
        </row>
        <row r="3017">
          <cell r="L3017">
            <v>41.2739726</v>
          </cell>
          <cell r="M3017">
            <v>4.8226717099999998</v>
          </cell>
        </row>
        <row r="3018">
          <cell r="L3018">
            <v>41.287671230000001</v>
          </cell>
          <cell r="M3018">
            <v>4.8228831100000003</v>
          </cell>
        </row>
        <row r="3019">
          <cell r="L3019">
            <v>41.301369860000001</v>
          </cell>
          <cell r="M3019">
            <v>4.8230944100000004</v>
          </cell>
        </row>
        <row r="3020">
          <cell r="L3020">
            <v>41.315068490000002</v>
          </cell>
          <cell r="M3020">
            <v>4.8233056300000001</v>
          </cell>
        </row>
        <row r="3021">
          <cell r="L3021">
            <v>41.328767120000002</v>
          </cell>
          <cell r="M3021">
            <v>4.8235168100000001</v>
          </cell>
        </row>
        <row r="3022">
          <cell r="L3022">
            <v>41.342465750000002</v>
          </cell>
          <cell r="M3022">
            <v>4.8237279800000001</v>
          </cell>
        </row>
        <row r="3023">
          <cell r="L3023">
            <v>41.356164380000003</v>
          </cell>
          <cell r="M3023">
            <v>4.8239391700000001</v>
          </cell>
        </row>
        <row r="3024">
          <cell r="L3024">
            <v>41.369863010000003</v>
          </cell>
          <cell r="M3024">
            <v>4.8241504099999997</v>
          </cell>
        </row>
        <row r="3025">
          <cell r="L3025">
            <v>41.383561640000003</v>
          </cell>
          <cell r="M3025">
            <v>4.8243617399999996</v>
          </cell>
        </row>
        <row r="3026">
          <cell r="L3026">
            <v>41.397260269999997</v>
          </cell>
          <cell r="M3026">
            <v>4.8245731899999997</v>
          </cell>
        </row>
        <row r="3027">
          <cell r="L3027">
            <v>41.410958899999997</v>
          </cell>
          <cell r="M3027">
            <v>4.8247847799999999</v>
          </cell>
        </row>
        <row r="3028">
          <cell r="L3028">
            <v>41.424657529999998</v>
          </cell>
          <cell r="M3028">
            <v>4.8249965599999998</v>
          </cell>
        </row>
        <row r="3029">
          <cell r="L3029">
            <v>41.438356159999998</v>
          </cell>
          <cell r="M3029">
            <v>4.8252085400000002</v>
          </cell>
        </row>
        <row r="3030">
          <cell r="L3030">
            <v>41.452054789999998</v>
          </cell>
          <cell r="M3030">
            <v>4.82542078</v>
          </cell>
        </row>
        <row r="3031">
          <cell r="L3031">
            <v>41.465753419999999</v>
          </cell>
          <cell r="M3031">
            <v>4.8256332899999999</v>
          </cell>
        </row>
        <row r="3032">
          <cell r="L3032">
            <v>41.479452049999999</v>
          </cell>
          <cell r="M3032">
            <v>4.8258460999999997</v>
          </cell>
        </row>
        <row r="3033">
          <cell r="L3033">
            <v>41.493150679999999</v>
          </cell>
          <cell r="M3033">
            <v>4.8260592600000001</v>
          </cell>
        </row>
        <row r="3034">
          <cell r="L3034">
            <v>41.506849320000001</v>
          </cell>
          <cell r="M3034">
            <v>4.8262726599999999</v>
          </cell>
        </row>
        <row r="3035">
          <cell r="L3035">
            <v>41.520547950000001</v>
          </cell>
          <cell r="M3035">
            <v>4.8264855100000004</v>
          </cell>
        </row>
        <row r="3036">
          <cell r="L3036">
            <v>41.534246580000001</v>
          </cell>
          <cell r="M3036">
            <v>4.8266977100000004</v>
          </cell>
        </row>
        <row r="3037">
          <cell r="L3037">
            <v>41.547945210000002</v>
          </cell>
          <cell r="M3037">
            <v>4.8269092999999996</v>
          </cell>
        </row>
        <row r="3038">
          <cell r="L3038">
            <v>41.561643840000002</v>
          </cell>
          <cell r="M3038">
            <v>4.8271202899999999</v>
          </cell>
        </row>
        <row r="3039">
          <cell r="L3039">
            <v>41.575342470000002</v>
          </cell>
          <cell r="M3039">
            <v>4.82733072</v>
          </cell>
        </row>
        <row r="3040">
          <cell r="L3040">
            <v>41.589041100000003</v>
          </cell>
          <cell r="M3040">
            <v>4.8275406099999998</v>
          </cell>
        </row>
        <row r="3041">
          <cell r="L3041">
            <v>41.602739730000003</v>
          </cell>
          <cell r="M3041">
            <v>4.82775</v>
          </cell>
        </row>
        <row r="3042">
          <cell r="L3042">
            <v>41.616438359999997</v>
          </cell>
          <cell r="M3042">
            <v>4.8279589100000004</v>
          </cell>
        </row>
        <row r="3043">
          <cell r="L3043">
            <v>41.630136989999997</v>
          </cell>
          <cell r="M3043">
            <v>4.8281673700000001</v>
          </cell>
        </row>
        <row r="3044">
          <cell r="L3044">
            <v>41.643835619999997</v>
          </cell>
          <cell r="M3044">
            <v>4.8283754099999996</v>
          </cell>
        </row>
        <row r="3045">
          <cell r="L3045">
            <v>41.657534249999998</v>
          </cell>
          <cell r="M3045">
            <v>4.8285830499999998</v>
          </cell>
        </row>
        <row r="3046">
          <cell r="L3046">
            <v>41.671232879999998</v>
          </cell>
          <cell r="M3046">
            <v>4.8287903400000003</v>
          </cell>
        </row>
        <row r="3047">
          <cell r="L3047">
            <v>41.684931509999998</v>
          </cell>
          <cell r="M3047">
            <v>4.8289972800000003</v>
          </cell>
        </row>
        <row r="3048">
          <cell r="L3048">
            <v>41.698630139999999</v>
          </cell>
          <cell r="M3048">
            <v>4.8292039200000003</v>
          </cell>
        </row>
        <row r="3049">
          <cell r="L3049">
            <v>41.712328769999999</v>
          </cell>
          <cell r="M3049">
            <v>4.8294102700000003</v>
          </cell>
        </row>
        <row r="3050">
          <cell r="L3050">
            <v>41.7260274</v>
          </cell>
          <cell r="M3050">
            <v>4.82961638</v>
          </cell>
        </row>
        <row r="3051">
          <cell r="L3051">
            <v>41.73972603</v>
          </cell>
          <cell r="M3051">
            <v>4.8298222600000003</v>
          </cell>
        </row>
        <row r="3052">
          <cell r="L3052">
            <v>41.75342466</v>
          </cell>
          <cell r="M3052">
            <v>4.8300279499999998</v>
          </cell>
        </row>
        <row r="3053">
          <cell r="L3053">
            <v>41.767123290000001</v>
          </cell>
          <cell r="M3053">
            <v>4.8302334800000004</v>
          </cell>
        </row>
        <row r="3054">
          <cell r="L3054">
            <v>41.780821920000001</v>
          </cell>
          <cell r="M3054">
            <v>4.8304388600000001</v>
          </cell>
        </row>
        <row r="3055">
          <cell r="L3055">
            <v>41.794520550000001</v>
          </cell>
          <cell r="M3055">
            <v>4.8306441400000004</v>
          </cell>
        </row>
        <row r="3056">
          <cell r="L3056">
            <v>41.808219180000002</v>
          </cell>
          <cell r="M3056">
            <v>4.8308493300000004</v>
          </cell>
        </row>
        <row r="3057">
          <cell r="L3057">
            <v>41.821917810000002</v>
          </cell>
          <cell r="M3057">
            <v>4.8310544799999997</v>
          </cell>
        </row>
        <row r="3058">
          <cell r="L3058">
            <v>41.835616440000003</v>
          </cell>
          <cell r="M3058">
            <v>4.8312596000000001</v>
          </cell>
        </row>
        <row r="3059">
          <cell r="L3059">
            <v>41.849315070000003</v>
          </cell>
          <cell r="M3059">
            <v>4.8314647199999996</v>
          </cell>
        </row>
        <row r="3060">
          <cell r="L3060">
            <v>41.863013700000003</v>
          </cell>
          <cell r="M3060">
            <v>4.8316698799999998</v>
          </cell>
        </row>
        <row r="3061">
          <cell r="L3061">
            <v>41.876712329999997</v>
          </cell>
          <cell r="M3061">
            <v>4.8318750899999996</v>
          </cell>
        </row>
        <row r="3062">
          <cell r="L3062">
            <v>41.890410959999997</v>
          </cell>
          <cell r="M3062">
            <v>4.8320803999999997</v>
          </cell>
        </row>
        <row r="3063">
          <cell r="L3063">
            <v>41.904109589999997</v>
          </cell>
          <cell r="M3063">
            <v>4.83228583</v>
          </cell>
        </row>
        <row r="3064">
          <cell r="L3064">
            <v>41.917808219999998</v>
          </cell>
          <cell r="M3064">
            <v>4.8324914000000003</v>
          </cell>
        </row>
        <row r="3065">
          <cell r="L3065">
            <v>41.931506849999998</v>
          </cell>
          <cell r="M3065">
            <v>4.8326971500000004</v>
          </cell>
        </row>
        <row r="3066">
          <cell r="L3066">
            <v>41.945205479999998</v>
          </cell>
          <cell r="M3066">
            <v>4.8329030900000003</v>
          </cell>
        </row>
        <row r="3067">
          <cell r="L3067">
            <v>41.958904109999999</v>
          </cell>
          <cell r="M3067">
            <v>4.8331092800000004</v>
          </cell>
        </row>
        <row r="3068">
          <cell r="L3068">
            <v>41.972602739999999</v>
          </cell>
          <cell r="M3068">
            <v>4.8333157199999999</v>
          </cell>
        </row>
        <row r="3069">
          <cell r="L3069">
            <v>41.98630137</v>
          </cell>
          <cell r="M3069">
            <v>4.8335224400000003</v>
          </cell>
        </row>
        <row r="3070">
          <cell r="L3070">
            <v>42</v>
          </cell>
          <cell r="M3070">
            <v>4.8337294899999996</v>
          </cell>
        </row>
        <row r="3071">
          <cell r="L3071">
            <v>42.01369863</v>
          </cell>
          <cell r="M3071">
            <v>4.8339364099999997</v>
          </cell>
        </row>
        <row r="3072">
          <cell r="L3072">
            <v>42.027397260000001</v>
          </cell>
          <cell r="M3072">
            <v>4.8341427499999998</v>
          </cell>
        </row>
        <row r="3073">
          <cell r="L3073">
            <v>42.041095890000001</v>
          </cell>
          <cell r="M3073">
            <v>4.8343485399999997</v>
          </cell>
        </row>
        <row r="3074">
          <cell r="L3074">
            <v>42.054794520000002</v>
          </cell>
          <cell r="M3074">
            <v>4.8345538100000001</v>
          </cell>
        </row>
        <row r="3075">
          <cell r="L3075">
            <v>42.068493150000002</v>
          </cell>
          <cell r="M3075">
            <v>4.83475857</v>
          </cell>
        </row>
        <row r="3076">
          <cell r="L3076">
            <v>42.082191780000002</v>
          </cell>
          <cell r="M3076">
            <v>4.8349628600000001</v>
          </cell>
        </row>
        <row r="3077">
          <cell r="L3077">
            <v>42.095890410000003</v>
          </cell>
          <cell r="M3077">
            <v>4.8351666900000003</v>
          </cell>
        </row>
        <row r="3078">
          <cell r="L3078">
            <v>42.109589040000003</v>
          </cell>
          <cell r="M3078">
            <v>4.8353700999999996</v>
          </cell>
        </row>
        <row r="3079">
          <cell r="L3079">
            <v>42.123287670000003</v>
          </cell>
          <cell r="M3079">
            <v>4.8355731000000004</v>
          </cell>
        </row>
        <row r="3080">
          <cell r="L3080">
            <v>42.136986299999997</v>
          </cell>
          <cell r="M3080">
            <v>4.8357757299999999</v>
          </cell>
        </row>
        <row r="3081">
          <cell r="L3081">
            <v>42.150684929999997</v>
          </cell>
          <cell r="M3081">
            <v>4.8359780099999998</v>
          </cell>
        </row>
        <row r="3082">
          <cell r="L3082">
            <v>42.164383559999997</v>
          </cell>
          <cell r="M3082">
            <v>4.83617995</v>
          </cell>
        </row>
        <row r="3083">
          <cell r="L3083">
            <v>42.178082189999998</v>
          </cell>
          <cell r="M3083">
            <v>4.8363815900000002</v>
          </cell>
        </row>
        <row r="3084">
          <cell r="L3084">
            <v>42.191780819999998</v>
          </cell>
          <cell r="M3084">
            <v>4.8365829600000003</v>
          </cell>
        </row>
        <row r="3085">
          <cell r="L3085">
            <v>42.205479449999999</v>
          </cell>
          <cell r="M3085">
            <v>4.8367840600000003</v>
          </cell>
        </row>
        <row r="3086">
          <cell r="L3086">
            <v>42.219178079999999</v>
          </cell>
          <cell r="M3086">
            <v>4.8369849399999998</v>
          </cell>
        </row>
        <row r="3087">
          <cell r="L3087">
            <v>42.232876709999999</v>
          </cell>
          <cell r="M3087">
            <v>4.8371856199999996</v>
          </cell>
        </row>
        <row r="3088">
          <cell r="L3088">
            <v>42.24657534</v>
          </cell>
          <cell r="M3088">
            <v>4.8373861099999997</v>
          </cell>
        </row>
        <row r="3089">
          <cell r="L3089">
            <v>42.26027397</v>
          </cell>
          <cell r="M3089">
            <v>4.8375864499999999</v>
          </cell>
        </row>
        <row r="3090">
          <cell r="L3090">
            <v>42.2739726</v>
          </cell>
          <cell r="M3090">
            <v>4.8377866599999999</v>
          </cell>
        </row>
        <row r="3091">
          <cell r="L3091">
            <v>42.287671230000001</v>
          </cell>
          <cell r="M3091">
            <v>4.8379867599999997</v>
          </cell>
        </row>
        <row r="3092">
          <cell r="L3092">
            <v>42.301369860000001</v>
          </cell>
          <cell r="M3092">
            <v>4.83818678</v>
          </cell>
        </row>
        <row r="3093">
          <cell r="L3093">
            <v>42.315068490000002</v>
          </cell>
          <cell r="M3093">
            <v>4.8383867399999998</v>
          </cell>
        </row>
        <row r="3094">
          <cell r="L3094">
            <v>42.328767120000002</v>
          </cell>
          <cell r="M3094">
            <v>4.8385866699999998</v>
          </cell>
        </row>
        <row r="3095">
          <cell r="L3095">
            <v>42.342465750000002</v>
          </cell>
          <cell r="M3095">
            <v>4.8387865899999998</v>
          </cell>
        </row>
        <row r="3096">
          <cell r="L3096">
            <v>42.356164380000003</v>
          </cell>
          <cell r="M3096">
            <v>4.8389865399999996</v>
          </cell>
        </row>
        <row r="3097">
          <cell r="L3097">
            <v>42.369863010000003</v>
          </cell>
          <cell r="M3097">
            <v>4.8391865200000002</v>
          </cell>
        </row>
        <row r="3098">
          <cell r="L3098">
            <v>42.383561640000003</v>
          </cell>
          <cell r="M3098">
            <v>4.8393865700000003</v>
          </cell>
        </row>
        <row r="3099">
          <cell r="L3099">
            <v>42.397260269999997</v>
          </cell>
          <cell r="M3099">
            <v>4.8395867099999998</v>
          </cell>
        </row>
        <row r="3100">
          <cell r="L3100">
            <v>42.410958899999997</v>
          </cell>
          <cell r="M3100">
            <v>4.8397869699999996</v>
          </cell>
        </row>
        <row r="3101">
          <cell r="L3101">
            <v>42.424657529999998</v>
          </cell>
          <cell r="M3101">
            <v>4.8399873700000002</v>
          </cell>
        </row>
        <row r="3102">
          <cell r="L3102">
            <v>42.438356159999998</v>
          </cell>
          <cell r="M3102">
            <v>4.8401879299999999</v>
          </cell>
        </row>
        <row r="3103">
          <cell r="L3103">
            <v>42.452054789999998</v>
          </cell>
          <cell r="M3103">
            <v>4.8403886800000002</v>
          </cell>
        </row>
        <row r="3104">
          <cell r="L3104">
            <v>42.465753419999999</v>
          </cell>
          <cell r="M3104">
            <v>4.8405896500000001</v>
          </cell>
        </row>
        <row r="3105">
          <cell r="L3105">
            <v>42.479452049999999</v>
          </cell>
          <cell r="M3105">
            <v>4.8407908600000003</v>
          </cell>
        </row>
        <row r="3106">
          <cell r="L3106">
            <v>42.493150679999999</v>
          </cell>
          <cell r="M3106">
            <v>4.8409923399999997</v>
          </cell>
        </row>
        <row r="3107">
          <cell r="L3107">
            <v>42.506849320000001</v>
          </cell>
          <cell r="M3107">
            <v>4.8411939999999998</v>
          </cell>
        </row>
        <row r="3108">
          <cell r="L3108">
            <v>42.520547950000001</v>
          </cell>
          <cell r="M3108">
            <v>4.8413952699999996</v>
          </cell>
        </row>
        <row r="3109">
          <cell r="L3109">
            <v>42.534246580000001</v>
          </cell>
          <cell r="M3109">
            <v>4.8415960599999996</v>
          </cell>
        </row>
        <row r="3110">
          <cell r="L3110">
            <v>42.547945210000002</v>
          </cell>
          <cell r="M3110">
            <v>4.8417963999999998</v>
          </cell>
        </row>
        <row r="3111">
          <cell r="L3111">
            <v>42.561643840000002</v>
          </cell>
          <cell r="M3111">
            <v>4.8419963099999999</v>
          </cell>
        </row>
        <row r="3112">
          <cell r="L3112">
            <v>42.575342470000002</v>
          </cell>
          <cell r="M3112">
            <v>4.8421958099999998</v>
          </cell>
        </row>
        <row r="3113">
          <cell r="L3113">
            <v>42.589041100000003</v>
          </cell>
          <cell r="M3113">
            <v>4.8423949200000003</v>
          </cell>
        </row>
        <row r="3114">
          <cell r="L3114">
            <v>42.602739730000003</v>
          </cell>
          <cell r="M3114">
            <v>4.8425936600000004</v>
          </cell>
        </row>
        <row r="3115">
          <cell r="L3115">
            <v>42.616438359999997</v>
          </cell>
          <cell r="M3115">
            <v>4.8427920499999999</v>
          </cell>
        </row>
        <row r="3116">
          <cell r="L3116">
            <v>42.630136989999997</v>
          </cell>
          <cell r="M3116">
            <v>4.8429901099999997</v>
          </cell>
        </row>
        <row r="3117">
          <cell r="L3117">
            <v>42.643835619999997</v>
          </cell>
          <cell r="M3117">
            <v>4.8431878700000004</v>
          </cell>
        </row>
        <row r="3118">
          <cell r="L3118">
            <v>42.657534249999998</v>
          </cell>
          <cell r="M3118">
            <v>4.8433853400000002</v>
          </cell>
        </row>
        <row r="3119">
          <cell r="L3119">
            <v>42.671232879999998</v>
          </cell>
          <cell r="M3119">
            <v>4.8435825399999999</v>
          </cell>
        </row>
        <row r="3120">
          <cell r="L3120">
            <v>42.684931509999998</v>
          </cell>
          <cell r="M3120">
            <v>4.8437795000000001</v>
          </cell>
        </row>
        <row r="3121">
          <cell r="L3121">
            <v>42.698630139999999</v>
          </cell>
          <cell r="M3121">
            <v>4.8439762399999999</v>
          </cell>
        </row>
        <row r="3122">
          <cell r="L3122">
            <v>42.712328769999999</v>
          </cell>
          <cell r="M3122">
            <v>4.8441727700000001</v>
          </cell>
        </row>
        <row r="3123">
          <cell r="L3123">
            <v>42.7260274</v>
          </cell>
          <cell r="M3123">
            <v>4.8443691199999996</v>
          </cell>
        </row>
        <row r="3124">
          <cell r="L3124">
            <v>42.73972603</v>
          </cell>
          <cell r="M3124">
            <v>4.8445653000000002</v>
          </cell>
        </row>
        <row r="3125">
          <cell r="L3125">
            <v>42.75342466</v>
          </cell>
          <cell r="M3125">
            <v>4.8447613499999997</v>
          </cell>
        </row>
        <row r="3126">
          <cell r="L3126">
            <v>42.767123290000001</v>
          </cell>
          <cell r="M3126">
            <v>4.84495728</v>
          </cell>
        </row>
        <row r="3127">
          <cell r="L3127">
            <v>42.780821920000001</v>
          </cell>
          <cell r="M3127">
            <v>4.8451531000000001</v>
          </cell>
        </row>
        <row r="3128">
          <cell r="L3128">
            <v>42.794520550000001</v>
          </cell>
          <cell r="M3128">
            <v>4.8453488499999997</v>
          </cell>
        </row>
        <row r="3129">
          <cell r="L3129">
            <v>42.808219180000002</v>
          </cell>
          <cell r="M3129">
            <v>4.8455445399999997</v>
          </cell>
        </row>
        <row r="3130">
          <cell r="L3130">
            <v>42.821917810000002</v>
          </cell>
          <cell r="M3130">
            <v>4.8457401999999998</v>
          </cell>
        </row>
        <row r="3131">
          <cell r="L3131">
            <v>42.835616440000003</v>
          </cell>
          <cell r="M3131">
            <v>4.8459358400000001</v>
          </cell>
        </row>
        <row r="3132">
          <cell r="L3132">
            <v>42.849315070000003</v>
          </cell>
          <cell r="M3132">
            <v>4.8461314800000004</v>
          </cell>
        </row>
        <row r="3133">
          <cell r="L3133">
            <v>42.863013700000003</v>
          </cell>
          <cell r="M3133">
            <v>4.8463271499999996</v>
          </cell>
        </row>
        <row r="3134">
          <cell r="L3134">
            <v>42.876712329999997</v>
          </cell>
          <cell r="M3134">
            <v>4.8465228600000003</v>
          </cell>
        </row>
        <row r="3135">
          <cell r="L3135">
            <v>42.890410959999997</v>
          </cell>
          <cell r="M3135">
            <v>4.8467186399999997</v>
          </cell>
        </row>
        <row r="3136">
          <cell r="L3136">
            <v>42.904109589999997</v>
          </cell>
          <cell r="M3136">
            <v>4.8469145100000004</v>
          </cell>
        </row>
        <row r="3137">
          <cell r="L3137">
            <v>42.917808219999998</v>
          </cell>
          <cell r="M3137">
            <v>4.8471104900000004</v>
          </cell>
        </row>
        <row r="3138">
          <cell r="L3138">
            <v>42.931506849999998</v>
          </cell>
          <cell r="M3138">
            <v>4.8473065999999996</v>
          </cell>
        </row>
        <row r="3139">
          <cell r="L3139">
            <v>42.945205479999998</v>
          </cell>
          <cell r="M3139">
            <v>4.8475028599999996</v>
          </cell>
        </row>
        <row r="3140">
          <cell r="L3140">
            <v>42.958904109999999</v>
          </cell>
          <cell r="M3140">
            <v>4.8476992900000004</v>
          </cell>
        </row>
        <row r="3141">
          <cell r="L3141">
            <v>42.972602739999999</v>
          </cell>
          <cell r="M3141">
            <v>4.8478959100000001</v>
          </cell>
        </row>
        <row r="3142">
          <cell r="L3142">
            <v>42.98630137</v>
          </cell>
          <cell r="M3142">
            <v>4.8480927400000002</v>
          </cell>
        </row>
        <row r="3143">
          <cell r="L3143">
            <v>43</v>
          </cell>
          <cell r="M3143">
            <v>4.8482898099999998</v>
          </cell>
        </row>
        <row r="3144">
          <cell r="L3144">
            <v>43.01369863</v>
          </cell>
          <cell r="M3144">
            <v>4.8484867999999999</v>
          </cell>
        </row>
        <row r="3145">
          <cell r="L3145">
            <v>43.027397260000001</v>
          </cell>
          <cell r="M3145">
            <v>4.8486834099999996</v>
          </cell>
        </row>
        <row r="3146">
          <cell r="L3146">
            <v>43.041095890000001</v>
          </cell>
          <cell r="M3146">
            <v>4.8488796599999997</v>
          </cell>
        </row>
        <row r="3147">
          <cell r="L3147">
            <v>43.054794520000002</v>
          </cell>
          <cell r="M3147">
            <v>4.8490755500000002</v>
          </cell>
        </row>
        <row r="3148">
          <cell r="L3148">
            <v>43.068493150000002</v>
          </cell>
          <cell r="M3148">
            <v>4.8492711100000001</v>
          </cell>
        </row>
        <row r="3149">
          <cell r="L3149">
            <v>43.082191780000002</v>
          </cell>
          <cell r="M3149">
            <v>4.8494663600000001</v>
          </cell>
        </row>
        <row r="3150">
          <cell r="L3150">
            <v>43.095890410000003</v>
          </cell>
          <cell r="M3150">
            <v>4.8496613000000002</v>
          </cell>
        </row>
        <row r="3151">
          <cell r="L3151">
            <v>43.109589040000003</v>
          </cell>
          <cell r="M3151">
            <v>4.8498559700000001</v>
          </cell>
        </row>
        <row r="3152">
          <cell r="L3152">
            <v>43.123287670000003</v>
          </cell>
          <cell r="M3152">
            <v>4.85005036</v>
          </cell>
        </row>
        <row r="3153">
          <cell r="L3153">
            <v>43.136986299999997</v>
          </cell>
          <cell r="M3153">
            <v>4.8502444999999996</v>
          </cell>
        </row>
        <row r="3154">
          <cell r="L3154">
            <v>43.150684929999997</v>
          </cell>
          <cell r="M3154">
            <v>4.8504384099999998</v>
          </cell>
        </row>
        <row r="3155">
          <cell r="L3155">
            <v>43.164383559999997</v>
          </cell>
          <cell r="M3155">
            <v>4.8506321000000003</v>
          </cell>
        </row>
        <row r="3156">
          <cell r="L3156">
            <v>43.178082189999998</v>
          </cell>
          <cell r="M3156">
            <v>4.8508255800000004</v>
          </cell>
        </row>
        <row r="3157">
          <cell r="L3157">
            <v>43.191780819999998</v>
          </cell>
          <cell r="M3157">
            <v>4.8510188899999998</v>
          </cell>
        </row>
        <row r="3158">
          <cell r="L3158">
            <v>43.205479449999999</v>
          </cell>
          <cell r="M3158">
            <v>4.8512120200000002</v>
          </cell>
        </row>
        <row r="3159">
          <cell r="L3159">
            <v>43.219178079999999</v>
          </cell>
          <cell r="M3159">
            <v>4.8514049999999997</v>
          </cell>
        </row>
        <row r="3160">
          <cell r="L3160">
            <v>43.232876709999999</v>
          </cell>
          <cell r="M3160">
            <v>4.8515978400000002</v>
          </cell>
        </row>
        <row r="3161">
          <cell r="L3161">
            <v>43.24657534</v>
          </cell>
          <cell r="M3161">
            <v>4.8517905600000004</v>
          </cell>
        </row>
        <row r="3162">
          <cell r="L3162">
            <v>43.26027397</v>
          </cell>
          <cell r="M3162">
            <v>4.8519831800000004</v>
          </cell>
        </row>
        <row r="3163">
          <cell r="L3163">
            <v>43.2739726</v>
          </cell>
          <cell r="M3163">
            <v>4.85217572</v>
          </cell>
        </row>
        <row r="3164">
          <cell r="L3164">
            <v>43.287671230000001</v>
          </cell>
          <cell r="M3164">
            <v>4.85236818</v>
          </cell>
        </row>
        <row r="3165">
          <cell r="L3165">
            <v>43.301369860000001</v>
          </cell>
          <cell r="M3165">
            <v>4.8525605900000004</v>
          </cell>
        </row>
        <row r="3166">
          <cell r="L3166">
            <v>43.315068490000002</v>
          </cell>
          <cell r="M3166">
            <v>4.8527529600000001</v>
          </cell>
        </row>
        <row r="3167">
          <cell r="L3167">
            <v>43.328767120000002</v>
          </cell>
          <cell r="M3167">
            <v>4.8529453</v>
          </cell>
        </row>
        <row r="3168">
          <cell r="L3168">
            <v>43.342465750000002</v>
          </cell>
          <cell r="M3168">
            <v>4.8531376499999999</v>
          </cell>
        </row>
        <row r="3169">
          <cell r="L3169">
            <v>43.356164380000003</v>
          </cell>
          <cell r="M3169">
            <v>4.8533299999999997</v>
          </cell>
        </row>
        <row r="3170">
          <cell r="L3170">
            <v>43.369863010000003</v>
          </cell>
          <cell r="M3170">
            <v>4.8535223800000002</v>
          </cell>
        </row>
        <row r="3171">
          <cell r="L3171">
            <v>43.383561640000003</v>
          </cell>
          <cell r="M3171">
            <v>4.8537148099999996</v>
          </cell>
        </row>
        <row r="3172">
          <cell r="L3172">
            <v>43.397260269999997</v>
          </cell>
          <cell r="M3172">
            <v>4.8539072900000004</v>
          </cell>
        </row>
        <row r="3173">
          <cell r="L3173">
            <v>43.410958899999997</v>
          </cell>
          <cell r="M3173">
            <v>4.8540998599999998</v>
          </cell>
        </row>
        <row r="3174">
          <cell r="L3174">
            <v>43.424657529999998</v>
          </cell>
          <cell r="M3174">
            <v>4.8542925099999996</v>
          </cell>
        </row>
        <row r="3175">
          <cell r="L3175">
            <v>43.438356159999998</v>
          </cell>
          <cell r="M3175">
            <v>4.8544852799999996</v>
          </cell>
        </row>
        <row r="3176">
          <cell r="L3176">
            <v>43.452054789999998</v>
          </cell>
          <cell r="M3176">
            <v>4.8546781699999997</v>
          </cell>
        </row>
        <row r="3177">
          <cell r="L3177">
            <v>43.465753419999999</v>
          </cell>
          <cell r="M3177">
            <v>4.8548711999999998</v>
          </cell>
        </row>
        <row r="3178">
          <cell r="L3178">
            <v>43.479452049999999</v>
          </cell>
          <cell r="M3178">
            <v>4.8550643999999998</v>
          </cell>
        </row>
        <row r="3179">
          <cell r="L3179">
            <v>43.493150679999999</v>
          </cell>
          <cell r="M3179">
            <v>4.8552577699999997</v>
          </cell>
        </row>
        <row r="3180">
          <cell r="L3180">
            <v>43.506849320000001</v>
          </cell>
          <cell r="M3180">
            <v>4.8554512599999997</v>
          </cell>
        </row>
        <row r="3181">
          <cell r="L3181">
            <v>43.520547950000001</v>
          </cell>
          <cell r="M3181">
            <v>4.8556445500000001</v>
          </cell>
        </row>
        <row r="3182">
          <cell r="L3182">
            <v>43.534246580000001</v>
          </cell>
          <cell r="M3182">
            <v>4.8558375600000003</v>
          </cell>
        </row>
        <row r="3183">
          <cell r="L3183">
            <v>43.547945210000002</v>
          </cell>
          <cell r="M3183">
            <v>4.8560303200000003</v>
          </cell>
        </row>
        <row r="3184">
          <cell r="L3184">
            <v>43.561643840000002</v>
          </cell>
          <cell r="M3184">
            <v>4.85622284</v>
          </cell>
        </row>
        <row r="3185">
          <cell r="L3185">
            <v>43.575342470000002</v>
          </cell>
          <cell r="M3185">
            <v>4.8564151200000003</v>
          </cell>
        </row>
        <row r="3186">
          <cell r="L3186">
            <v>43.589041100000003</v>
          </cell>
          <cell r="M3186">
            <v>4.8566071900000001</v>
          </cell>
        </row>
        <row r="3187">
          <cell r="L3187">
            <v>43.602739730000003</v>
          </cell>
          <cell r="M3187">
            <v>4.8567990400000003</v>
          </cell>
        </row>
        <row r="3188">
          <cell r="L3188">
            <v>43.616438359999997</v>
          </cell>
          <cell r="M3188">
            <v>4.8569907099999998</v>
          </cell>
        </row>
        <row r="3189">
          <cell r="L3189">
            <v>43.630136989999997</v>
          </cell>
          <cell r="M3189">
            <v>4.8571821799999997</v>
          </cell>
        </row>
        <row r="3190">
          <cell r="L3190">
            <v>43.643835619999997</v>
          </cell>
          <cell r="M3190">
            <v>4.8573734799999997</v>
          </cell>
        </row>
        <row r="3191">
          <cell r="L3191">
            <v>43.657534249999998</v>
          </cell>
          <cell r="M3191">
            <v>4.8575646199999998</v>
          </cell>
        </row>
        <row r="3192">
          <cell r="L3192">
            <v>43.671232879999998</v>
          </cell>
          <cell r="M3192">
            <v>4.8577556199999998</v>
          </cell>
        </row>
        <row r="3193">
          <cell r="L3193">
            <v>43.684931509999998</v>
          </cell>
          <cell r="M3193">
            <v>4.8579464699999999</v>
          </cell>
        </row>
        <row r="3194">
          <cell r="L3194">
            <v>43.698630139999999</v>
          </cell>
          <cell r="M3194">
            <v>4.8581371899999999</v>
          </cell>
        </row>
        <row r="3195">
          <cell r="L3195">
            <v>43.712328769999999</v>
          </cell>
          <cell r="M3195">
            <v>4.8583278099999996</v>
          </cell>
        </row>
        <row r="3196">
          <cell r="L3196">
            <v>43.7260274</v>
          </cell>
          <cell r="M3196">
            <v>4.8585183199999999</v>
          </cell>
        </row>
        <row r="3197">
          <cell r="L3197">
            <v>43.73972603</v>
          </cell>
          <cell r="M3197">
            <v>4.85870873</v>
          </cell>
        </row>
        <row r="3198">
          <cell r="L3198">
            <v>43.75342466</v>
          </cell>
          <cell r="M3198">
            <v>4.8588990699999997</v>
          </cell>
        </row>
        <row r="3199">
          <cell r="L3199">
            <v>43.767123290000001</v>
          </cell>
          <cell r="M3199">
            <v>4.8590893399999997</v>
          </cell>
        </row>
        <row r="3200">
          <cell r="L3200">
            <v>43.780821920000001</v>
          </cell>
          <cell r="M3200">
            <v>4.8592795600000001</v>
          </cell>
        </row>
        <row r="3201">
          <cell r="L3201">
            <v>43.794520550000001</v>
          </cell>
          <cell r="M3201">
            <v>4.8594697299999998</v>
          </cell>
        </row>
        <row r="3202">
          <cell r="L3202">
            <v>43.808219180000002</v>
          </cell>
          <cell r="M3202">
            <v>4.8596598599999998</v>
          </cell>
        </row>
        <row r="3203">
          <cell r="L3203">
            <v>43.821917810000002</v>
          </cell>
          <cell r="M3203">
            <v>4.8598499799999999</v>
          </cell>
        </row>
        <row r="3204">
          <cell r="L3204">
            <v>43.835616440000003</v>
          </cell>
          <cell r="M3204">
            <v>4.8600400800000001</v>
          </cell>
        </row>
        <row r="3205">
          <cell r="L3205">
            <v>43.849315070000003</v>
          </cell>
          <cell r="M3205">
            <v>4.8602301900000002</v>
          </cell>
        </row>
        <row r="3206">
          <cell r="L3206">
            <v>43.863013700000003</v>
          </cell>
          <cell r="M3206">
            <v>4.8604203100000003</v>
          </cell>
        </row>
        <row r="3207">
          <cell r="L3207">
            <v>43.876712329999997</v>
          </cell>
          <cell r="M3207">
            <v>4.8606104600000002</v>
          </cell>
        </row>
        <row r="3208">
          <cell r="L3208">
            <v>43.890410959999997</v>
          </cell>
          <cell r="M3208">
            <v>4.8608006499999998</v>
          </cell>
        </row>
        <row r="3209">
          <cell r="L3209">
            <v>43.904109589999997</v>
          </cell>
          <cell r="M3209">
            <v>4.8609908800000001</v>
          </cell>
        </row>
        <row r="3210">
          <cell r="L3210">
            <v>43.917808219999998</v>
          </cell>
          <cell r="M3210">
            <v>4.8611811700000001</v>
          </cell>
        </row>
        <row r="3211">
          <cell r="L3211">
            <v>43.931506849999998</v>
          </cell>
          <cell r="M3211">
            <v>4.8613715400000004</v>
          </cell>
        </row>
        <row r="3212">
          <cell r="L3212">
            <v>43.945205479999998</v>
          </cell>
          <cell r="M3212">
            <v>4.8615619900000002</v>
          </cell>
        </row>
        <row r="3213">
          <cell r="L3213">
            <v>43.958904109999999</v>
          </cell>
          <cell r="M3213">
            <v>4.8617525400000003</v>
          </cell>
        </row>
        <row r="3214">
          <cell r="L3214">
            <v>43.972602739999999</v>
          </cell>
          <cell r="M3214">
            <v>4.8619431899999999</v>
          </cell>
        </row>
        <row r="3215">
          <cell r="L3215">
            <v>43.98630137</v>
          </cell>
          <cell r="M3215">
            <v>4.8621339700000004</v>
          </cell>
        </row>
        <row r="3216">
          <cell r="L3216">
            <v>44</v>
          </cell>
          <cell r="M3216">
            <v>4.8623248700000001</v>
          </cell>
        </row>
        <row r="3217">
          <cell r="L3217">
            <v>44.01369863</v>
          </cell>
          <cell r="M3217">
            <v>4.86251576</v>
          </cell>
        </row>
        <row r="3218">
          <cell r="L3218">
            <v>44.027397260000001</v>
          </cell>
          <cell r="M3218">
            <v>4.8627064999999998</v>
          </cell>
        </row>
        <row r="3219">
          <cell r="L3219">
            <v>44.041095890000001</v>
          </cell>
          <cell r="M3219">
            <v>4.8628970899999997</v>
          </cell>
        </row>
        <row r="3220">
          <cell r="L3220">
            <v>44.054794520000002</v>
          </cell>
          <cell r="M3220">
            <v>4.8630875299999996</v>
          </cell>
        </row>
        <row r="3221">
          <cell r="L3221">
            <v>44.068493150000002</v>
          </cell>
          <cell r="M3221">
            <v>4.8632778300000004</v>
          </cell>
        </row>
        <row r="3222">
          <cell r="L3222">
            <v>44.082191780000002</v>
          </cell>
          <cell r="M3222">
            <v>4.8634680100000001</v>
          </cell>
        </row>
        <row r="3223">
          <cell r="L3223">
            <v>44.095890410000003</v>
          </cell>
          <cell r="M3223">
            <v>4.8636580599999997</v>
          </cell>
        </row>
        <row r="3224">
          <cell r="L3224">
            <v>44.109589040000003</v>
          </cell>
          <cell r="M3224">
            <v>4.86384799</v>
          </cell>
        </row>
        <row r="3225">
          <cell r="L3225">
            <v>44.123287670000003</v>
          </cell>
          <cell r="M3225">
            <v>4.8640378100000001</v>
          </cell>
        </row>
        <row r="3226">
          <cell r="L3226">
            <v>44.136986299999997</v>
          </cell>
          <cell r="M3226">
            <v>4.86422753</v>
          </cell>
        </row>
        <row r="3227">
          <cell r="L3227">
            <v>44.150684929999997</v>
          </cell>
          <cell r="M3227">
            <v>4.8644171600000004</v>
          </cell>
        </row>
        <row r="3228">
          <cell r="L3228">
            <v>44.164383559999997</v>
          </cell>
          <cell r="M3228">
            <v>4.8646066899999996</v>
          </cell>
        </row>
        <row r="3229">
          <cell r="L3229">
            <v>44.178082189999998</v>
          </cell>
          <cell r="M3229">
            <v>4.8647961400000002</v>
          </cell>
        </row>
        <row r="3230">
          <cell r="L3230">
            <v>44.191780819999998</v>
          </cell>
          <cell r="M3230">
            <v>4.8649855200000003</v>
          </cell>
        </row>
        <row r="3231">
          <cell r="L3231">
            <v>44.205479449999999</v>
          </cell>
          <cell r="M3231">
            <v>4.86517483</v>
          </cell>
        </row>
        <row r="3232">
          <cell r="L3232">
            <v>44.219178079999999</v>
          </cell>
          <cell r="M3232">
            <v>4.86536407</v>
          </cell>
        </row>
        <row r="3233">
          <cell r="L3233">
            <v>44.232876709999999</v>
          </cell>
          <cell r="M3233">
            <v>4.8655532499999996</v>
          </cell>
        </row>
        <row r="3234">
          <cell r="L3234">
            <v>44.24657534</v>
          </cell>
          <cell r="M3234">
            <v>4.8657423900000003</v>
          </cell>
        </row>
        <row r="3235">
          <cell r="L3235">
            <v>44.26027397</v>
          </cell>
          <cell r="M3235">
            <v>4.8659314900000004</v>
          </cell>
        </row>
        <row r="3236">
          <cell r="L3236">
            <v>44.2739726</v>
          </cell>
          <cell r="M3236">
            <v>4.8661205399999998</v>
          </cell>
        </row>
        <row r="3237">
          <cell r="L3237">
            <v>44.287671230000001</v>
          </cell>
          <cell r="M3237">
            <v>4.8663095700000003</v>
          </cell>
        </row>
        <row r="3238">
          <cell r="L3238">
            <v>44.301369860000001</v>
          </cell>
          <cell r="M3238">
            <v>4.86649858</v>
          </cell>
        </row>
        <row r="3239">
          <cell r="L3239">
            <v>44.315068490000002</v>
          </cell>
          <cell r="M3239">
            <v>4.8666875699999999</v>
          </cell>
        </row>
        <row r="3240">
          <cell r="L3240">
            <v>44.328767120000002</v>
          </cell>
          <cell r="M3240">
            <v>4.8668765499999997</v>
          </cell>
        </row>
        <row r="3241">
          <cell r="L3241">
            <v>44.342465750000002</v>
          </cell>
          <cell r="M3241">
            <v>4.8670655299999996</v>
          </cell>
        </row>
        <row r="3242">
          <cell r="L3242">
            <v>44.356164380000003</v>
          </cell>
          <cell r="M3242">
            <v>4.8672545200000004</v>
          </cell>
        </row>
        <row r="3243">
          <cell r="L3243">
            <v>44.369863010000003</v>
          </cell>
          <cell r="M3243">
            <v>4.8674435100000002</v>
          </cell>
        </row>
        <row r="3244">
          <cell r="L3244">
            <v>44.383561640000003</v>
          </cell>
          <cell r="M3244">
            <v>4.8676325299999998</v>
          </cell>
        </row>
        <row r="3245">
          <cell r="L3245">
            <v>44.397260269999997</v>
          </cell>
          <cell r="M3245">
            <v>4.8678215600000003</v>
          </cell>
        </row>
        <row r="3246">
          <cell r="L3246">
            <v>44.410958899999997</v>
          </cell>
          <cell r="M3246">
            <v>4.8680106299999997</v>
          </cell>
        </row>
        <row r="3247">
          <cell r="L3247">
            <v>44.424657529999998</v>
          </cell>
          <cell r="M3247">
            <v>4.8681997399999997</v>
          </cell>
        </row>
        <row r="3248">
          <cell r="L3248">
            <v>44.438356159999998</v>
          </cell>
          <cell r="M3248">
            <v>4.8683888900000003</v>
          </cell>
        </row>
        <row r="3249">
          <cell r="L3249">
            <v>44.452054789999998</v>
          </cell>
          <cell r="M3249">
            <v>4.8685780999999997</v>
          </cell>
        </row>
        <row r="3250">
          <cell r="L3250">
            <v>44.465753419999999</v>
          </cell>
          <cell r="M3250">
            <v>4.8687673599999997</v>
          </cell>
        </row>
        <row r="3251">
          <cell r="L3251">
            <v>44.479452049999999</v>
          </cell>
          <cell r="M3251">
            <v>4.8689566900000001</v>
          </cell>
        </row>
        <row r="3252">
          <cell r="L3252">
            <v>44.493150679999999</v>
          </cell>
          <cell r="M3252">
            <v>4.8691460900000001</v>
          </cell>
        </row>
        <row r="3253">
          <cell r="L3253">
            <v>44.506849320000001</v>
          </cell>
          <cell r="M3253">
            <v>4.8693355499999997</v>
          </cell>
        </row>
        <row r="3254">
          <cell r="L3254">
            <v>44.520547950000001</v>
          </cell>
          <cell r="M3254">
            <v>4.8695250000000003</v>
          </cell>
        </row>
        <row r="3255">
          <cell r="L3255">
            <v>44.534246580000001</v>
          </cell>
          <cell r="M3255">
            <v>4.8697144100000003</v>
          </cell>
        </row>
        <row r="3256">
          <cell r="L3256">
            <v>44.547945210000002</v>
          </cell>
          <cell r="M3256">
            <v>4.8699037799999996</v>
          </cell>
        </row>
        <row r="3257">
          <cell r="L3257">
            <v>44.561643840000002</v>
          </cell>
          <cell r="M3257">
            <v>4.8700931299999999</v>
          </cell>
        </row>
        <row r="3258">
          <cell r="L3258">
            <v>44.575342470000002</v>
          </cell>
          <cell r="M3258">
            <v>4.8702824500000004</v>
          </cell>
        </row>
        <row r="3259">
          <cell r="L3259">
            <v>44.589041100000003</v>
          </cell>
          <cell r="M3259">
            <v>4.8704717400000002</v>
          </cell>
        </row>
        <row r="3260">
          <cell r="L3260">
            <v>44.602739730000003</v>
          </cell>
          <cell r="M3260">
            <v>4.8706610100000001</v>
          </cell>
        </row>
        <row r="3261">
          <cell r="L3261">
            <v>44.616438359999997</v>
          </cell>
          <cell r="M3261">
            <v>4.8708502500000002</v>
          </cell>
        </row>
        <row r="3262">
          <cell r="L3262">
            <v>44.630136989999997</v>
          </cell>
          <cell r="M3262">
            <v>4.8710394700000004</v>
          </cell>
        </row>
        <row r="3263">
          <cell r="L3263">
            <v>44.643835619999997</v>
          </cell>
          <cell r="M3263">
            <v>4.8712286599999999</v>
          </cell>
        </row>
        <row r="3264">
          <cell r="L3264">
            <v>44.657534249999998</v>
          </cell>
          <cell r="M3264">
            <v>4.8714178400000003</v>
          </cell>
        </row>
        <row r="3265">
          <cell r="L3265">
            <v>44.671232879999998</v>
          </cell>
          <cell r="M3265">
            <v>4.871607</v>
          </cell>
        </row>
        <row r="3266">
          <cell r="L3266">
            <v>44.684931509999998</v>
          </cell>
          <cell r="M3266">
            <v>4.8717961299999999</v>
          </cell>
        </row>
        <row r="3267">
          <cell r="L3267">
            <v>44.698630139999999</v>
          </cell>
          <cell r="M3267">
            <v>4.8719852599999998</v>
          </cell>
        </row>
        <row r="3268">
          <cell r="L3268">
            <v>44.712328769999999</v>
          </cell>
          <cell r="M3268">
            <v>4.8721743599999998</v>
          </cell>
        </row>
        <row r="3269">
          <cell r="L3269">
            <v>44.7260274</v>
          </cell>
          <cell r="M3269">
            <v>4.8723634599999999</v>
          </cell>
        </row>
        <row r="3270">
          <cell r="L3270">
            <v>44.73972603</v>
          </cell>
          <cell r="M3270">
            <v>4.87255254</v>
          </cell>
        </row>
        <row r="3271">
          <cell r="L3271">
            <v>44.75342466</v>
          </cell>
          <cell r="M3271">
            <v>4.8727416100000003</v>
          </cell>
        </row>
        <row r="3272">
          <cell r="L3272">
            <v>44.767123290000001</v>
          </cell>
          <cell r="M3272">
            <v>4.8729306799999996</v>
          </cell>
        </row>
        <row r="3273">
          <cell r="L3273">
            <v>44.780821920000001</v>
          </cell>
          <cell r="M3273">
            <v>4.87311973</v>
          </cell>
        </row>
        <row r="3274">
          <cell r="L3274">
            <v>44.794520550000001</v>
          </cell>
          <cell r="M3274">
            <v>4.8733087800000003</v>
          </cell>
        </row>
        <row r="3275">
          <cell r="L3275">
            <v>44.808219180000002</v>
          </cell>
          <cell r="M3275">
            <v>4.8734978299999998</v>
          </cell>
        </row>
        <row r="3276">
          <cell r="L3276">
            <v>44.821917810000002</v>
          </cell>
          <cell r="M3276">
            <v>4.8736868700000002</v>
          </cell>
        </row>
        <row r="3277">
          <cell r="L3277">
            <v>44.835616440000003</v>
          </cell>
          <cell r="M3277">
            <v>4.8738759099999998</v>
          </cell>
        </row>
        <row r="3278">
          <cell r="L3278">
            <v>44.849315070000003</v>
          </cell>
          <cell r="M3278">
            <v>4.8740649500000002</v>
          </cell>
        </row>
        <row r="3279">
          <cell r="L3279">
            <v>44.863013700000003</v>
          </cell>
          <cell r="M3279">
            <v>4.8742539899999997</v>
          </cell>
        </row>
        <row r="3280">
          <cell r="L3280">
            <v>44.876712329999997</v>
          </cell>
          <cell r="M3280">
            <v>4.8744430300000001</v>
          </cell>
        </row>
        <row r="3281">
          <cell r="L3281">
            <v>44.890410959999997</v>
          </cell>
          <cell r="M3281">
            <v>4.8746320699999997</v>
          </cell>
        </row>
        <row r="3282">
          <cell r="L3282">
            <v>44.904109589999997</v>
          </cell>
          <cell r="M3282">
            <v>4.8748211299999999</v>
          </cell>
        </row>
        <row r="3283">
          <cell r="L3283">
            <v>44.917808219999998</v>
          </cell>
          <cell r="M3283">
            <v>4.8750101800000003</v>
          </cell>
        </row>
        <row r="3284">
          <cell r="L3284">
            <v>44.931506849999998</v>
          </cell>
          <cell r="M3284">
            <v>4.8751992499999997</v>
          </cell>
        </row>
        <row r="3285">
          <cell r="L3285">
            <v>44.945205479999998</v>
          </cell>
          <cell r="M3285">
            <v>4.8753883199999999</v>
          </cell>
        </row>
        <row r="3286">
          <cell r="L3286">
            <v>44.958904109999999</v>
          </cell>
          <cell r="M3286">
            <v>4.87557741</v>
          </cell>
        </row>
        <row r="3287">
          <cell r="L3287">
            <v>44.972602739999999</v>
          </cell>
          <cell r="M3287">
            <v>4.8757665100000001</v>
          </cell>
        </row>
        <row r="3288">
          <cell r="L3288">
            <v>44.98630137</v>
          </cell>
          <cell r="M3288">
            <v>4.87595562</v>
          </cell>
        </row>
        <row r="3289">
          <cell r="L3289">
            <v>45</v>
          </cell>
          <cell r="M3289">
            <v>4.8761447499999999</v>
          </cell>
        </row>
        <row r="3290">
          <cell r="L3290">
            <v>45.01369863</v>
          </cell>
          <cell r="M3290">
            <v>4.8763339300000004</v>
          </cell>
        </row>
        <row r="3291">
          <cell r="L3291">
            <v>45.027397260000001</v>
          </cell>
          <cell r="M3291">
            <v>4.8765232100000002</v>
          </cell>
        </row>
        <row r="3292">
          <cell r="L3292">
            <v>45.041095890000001</v>
          </cell>
          <cell r="M3292">
            <v>4.8767125900000003</v>
          </cell>
        </row>
        <row r="3293">
          <cell r="L3293">
            <v>45.054794520000002</v>
          </cell>
          <cell r="M3293">
            <v>4.87690205</v>
          </cell>
        </row>
        <row r="3294">
          <cell r="L3294">
            <v>45.068493150000002</v>
          </cell>
          <cell r="M3294">
            <v>4.8770916</v>
          </cell>
        </row>
        <row r="3295">
          <cell r="L3295">
            <v>45.082191780000002</v>
          </cell>
          <cell r="M3295">
            <v>4.8772812200000004</v>
          </cell>
        </row>
        <row r="3296">
          <cell r="L3296">
            <v>45.095890410000003</v>
          </cell>
          <cell r="M3296">
            <v>4.8774709200000004</v>
          </cell>
        </row>
        <row r="3297">
          <cell r="L3297">
            <v>45.109589040000003</v>
          </cell>
          <cell r="M3297">
            <v>4.8776606999999998</v>
          </cell>
        </row>
        <row r="3298">
          <cell r="L3298">
            <v>45.123287670000003</v>
          </cell>
          <cell r="M3298">
            <v>4.8778505399999998</v>
          </cell>
        </row>
        <row r="3299">
          <cell r="L3299">
            <v>45.136986299999997</v>
          </cell>
          <cell r="M3299">
            <v>4.8780404500000003</v>
          </cell>
        </row>
        <row r="3300">
          <cell r="L3300">
            <v>45.150684929999997</v>
          </cell>
          <cell r="M3300">
            <v>4.8782304099999996</v>
          </cell>
        </row>
        <row r="3301">
          <cell r="L3301">
            <v>45.164383559999997</v>
          </cell>
          <cell r="M3301">
            <v>4.8784204300000003</v>
          </cell>
        </row>
        <row r="3302">
          <cell r="L3302">
            <v>45.178082189999998</v>
          </cell>
          <cell r="M3302">
            <v>4.8786104999999997</v>
          </cell>
        </row>
        <row r="3303">
          <cell r="L3303">
            <v>45.191780819999998</v>
          </cell>
          <cell r="M3303">
            <v>4.8788006099999999</v>
          </cell>
        </row>
        <row r="3304">
          <cell r="L3304">
            <v>45.205479449999999</v>
          </cell>
          <cell r="M3304">
            <v>4.8789907699999997</v>
          </cell>
        </row>
        <row r="3305">
          <cell r="L3305">
            <v>45.219178079999999</v>
          </cell>
          <cell r="M3305">
            <v>4.8791809700000002</v>
          </cell>
        </row>
        <row r="3306">
          <cell r="L3306">
            <v>45.232876709999999</v>
          </cell>
          <cell r="M3306">
            <v>4.8793711999999996</v>
          </cell>
        </row>
        <row r="3307">
          <cell r="L3307">
            <v>45.24657534</v>
          </cell>
          <cell r="M3307">
            <v>4.8795614599999997</v>
          </cell>
        </row>
        <row r="3308">
          <cell r="L3308">
            <v>45.26027397</v>
          </cell>
          <cell r="M3308">
            <v>4.8797517499999996</v>
          </cell>
        </row>
        <row r="3309">
          <cell r="L3309">
            <v>45.2739726</v>
          </cell>
          <cell r="M3309">
            <v>4.8799420600000003</v>
          </cell>
        </row>
        <row r="3310">
          <cell r="L3310">
            <v>45.287671230000001</v>
          </cell>
          <cell r="M3310">
            <v>4.88013238</v>
          </cell>
        </row>
        <row r="3311">
          <cell r="L3311">
            <v>45.301369860000001</v>
          </cell>
          <cell r="M3311">
            <v>4.8803227199999997</v>
          </cell>
        </row>
        <row r="3312">
          <cell r="L3312">
            <v>45.315068490000002</v>
          </cell>
          <cell r="M3312">
            <v>4.8805130700000001</v>
          </cell>
        </row>
        <row r="3313">
          <cell r="L3313">
            <v>45.328767120000002</v>
          </cell>
          <cell r="M3313">
            <v>4.8807034199999997</v>
          </cell>
        </row>
        <row r="3314">
          <cell r="L3314">
            <v>45.342465750000002</v>
          </cell>
          <cell r="M3314">
            <v>4.8808937700000001</v>
          </cell>
        </row>
        <row r="3315">
          <cell r="L3315">
            <v>45.356164380000003</v>
          </cell>
          <cell r="M3315">
            <v>4.8810841199999997</v>
          </cell>
        </row>
        <row r="3316">
          <cell r="L3316">
            <v>45.369863010000003</v>
          </cell>
          <cell r="M3316">
            <v>4.8812744600000002</v>
          </cell>
        </row>
        <row r="3317">
          <cell r="L3317">
            <v>45.383561640000003</v>
          </cell>
          <cell r="M3317">
            <v>4.8814647899999999</v>
          </cell>
        </row>
        <row r="3318">
          <cell r="L3318">
            <v>45.397260269999997</v>
          </cell>
          <cell r="M3318">
            <v>4.8816550999999997</v>
          </cell>
        </row>
        <row r="3319">
          <cell r="L3319">
            <v>45.410958899999997</v>
          </cell>
          <cell r="M3319">
            <v>4.8818453899999996</v>
          </cell>
        </row>
        <row r="3320">
          <cell r="L3320">
            <v>45.424657529999998</v>
          </cell>
          <cell r="M3320">
            <v>4.8820356599999997</v>
          </cell>
        </row>
        <row r="3321">
          <cell r="L3321">
            <v>45.438356159999998</v>
          </cell>
          <cell r="M3321">
            <v>4.8822258999999999</v>
          </cell>
        </row>
        <row r="3322">
          <cell r="L3322">
            <v>45.452054789999998</v>
          </cell>
          <cell r="M3322">
            <v>4.8824161000000004</v>
          </cell>
        </row>
        <row r="3323">
          <cell r="L3323">
            <v>45.465753419999999</v>
          </cell>
          <cell r="M3323">
            <v>4.8826062700000001</v>
          </cell>
        </row>
        <row r="3324">
          <cell r="L3324">
            <v>45.479452049999999</v>
          </cell>
          <cell r="M3324">
            <v>4.8827964000000001</v>
          </cell>
        </row>
        <row r="3325">
          <cell r="L3325">
            <v>45.493150679999999</v>
          </cell>
          <cell r="M3325">
            <v>4.8829864799999996</v>
          </cell>
        </row>
        <row r="3326">
          <cell r="L3326">
            <v>45.506849320000001</v>
          </cell>
          <cell r="M3326">
            <v>4.8831765499999999</v>
          </cell>
        </row>
        <row r="3327">
          <cell r="L3327">
            <v>45.520547950000001</v>
          </cell>
          <cell r="M3327">
            <v>4.88336682</v>
          </cell>
        </row>
        <row r="3328">
          <cell r="L3328">
            <v>45.534246580000001</v>
          </cell>
          <cell r="M3328">
            <v>4.8835573200000004</v>
          </cell>
        </row>
        <row r="3329">
          <cell r="L3329">
            <v>45.547945210000002</v>
          </cell>
          <cell r="M3329">
            <v>4.8837480299999996</v>
          </cell>
        </row>
        <row r="3330">
          <cell r="L3330">
            <v>45.561643840000002</v>
          </cell>
          <cell r="M3330">
            <v>4.8839389500000001</v>
          </cell>
        </row>
        <row r="3331">
          <cell r="L3331">
            <v>45.575342470000002</v>
          </cell>
          <cell r="M3331">
            <v>4.8841300700000003</v>
          </cell>
        </row>
        <row r="3332">
          <cell r="L3332">
            <v>45.589041100000003</v>
          </cell>
          <cell r="M3332">
            <v>4.8843213800000003</v>
          </cell>
        </row>
        <row r="3333">
          <cell r="L3333">
            <v>45.602739730000003</v>
          </cell>
          <cell r="M3333">
            <v>4.88451287</v>
          </cell>
        </row>
        <row r="3334">
          <cell r="L3334">
            <v>45.616438359999997</v>
          </cell>
          <cell r="M3334">
            <v>4.8847045199999997</v>
          </cell>
        </row>
        <row r="3335">
          <cell r="L3335">
            <v>45.630136989999997</v>
          </cell>
          <cell r="M3335">
            <v>4.8848963300000001</v>
          </cell>
        </row>
        <row r="3336">
          <cell r="L3336">
            <v>45.643835619999997</v>
          </cell>
          <cell r="M3336">
            <v>4.8850882899999997</v>
          </cell>
        </row>
        <row r="3337">
          <cell r="L3337">
            <v>45.657534249999998</v>
          </cell>
          <cell r="M3337">
            <v>4.8852803900000001</v>
          </cell>
        </row>
        <row r="3338">
          <cell r="L3338">
            <v>45.671232879999998</v>
          </cell>
          <cell r="M3338">
            <v>4.8854726099999999</v>
          </cell>
        </row>
        <row r="3339">
          <cell r="L3339">
            <v>45.684931509999998</v>
          </cell>
          <cell r="M3339">
            <v>4.8856649499999998</v>
          </cell>
        </row>
        <row r="3340">
          <cell r="L3340">
            <v>45.698630139999999</v>
          </cell>
          <cell r="M3340">
            <v>4.8858573999999999</v>
          </cell>
        </row>
        <row r="3341">
          <cell r="L3341">
            <v>45.712328769999999</v>
          </cell>
          <cell r="M3341">
            <v>4.8860499500000003</v>
          </cell>
        </row>
        <row r="3342">
          <cell r="L3342">
            <v>45.7260274</v>
          </cell>
          <cell r="M3342">
            <v>4.8862425900000002</v>
          </cell>
        </row>
        <row r="3343">
          <cell r="L3343">
            <v>45.73972603</v>
          </cell>
          <cell r="M3343">
            <v>4.8864352999999996</v>
          </cell>
        </row>
        <row r="3344">
          <cell r="L3344">
            <v>45.75342466</v>
          </cell>
          <cell r="M3344">
            <v>4.8866280800000004</v>
          </cell>
        </row>
        <row r="3345">
          <cell r="L3345">
            <v>45.767123290000001</v>
          </cell>
          <cell r="M3345">
            <v>4.8868209199999999</v>
          </cell>
        </row>
        <row r="3346">
          <cell r="L3346">
            <v>45.780821920000001</v>
          </cell>
          <cell r="M3346">
            <v>4.88701381</v>
          </cell>
        </row>
        <row r="3347">
          <cell r="L3347">
            <v>45.794520550000001</v>
          </cell>
          <cell r="M3347">
            <v>4.8872067399999999</v>
          </cell>
        </row>
        <row r="3348">
          <cell r="L3348">
            <v>45.808219180000002</v>
          </cell>
          <cell r="M3348">
            <v>4.8873996999999996</v>
          </cell>
        </row>
        <row r="3349">
          <cell r="L3349">
            <v>45.821917810000002</v>
          </cell>
          <cell r="M3349">
            <v>4.8875926700000001</v>
          </cell>
        </row>
        <row r="3350">
          <cell r="L3350">
            <v>45.835616440000003</v>
          </cell>
          <cell r="M3350">
            <v>4.8877856499999996</v>
          </cell>
        </row>
        <row r="3351">
          <cell r="L3351">
            <v>45.849315070000003</v>
          </cell>
          <cell r="M3351">
            <v>4.8879786300000001</v>
          </cell>
        </row>
        <row r="3352">
          <cell r="L3352">
            <v>45.863013700000003</v>
          </cell>
          <cell r="M3352">
            <v>4.8881715999999997</v>
          </cell>
        </row>
        <row r="3353">
          <cell r="L3353">
            <v>45.876712329999997</v>
          </cell>
          <cell r="M3353">
            <v>4.8883645500000004</v>
          </cell>
        </row>
        <row r="3354">
          <cell r="L3354">
            <v>45.890410959999997</v>
          </cell>
          <cell r="M3354">
            <v>4.8885574600000004</v>
          </cell>
        </row>
        <row r="3355">
          <cell r="L3355">
            <v>45.904109589999997</v>
          </cell>
          <cell r="M3355">
            <v>4.8887503399999996</v>
          </cell>
        </row>
        <row r="3356">
          <cell r="L3356">
            <v>45.917808219999998</v>
          </cell>
          <cell r="M3356">
            <v>4.8889431600000002</v>
          </cell>
        </row>
        <row r="3357">
          <cell r="L3357">
            <v>45.931506849999998</v>
          </cell>
          <cell r="M3357">
            <v>4.8891359200000002</v>
          </cell>
        </row>
        <row r="3358">
          <cell r="L3358">
            <v>45.945205479999998</v>
          </cell>
          <cell r="M3358">
            <v>4.8893286099999997</v>
          </cell>
        </row>
        <row r="3359">
          <cell r="L3359">
            <v>45.958904109999999</v>
          </cell>
          <cell r="M3359">
            <v>4.8895212199999998</v>
          </cell>
        </row>
        <row r="3360">
          <cell r="L3360">
            <v>45.972602739999999</v>
          </cell>
          <cell r="M3360">
            <v>4.8897137300000004</v>
          </cell>
        </row>
        <row r="3361">
          <cell r="L3361">
            <v>45.98630137</v>
          </cell>
          <cell r="M3361">
            <v>4.8899061499999998</v>
          </cell>
        </row>
        <row r="3362">
          <cell r="L3362">
            <v>46</v>
          </cell>
          <cell r="M3362">
            <v>4.89009845</v>
          </cell>
        </row>
        <row r="3363">
          <cell r="L3363">
            <v>46.01369863</v>
          </cell>
          <cell r="M3363">
            <v>4.8902908900000002</v>
          </cell>
        </row>
        <row r="3364">
          <cell r="L3364">
            <v>46.027397260000001</v>
          </cell>
          <cell r="M3364">
            <v>4.8904836999999999</v>
          </cell>
        </row>
        <row r="3365">
          <cell r="L3365">
            <v>46.041095890000001</v>
          </cell>
          <cell r="M3365">
            <v>4.8906768700000001</v>
          </cell>
        </row>
        <row r="3366">
          <cell r="L3366">
            <v>46.054794520000002</v>
          </cell>
          <cell r="M3366">
            <v>4.8908703899999999</v>
          </cell>
        </row>
        <row r="3367">
          <cell r="L3367">
            <v>46.068493150000002</v>
          </cell>
          <cell r="M3367">
            <v>4.8910642299999996</v>
          </cell>
        </row>
        <row r="3368">
          <cell r="L3368">
            <v>46.082191780000002</v>
          </cell>
          <cell r="M3368">
            <v>4.89125838</v>
          </cell>
        </row>
        <row r="3369">
          <cell r="L3369">
            <v>46.095890410000003</v>
          </cell>
          <cell r="M3369">
            <v>4.8914528199999996</v>
          </cell>
        </row>
        <row r="3370">
          <cell r="L3370">
            <v>46.109589040000003</v>
          </cell>
          <cell r="M3370">
            <v>4.8916475500000001</v>
          </cell>
        </row>
        <row r="3371">
          <cell r="L3371">
            <v>46.123287670000003</v>
          </cell>
          <cell r="M3371">
            <v>4.8918425299999999</v>
          </cell>
        </row>
        <row r="3372">
          <cell r="L3372">
            <v>46.136986299999997</v>
          </cell>
          <cell r="M3372">
            <v>4.89203776</v>
          </cell>
        </row>
        <row r="3373">
          <cell r="L3373">
            <v>46.150684929999997</v>
          </cell>
          <cell r="M3373">
            <v>4.8922332300000004</v>
          </cell>
        </row>
        <row r="3374">
          <cell r="L3374">
            <v>46.164383559999997</v>
          </cell>
          <cell r="M3374">
            <v>4.8924288999999996</v>
          </cell>
        </row>
        <row r="3375">
          <cell r="L3375">
            <v>46.178082189999998</v>
          </cell>
          <cell r="M3375">
            <v>4.8926247800000002</v>
          </cell>
        </row>
        <row r="3376">
          <cell r="L3376">
            <v>46.191780819999998</v>
          </cell>
          <cell r="M3376">
            <v>4.8928208299999998</v>
          </cell>
        </row>
        <row r="3377">
          <cell r="L3377">
            <v>46.205479449999999</v>
          </cell>
          <cell r="M3377">
            <v>4.89301706</v>
          </cell>
        </row>
        <row r="3378">
          <cell r="L3378">
            <v>46.219178079999999</v>
          </cell>
          <cell r="M3378">
            <v>4.8932134300000003</v>
          </cell>
        </row>
        <row r="3379">
          <cell r="L3379">
            <v>46.232876709999999</v>
          </cell>
          <cell r="M3379">
            <v>4.8934099299999998</v>
          </cell>
        </row>
        <row r="3380">
          <cell r="L3380">
            <v>46.24657534</v>
          </cell>
          <cell r="M3380">
            <v>4.8936065600000003</v>
          </cell>
        </row>
        <row r="3381">
          <cell r="L3381">
            <v>46.26027397</v>
          </cell>
          <cell r="M3381">
            <v>4.8938032800000002</v>
          </cell>
        </row>
        <row r="3382">
          <cell r="L3382">
            <v>46.2739726</v>
          </cell>
          <cell r="M3382">
            <v>4.8940000899999996</v>
          </cell>
        </row>
        <row r="3383">
          <cell r="L3383">
            <v>46.287671230000001</v>
          </cell>
          <cell r="M3383">
            <v>4.8941969700000003</v>
          </cell>
        </row>
        <row r="3384">
          <cell r="L3384">
            <v>46.301369860000001</v>
          </cell>
          <cell r="M3384">
            <v>4.8943939099999998</v>
          </cell>
        </row>
        <row r="3385">
          <cell r="L3385">
            <v>46.315068490000002</v>
          </cell>
          <cell r="M3385">
            <v>4.89459088</v>
          </cell>
        </row>
        <row r="3386">
          <cell r="L3386">
            <v>46.328767120000002</v>
          </cell>
          <cell r="M3386">
            <v>4.89478787</v>
          </cell>
        </row>
        <row r="3387">
          <cell r="L3387">
            <v>46.342465750000002</v>
          </cell>
          <cell r="M3387">
            <v>4.89498487</v>
          </cell>
        </row>
        <row r="3388">
          <cell r="L3388">
            <v>46.356164380000003</v>
          </cell>
          <cell r="M3388">
            <v>4.8951818600000001</v>
          </cell>
        </row>
        <row r="3389">
          <cell r="L3389">
            <v>46.369863010000003</v>
          </cell>
          <cell r="M3389">
            <v>4.8953788200000004</v>
          </cell>
        </row>
        <row r="3390">
          <cell r="L3390">
            <v>46.383561640000003</v>
          </cell>
          <cell r="M3390">
            <v>4.89557573</v>
          </cell>
        </row>
        <row r="3391">
          <cell r="L3391">
            <v>46.397260269999997</v>
          </cell>
          <cell r="M3391">
            <v>4.89577259</v>
          </cell>
        </row>
        <row r="3392">
          <cell r="L3392">
            <v>46.410958899999997</v>
          </cell>
          <cell r="M3392">
            <v>4.8959693800000004</v>
          </cell>
        </row>
        <row r="3393">
          <cell r="L3393">
            <v>46.424657529999998</v>
          </cell>
          <cell r="M3393">
            <v>4.8961660699999996</v>
          </cell>
        </row>
        <row r="3394">
          <cell r="L3394">
            <v>46.438356159999998</v>
          </cell>
          <cell r="M3394">
            <v>4.8963626600000003</v>
          </cell>
        </row>
        <row r="3395">
          <cell r="L3395">
            <v>46.452054789999998</v>
          </cell>
          <cell r="M3395">
            <v>4.89655912</v>
          </cell>
        </row>
        <row r="3396">
          <cell r="L3396">
            <v>46.465753419999999</v>
          </cell>
          <cell r="M3396">
            <v>4.8967554399999997</v>
          </cell>
        </row>
        <row r="3397">
          <cell r="L3397">
            <v>46.479452049999999</v>
          </cell>
          <cell r="M3397">
            <v>4.8969516100000003</v>
          </cell>
        </row>
        <row r="3398">
          <cell r="L3398">
            <v>46.493150679999999</v>
          </cell>
          <cell r="M3398">
            <v>4.8971476100000002</v>
          </cell>
        </row>
        <row r="3399">
          <cell r="L3399">
            <v>46.506849320000001</v>
          </cell>
          <cell r="M3399">
            <v>4.8973435099999998</v>
          </cell>
        </row>
        <row r="3400">
          <cell r="L3400">
            <v>46.520547950000001</v>
          </cell>
          <cell r="M3400">
            <v>4.8975398600000002</v>
          </cell>
        </row>
        <row r="3401">
          <cell r="L3401">
            <v>46.534246580000001</v>
          </cell>
          <cell r="M3401">
            <v>4.8977367200000002</v>
          </cell>
        </row>
        <row r="3402">
          <cell r="L3402">
            <v>46.547945210000002</v>
          </cell>
          <cell r="M3402">
            <v>4.8979340699999998</v>
          </cell>
        </row>
        <row r="3403">
          <cell r="L3403">
            <v>46.561643840000002</v>
          </cell>
          <cell r="M3403">
            <v>4.8981318900000002</v>
          </cell>
        </row>
        <row r="3404">
          <cell r="L3404">
            <v>46.575342470000002</v>
          </cell>
          <cell r="M3404">
            <v>4.8983301600000004</v>
          </cell>
        </row>
        <row r="3405">
          <cell r="L3405">
            <v>46.589041100000003</v>
          </cell>
          <cell r="M3405">
            <v>4.8985288499999999</v>
          </cell>
        </row>
        <row r="3406">
          <cell r="L3406">
            <v>46.602739730000003</v>
          </cell>
          <cell r="M3406">
            <v>4.8987279499999996</v>
          </cell>
        </row>
        <row r="3407">
          <cell r="L3407">
            <v>46.616438359999997</v>
          </cell>
          <cell r="M3407">
            <v>4.8989274199999997</v>
          </cell>
        </row>
        <row r="3408">
          <cell r="L3408">
            <v>46.630136989999997</v>
          </cell>
          <cell r="M3408">
            <v>4.8991272500000003</v>
          </cell>
        </row>
        <row r="3409">
          <cell r="L3409">
            <v>46.643835619999997</v>
          </cell>
          <cell r="M3409">
            <v>4.8993274199999997</v>
          </cell>
        </row>
        <row r="3410">
          <cell r="L3410">
            <v>46.657534249999998</v>
          </cell>
          <cell r="M3410">
            <v>4.8995278999999998</v>
          </cell>
        </row>
        <row r="3411">
          <cell r="L3411">
            <v>46.671232879999998</v>
          </cell>
          <cell r="M3411">
            <v>4.8997286600000001</v>
          </cell>
        </row>
        <row r="3412">
          <cell r="L3412">
            <v>46.684931509999998</v>
          </cell>
          <cell r="M3412">
            <v>4.8999297000000004</v>
          </cell>
        </row>
        <row r="3413">
          <cell r="L3413">
            <v>46.698630139999999</v>
          </cell>
          <cell r="M3413">
            <v>4.9001309700000002</v>
          </cell>
        </row>
        <row r="3414">
          <cell r="L3414">
            <v>46.712328769999999</v>
          </cell>
          <cell r="M3414">
            <v>4.9003324700000004</v>
          </cell>
        </row>
        <row r="3415">
          <cell r="L3415">
            <v>46.7260274</v>
          </cell>
          <cell r="M3415">
            <v>4.9005341700000002</v>
          </cell>
        </row>
        <row r="3416">
          <cell r="L3416">
            <v>46.73972603</v>
          </cell>
          <cell r="M3416">
            <v>4.9007360499999999</v>
          </cell>
        </row>
        <row r="3417">
          <cell r="L3417">
            <v>46.75342466</v>
          </cell>
          <cell r="M3417">
            <v>4.9009380800000004</v>
          </cell>
        </row>
        <row r="3418">
          <cell r="L3418">
            <v>46.767123290000001</v>
          </cell>
          <cell r="M3418">
            <v>4.9011402400000001</v>
          </cell>
        </row>
        <row r="3419">
          <cell r="L3419">
            <v>46.780821920000001</v>
          </cell>
          <cell r="M3419">
            <v>4.9013425100000001</v>
          </cell>
        </row>
        <row r="3420">
          <cell r="L3420">
            <v>46.794520550000001</v>
          </cell>
          <cell r="M3420">
            <v>4.9015448700000004</v>
          </cell>
        </row>
        <row r="3421">
          <cell r="L3421">
            <v>46.808219180000002</v>
          </cell>
          <cell r="M3421">
            <v>4.9017472900000003</v>
          </cell>
        </row>
        <row r="3422">
          <cell r="L3422">
            <v>46.821917810000002</v>
          </cell>
          <cell r="M3422">
            <v>4.9019497599999999</v>
          </cell>
        </row>
        <row r="3423">
          <cell r="L3423">
            <v>46.835616440000003</v>
          </cell>
          <cell r="M3423">
            <v>4.9021522400000004</v>
          </cell>
        </row>
        <row r="3424">
          <cell r="L3424">
            <v>46.849315070000003</v>
          </cell>
          <cell r="M3424">
            <v>4.9023547299999999</v>
          </cell>
        </row>
        <row r="3425">
          <cell r="L3425">
            <v>46.863013700000003</v>
          </cell>
          <cell r="M3425">
            <v>4.9025571799999996</v>
          </cell>
        </row>
        <row r="3426">
          <cell r="L3426">
            <v>46.876712329999997</v>
          </cell>
          <cell r="M3426">
            <v>4.9027595899999996</v>
          </cell>
        </row>
        <row r="3427">
          <cell r="L3427">
            <v>46.890410959999997</v>
          </cell>
          <cell r="M3427">
            <v>4.90296193</v>
          </cell>
        </row>
        <row r="3428">
          <cell r="L3428">
            <v>46.904109589999997</v>
          </cell>
          <cell r="M3428">
            <v>4.9031641800000001</v>
          </cell>
        </row>
        <row r="3429">
          <cell r="L3429">
            <v>46.917808219999998</v>
          </cell>
          <cell r="M3429">
            <v>4.90336631</v>
          </cell>
        </row>
        <row r="3430">
          <cell r="L3430">
            <v>46.931506849999998</v>
          </cell>
          <cell r="M3430">
            <v>4.9035682999999999</v>
          </cell>
        </row>
        <row r="3431">
          <cell r="L3431">
            <v>46.945205479999998</v>
          </cell>
          <cell r="M3431">
            <v>4.9037701299999998</v>
          </cell>
        </row>
        <row r="3432">
          <cell r="L3432">
            <v>46.958904109999999</v>
          </cell>
          <cell r="M3432">
            <v>4.90397178</v>
          </cell>
        </row>
        <row r="3433">
          <cell r="L3433">
            <v>46.972602739999999</v>
          </cell>
          <cell r="M3433">
            <v>4.9041732199999997</v>
          </cell>
        </row>
        <row r="3434">
          <cell r="L3434">
            <v>46.98630137</v>
          </cell>
          <cell r="M3434">
            <v>4.9043744399999998</v>
          </cell>
        </row>
        <row r="3435">
          <cell r="L3435">
            <v>47</v>
          </cell>
          <cell r="M3435">
            <v>4.9045753999999997</v>
          </cell>
        </row>
        <row r="3436">
          <cell r="L3436">
            <v>47.01369863</v>
          </cell>
          <cell r="M3436">
            <v>4.90477659</v>
          </cell>
        </row>
        <row r="3437">
          <cell r="L3437">
            <v>47.027397260000001</v>
          </cell>
          <cell r="M3437">
            <v>4.9049784499999998</v>
          </cell>
        </row>
        <row r="3438">
          <cell r="L3438">
            <v>47.041095890000001</v>
          </cell>
          <cell r="M3438">
            <v>4.9051809799999999</v>
          </cell>
        </row>
        <row r="3439">
          <cell r="L3439">
            <v>47.054794520000002</v>
          </cell>
          <cell r="M3439">
            <v>4.9053841299999998</v>
          </cell>
        </row>
        <row r="3440">
          <cell r="L3440">
            <v>47.068493150000002</v>
          </cell>
          <cell r="M3440">
            <v>4.9055878699999997</v>
          </cell>
        </row>
        <row r="3441">
          <cell r="L3441">
            <v>47.082191780000002</v>
          </cell>
          <cell r="M3441">
            <v>4.9057921899999997</v>
          </cell>
        </row>
        <row r="3442">
          <cell r="L3442">
            <v>47.095890410000003</v>
          </cell>
          <cell r="M3442">
            <v>4.9059970399999999</v>
          </cell>
        </row>
        <row r="3443">
          <cell r="L3443">
            <v>47.109589040000003</v>
          </cell>
          <cell r="M3443">
            <v>4.9062023999999997</v>
          </cell>
        </row>
        <row r="3444">
          <cell r="L3444">
            <v>47.123287670000003</v>
          </cell>
          <cell r="M3444">
            <v>4.9064082400000002</v>
          </cell>
        </row>
        <row r="3445">
          <cell r="L3445">
            <v>47.136986299999997</v>
          </cell>
          <cell r="M3445">
            <v>4.9066145199999998</v>
          </cell>
        </row>
        <row r="3446">
          <cell r="L3446">
            <v>47.150684929999997</v>
          </cell>
          <cell r="M3446">
            <v>4.9068212300000003</v>
          </cell>
        </row>
        <row r="3447">
          <cell r="L3447">
            <v>47.164383559999997</v>
          </cell>
          <cell r="M3447">
            <v>4.9070283300000002</v>
          </cell>
        </row>
        <row r="3448">
          <cell r="L3448">
            <v>47.178082189999998</v>
          </cell>
          <cell r="M3448">
            <v>4.9072357899999997</v>
          </cell>
        </row>
        <row r="3449">
          <cell r="L3449">
            <v>47.191780819999998</v>
          </cell>
          <cell r="M3449">
            <v>4.9074435899999997</v>
          </cell>
        </row>
        <row r="3450">
          <cell r="L3450">
            <v>47.205479449999999</v>
          </cell>
          <cell r="M3450">
            <v>4.9076516799999998</v>
          </cell>
        </row>
        <row r="3451">
          <cell r="L3451">
            <v>47.219178079999999</v>
          </cell>
          <cell r="M3451">
            <v>4.90786006</v>
          </cell>
        </row>
        <row r="3452">
          <cell r="L3452">
            <v>47.232876709999999</v>
          </cell>
          <cell r="M3452">
            <v>4.9080686699999996</v>
          </cell>
        </row>
        <row r="3453">
          <cell r="L3453">
            <v>47.24657534</v>
          </cell>
          <cell r="M3453">
            <v>4.9082774999999996</v>
          </cell>
        </row>
        <row r="3454">
          <cell r="L3454">
            <v>47.26027397</v>
          </cell>
          <cell r="M3454">
            <v>4.9084865200000003</v>
          </cell>
        </row>
        <row r="3455">
          <cell r="L3455">
            <v>47.2739726</v>
          </cell>
          <cell r="M3455">
            <v>4.9086956900000001</v>
          </cell>
        </row>
        <row r="3456">
          <cell r="L3456">
            <v>47.287671230000001</v>
          </cell>
          <cell r="M3456">
            <v>4.9089049899999999</v>
          </cell>
        </row>
        <row r="3457">
          <cell r="L3457">
            <v>47.301369860000001</v>
          </cell>
          <cell r="M3457">
            <v>4.90911439</v>
          </cell>
        </row>
        <row r="3458">
          <cell r="L3458">
            <v>47.315068490000002</v>
          </cell>
          <cell r="M3458">
            <v>4.9093238499999998</v>
          </cell>
        </row>
        <row r="3459">
          <cell r="L3459">
            <v>47.328767120000002</v>
          </cell>
          <cell r="M3459">
            <v>4.9095333600000002</v>
          </cell>
        </row>
        <row r="3460">
          <cell r="L3460">
            <v>47.342465750000002</v>
          </cell>
          <cell r="M3460">
            <v>4.9097428699999996</v>
          </cell>
        </row>
        <row r="3461">
          <cell r="L3461">
            <v>47.356164380000003</v>
          </cell>
          <cell r="M3461">
            <v>4.9099523700000001</v>
          </cell>
        </row>
        <row r="3462">
          <cell r="L3462">
            <v>47.369863010000003</v>
          </cell>
          <cell r="M3462">
            <v>4.9101618199999999</v>
          </cell>
        </row>
        <row r="3463">
          <cell r="L3463">
            <v>47.383561640000003</v>
          </cell>
          <cell r="M3463">
            <v>4.9103711900000002</v>
          </cell>
        </row>
        <row r="3464">
          <cell r="L3464">
            <v>47.397260269999997</v>
          </cell>
          <cell r="M3464">
            <v>4.9105804500000003</v>
          </cell>
        </row>
        <row r="3465">
          <cell r="L3465">
            <v>47.410958899999997</v>
          </cell>
          <cell r="M3465">
            <v>4.9107895700000004</v>
          </cell>
        </row>
        <row r="3466">
          <cell r="L3466">
            <v>47.424657529999998</v>
          </cell>
          <cell r="M3466">
            <v>4.9109985299999996</v>
          </cell>
        </row>
        <row r="3467">
          <cell r="L3467">
            <v>47.438356159999998</v>
          </cell>
          <cell r="M3467">
            <v>4.9112072900000001</v>
          </cell>
        </row>
        <row r="3468">
          <cell r="L3468">
            <v>47.452054789999998</v>
          </cell>
          <cell r="M3468">
            <v>4.9114158300000001</v>
          </cell>
        </row>
        <row r="3469">
          <cell r="L3469">
            <v>47.465753419999999</v>
          </cell>
          <cell r="M3469">
            <v>4.91162411</v>
          </cell>
        </row>
        <row r="3470">
          <cell r="L3470">
            <v>47.479452049999999</v>
          </cell>
          <cell r="M3470">
            <v>4.9118321199999997</v>
          </cell>
        </row>
        <row r="3471">
          <cell r="L3471">
            <v>47.493150679999999</v>
          </cell>
          <cell r="M3471">
            <v>4.9120397999999996</v>
          </cell>
        </row>
        <row r="3472">
          <cell r="L3472">
            <v>47.506849320000001</v>
          </cell>
          <cell r="M3472">
            <v>4.9122472999999998</v>
          </cell>
        </row>
        <row r="3473">
          <cell r="L3473">
            <v>47.520547950000001</v>
          </cell>
          <cell r="M3473">
            <v>4.91245552</v>
          </cell>
        </row>
        <row r="3474">
          <cell r="L3474">
            <v>47.534246580000001</v>
          </cell>
          <cell r="M3474">
            <v>4.9126645699999996</v>
          </cell>
        </row>
        <row r="3475">
          <cell r="L3475">
            <v>47.547945210000002</v>
          </cell>
          <cell r="M3475">
            <v>4.9128744199999996</v>
          </cell>
        </row>
        <row r="3476">
          <cell r="L3476">
            <v>47.561643840000002</v>
          </cell>
          <cell r="M3476">
            <v>4.9130850300000004</v>
          </cell>
        </row>
        <row r="3477">
          <cell r="L3477">
            <v>47.575342470000002</v>
          </cell>
          <cell r="M3477">
            <v>4.9132963600000004</v>
          </cell>
        </row>
        <row r="3478">
          <cell r="L3478">
            <v>47.589041100000003</v>
          </cell>
          <cell r="M3478">
            <v>4.9135083899999996</v>
          </cell>
        </row>
        <row r="3479">
          <cell r="L3479">
            <v>47.602739730000003</v>
          </cell>
          <cell r="M3479">
            <v>4.9137210600000003</v>
          </cell>
        </row>
        <row r="3480">
          <cell r="L3480">
            <v>47.616438359999997</v>
          </cell>
          <cell r="M3480">
            <v>4.9139343499999999</v>
          </cell>
        </row>
        <row r="3481">
          <cell r="L3481">
            <v>47.630136989999997</v>
          </cell>
          <cell r="M3481">
            <v>4.9141482200000004</v>
          </cell>
        </row>
        <row r="3482">
          <cell r="L3482">
            <v>47.643835619999997</v>
          </cell>
          <cell r="M3482">
            <v>4.9143626300000003</v>
          </cell>
        </row>
        <row r="3483">
          <cell r="L3483">
            <v>47.657534249999998</v>
          </cell>
          <cell r="M3483">
            <v>4.9145775499999997</v>
          </cell>
        </row>
        <row r="3484">
          <cell r="L3484">
            <v>47.671232879999998</v>
          </cell>
          <cell r="M3484">
            <v>4.9147929399999999</v>
          </cell>
        </row>
        <row r="3485">
          <cell r="L3485">
            <v>47.684931509999998</v>
          </cell>
          <cell r="M3485">
            <v>4.9150087600000001</v>
          </cell>
        </row>
        <row r="3486">
          <cell r="L3486">
            <v>47.698630139999999</v>
          </cell>
          <cell r="M3486">
            <v>4.9152249799999996</v>
          </cell>
        </row>
        <row r="3487">
          <cell r="L3487">
            <v>47.712328769999999</v>
          </cell>
          <cell r="M3487">
            <v>4.9154415599999997</v>
          </cell>
        </row>
        <row r="3488">
          <cell r="L3488">
            <v>47.7260274</v>
          </cell>
          <cell r="M3488">
            <v>4.9156584700000003</v>
          </cell>
        </row>
        <row r="3489">
          <cell r="L3489">
            <v>47.73972603</v>
          </cell>
          <cell r="M3489">
            <v>4.9158756600000002</v>
          </cell>
        </row>
        <row r="3490">
          <cell r="L3490">
            <v>47.75342466</v>
          </cell>
          <cell r="M3490">
            <v>4.9160931000000003</v>
          </cell>
        </row>
        <row r="3491">
          <cell r="L3491">
            <v>47.767123290000001</v>
          </cell>
          <cell r="M3491">
            <v>4.9163107500000001</v>
          </cell>
        </row>
        <row r="3492">
          <cell r="L3492">
            <v>47.780821920000001</v>
          </cell>
          <cell r="M3492">
            <v>4.9165285900000004</v>
          </cell>
        </row>
        <row r="3493">
          <cell r="L3493">
            <v>47.794520550000001</v>
          </cell>
          <cell r="M3493">
            <v>4.91674656</v>
          </cell>
        </row>
        <row r="3494">
          <cell r="L3494">
            <v>47.808219180000002</v>
          </cell>
          <cell r="M3494">
            <v>4.9169646499999997</v>
          </cell>
        </row>
        <row r="3495">
          <cell r="L3495">
            <v>47.821917810000002</v>
          </cell>
          <cell r="M3495">
            <v>4.9171828</v>
          </cell>
        </row>
        <row r="3496">
          <cell r="L3496">
            <v>47.835616440000003</v>
          </cell>
          <cell r="M3496">
            <v>4.91740098</v>
          </cell>
        </row>
        <row r="3497">
          <cell r="L3497">
            <v>47.849315070000003</v>
          </cell>
          <cell r="M3497">
            <v>4.9176191600000001</v>
          </cell>
        </row>
        <row r="3498">
          <cell r="L3498">
            <v>47.863013700000003</v>
          </cell>
          <cell r="M3498">
            <v>4.9178372899999996</v>
          </cell>
        </row>
        <row r="3499">
          <cell r="L3499">
            <v>47.876712329999997</v>
          </cell>
          <cell r="M3499">
            <v>4.9180553500000004</v>
          </cell>
        </row>
        <row r="3500">
          <cell r="L3500">
            <v>47.890410959999997</v>
          </cell>
          <cell r="M3500">
            <v>4.9182733000000001</v>
          </cell>
        </row>
        <row r="3501">
          <cell r="L3501">
            <v>47.904109589999997</v>
          </cell>
          <cell r="M3501">
            <v>4.9184910999999998</v>
          </cell>
        </row>
        <row r="3502">
          <cell r="L3502">
            <v>47.917808219999998</v>
          </cell>
          <cell r="M3502">
            <v>4.9187087099999998</v>
          </cell>
        </row>
        <row r="3503">
          <cell r="L3503">
            <v>47.931506849999998</v>
          </cell>
          <cell r="M3503">
            <v>4.9189261000000002</v>
          </cell>
        </row>
        <row r="3504">
          <cell r="L3504">
            <v>47.945205479999998</v>
          </cell>
          <cell r="M3504">
            <v>4.9191432199999996</v>
          </cell>
        </row>
        <row r="3505">
          <cell r="L3505">
            <v>47.958904109999999</v>
          </cell>
          <cell r="M3505">
            <v>4.9193600599999998</v>
          </cell>
        </row>
        <row r="3506">
          <cell r="L3506">
            <v>47.972602739999999</v>
          </cell>
          <cell r="M3506">
            <v>4.9195765600000003</v>
          </cell>
        </row>
        <row r="3507">
          <cell r="L3507">
            <v>47.98630137</v>
          </cell>
          <cell r="M3507">
            <v>4.9197926900000004</v>
          </cell>
        </row>
        <row r="3508">
          <cell r="L3508">
            <v>48</v>
          </cell>
          <cell r="M3508">
            <v>4.9200084100000003</v>
          </cell>
        </row>
        <row r="3509">
          <cell r="L3509">
            <v>48.01369863</v>
          </cell>
          <cell r="M3509">
            <v>4.9202244500000001</v>
          </cell>
        </row>
        <row r="3510">
          <cell r="L3510">
            <v>48.027397260000001</v>
          </cell>
          <cell r="M3510">
            <v>4.9204415199999998</v>
          </cell>
        </row>
        <row r="3511">
          <cell r="L3511">
            <v>48.041095890000001</v>
          </cell>
          <cell r="M3511">
            <v>4.9206595799999997</v>
          </cell>
        </row>
        <row r="3512">
          <cell r="L3512">
            <v>48.054794520000002</v>
          </cell>
          <cell r="M3512">
            <v>4.9208785700000002</v>
          </cell>
        </row>
        <row r="3513">
          <cell r="L3513">
            <v>48.068493150000002</v>
          </cell>
          <cell r="M3513">
            <v>4.9210984599999996</v>
          </cell>
        </row>
        <row r="3514">
          <cell r="L3514">
            <v>48.082191780000002</v>
          </cell>
          <cell r="M3514">
            <v>4.9213192100000001</v>
          </cell>
        </row>
        <row r="3515">
          <cell r="L3515">
            <v>48.095890410000003</v>
          </cell>
          <cell r="M3515">
            <v>4.9215407600000001</v>
          </cell>
        </row>
        <row r="3516">
          <cell r="L3516">
            <v>48.109589040000003</v>
          </cell>
          <cell r="M3516">
            <v>4.9217630699999999</v>
          </cell>
        </row>
        <row r="3517">
          <cell r="L3517">
            <v>48.123287670000003</v>
          </cell>
          <cell r="M3517">
            <v>4.9219861099999997</v>
          </cell>
        </row>
        <row r="3518">
          <cell r="L3518">
            <v>48.136986299999997</v>
          </cell>
          <cell r="M3518">
            <v>4.92220982</v>
          </cell>
        </row>
        <row r="3519">
          <cell r="L3519">
            <v>48.150684929999997</v>
          </cell>
          <cell r="M3519">
            <v>4.9224341599999999</v>
          </cell>
        </row>
        <row r="3520">
          <cell r="L3520">
            <v>48.164383559999997</v>
          </cell>
          <cell r="M3520">
            <v>4.9226590999999997</v>
          </cell>
        </row>
        <row r="3521">
          <cell r="L3521">
            <v>48.178082189999998</v>
          </cell>
          <cell r="M3521">
            <v>4.9228845699999999</v>
          </cell>
        </row>
        <row r="3522">
          <cell r="L3522">
            <v>48.191780819999998</v>
          </cell>
          <cell r="M3522">
            <v>4.9231105499999996</v>
          </cell>
        </row>
        <row r="3523">
          <cell r="L3523">
            <v>48.205479449999999</v>
          </cell>
          <cell r="M3523">
            <v>4.9233369800000002</v>
          </cell>
        </row>
        <row r="3524">
          <cell r="L3524">
            <v>48.219178079999999</v>
          </cell>
          <cell r="M3524">
            <v>4.92356382</v>
          </cell>
        </row>
        <row r="3525">
          <cell r="L3525">
            <v>48.232876709999999</v>
          </cell>
          <cell r="M3525">
            <v>4.9237910300000003</v>
          </cell>
        </row>
        <row r="3526">
          <cell r="L3526">
            <v>48.24657534</v>
          </cell>
          <cell r="M3526">
            <v>4.9240185600000004</v>
          </cell>
        </row>
        <row r="3527">
          <cell r="L3527">
            <v>48.26027397</v>
          </cell>
          <cell r="M3527">
            <v>4.9242463699999997</v>
          </cell>
        </row>
        <row r="3528">
          <cell r="L3528">
            <v>48.2739726</v>
          </cell>
          <cell r="M3528">
            <v>4.9244744200000001</v>
          </cell>
        </row>
        <row r="3529">
          <cell r="L3529">
            <v>48.287671230000001</v>
          </cell>
          <cell r="M3529">
            <v>4.9247026600000003</v>
          </cell>
        </row>
        <row r="3530">
          <cell r="L3530">
            <v>48.301369860000001</v>
          </cell>
          <cell r="M3530">
            <v>4.9249310399999997</v>
          </cell>
        </row>
        <row r="3531">
          <cell r="L3531">
            <v>48.315068490000002</v>
          </cell>
          <cell r="M3531">
            <v>4.9251595300000002</v>
          </cell>
        </row>
        <row r="3532">
          <cell r="L3532">
            <v>48.328767120000002</v>
          </cell>
          <cell r="M3532">
            <v>4.9253880800000003</v>
          </cell>
        </row>
        <row r="3533">
          <cell r="L3533">
            <v>48.342465750000002</v>
          </cell>
          <cell r="M3533">
            <v>4.9256166400000003</v>
          </cell>
        </row>
        <row r="3534">
          <cell r="L3534">
            <v>48.356164380000003</v>
          </cell>
          <cell r="M3534">
            <v>4.9258451699999997</v>
          </cell>
        </row>
        <row r="3535">
          <cell r="L3535">
            <v>48.369863010000003</v>
          </cell>
          <cell r="M3535">
            <v>4.9260736300000003</v>
          </cell>
        </row>
        <row r="3536">
          <cell r="L3536">
            <v>48.383561640000003</v>
          </cell>
          <cell r="M3536">
            <v>4.9263019699999999</v>
          </cell>
        </row>
        <row r="3537">
          <cell r="L3537">
            <v>48.397260269999997</v>
          </cell>
          <cell r="M3537">
            <v>4.9265301499999996</v>
          </cell>
        </row>
        <row r="3538">
          <cell r="L3538">
            <v>48.410958899999997</v>
          </cell>
          <cell r="M3538">
            <v>4.9267581299999996</v>
          </cell>
        </row>
        <row r="3539">
          <cell r="L3539">
            <v>48.424657529999998</v>
          </cell>
          <cell r="M3539">
            <v>4.9269858500000003</v>
          </cell>
        </row>
        <row r="3540">
          <cell r="L3540">
            <v>48.438356159999998</v>
          </cell>
          <cell r="M3540">
            <v>4.9272132800000001</v>
          </cell>
        </row>
        <row r="3541">
          <cell r="L3541">
            <v>48.452054789999998</v>
          </cell>
          <cell r="M3541">
            <v>4.9274403700000002</v>
          </cell>
        </row>
        <row r="3542">
          <cell r="L3542">
            <v>48.465753419999999</v>
          </cell>
          <cell r="M3542">
            <v>4.92766708</v>
          </cell>
        </row>
        <row r="3543">
          <cell r="L3543">
            <v>48.479452049999999</v>
          </cell>
          <cell r="M3543">
            <v>4.9278933599999997</v>
          </cell>
        </row>
        <row r="3544">
          <cell r="L3544">
            <v>48.493150679999999</v>
          </cell>
          <cell r="M3544">
            <v>4.9281191800000004</v>
          </cell>
        </row>
        <row r="3545">
          <cell r="L3545">
            <v>48.506849320000001</v>
          </cell>
          <cell r="M3545">
            <v>4.9283447000000002</v>
          </cell>
        </row>
        <row r="3546">
          <cell r="L3546">
            <v>48.520547950000001</v>
          </cell>
          <cell r="M3546">
            <v>4.9285712500000001</v>
          </cell>
        </row>
        <row r="3547">
          <cell r="L3547">
            <v>48.534246580000001</v>
          </cell>
          <cell r="M3547">
            <v>4.9287989899999998</v>
          </cell>
        </row>
        <row r="3548">
          <cell r="L3548">
            <v>48.547945210000002</v>
          </cell>
          <cell r="M3548">
            <v>4.9290278699999996</v>
          </cell>
        </row>
        <row r="3549">
          <cell r="L3549">
            <v>48.561643840000002</v>
          </cell>
          <cell r="M3549">
            <v>4.92925784</v>
          </cell>
        </row>
        <row r="3550">
          <cell r="L3550">
            <v>48.575342470000002</v>
          </cell>
          <cell r="M3550">
            <v>4.9294888600000002</v>
          </cell>
        </row>
        <row r="3551">
          <cell r="L3551">
            <v>48.589041100000003</v>
          </cell>
          <cell r="M3551">
            <v>4.9297208499999998</v>
          </cell>
        </row>
        <row r="3552">
          <cell r="L3552">
            <v>48.602739730000003</v>
          </cell>
          <cell r="M3552">
            <v>4.92995378</v>
          </cell>
        </row>
        <row r="3553">
          <cell r="L3553">
            <v>48.616438359999997</v>
          </cell>
          <cell r="M3553">
            <v>4.9301875900000001</v>
          </cell>
        </row>
        <row r="3554">
          <cell r="L3554">
            <v>48.630136989999997</v>
          </cell>
          <cell r="M3554">
            <v>4.9304222299999996</v>
          </cell>
        </row>
        <row r="3555">
          <cell r="L3555">
            <v>48.643835619999997</v>
          </cell>
          <cell r="M3555">
            <v>4.9306576399999997</v>
          </cell>
        </row>
        <row r="3556">
          <cell r="L3556">
            <v>48.657534249999998</v>
          </cell>
          <cell r="M3556">
            <v>4.9308937799999999</v>
          </cell>
        </row>
        <row r="3557">
          <cell r="L3557">
            <v>48.671232879999998</v>
          </cell>
          <cell r="M3557">
            <v>4.9311305900000004</v>
          </cell>
        </row>
        <row r="3558">
          <cell r="L3558">
            <v>48.684931509999998</v>
          </cell>
          <cell r="M3558">
            <v>4.9313680199999999</v>
          </cell>
        </row>
        <row r="3559">
          <cell r="L3559">
            <v>48.698630139999999</v>
          </cell>
          <cell r="M3559">
            <v>4.9316060100000003</v>
          </cell>
        </row>
        <row r="3560">
          <cell r="L3560">
            <v>48.712328769999999</v>
          </cell>
          <cell r="M3560">
            <v>4.9318445200000003</v>
          </cell>
        </row>
        <row r="3561">
          <cell r="L3561">
            <v>48.7260274</v>
          </cell>
          <cell r="M3561">
            <v>4.9320834900000001</v>
          </cell>
        </row>
        <row r="3562">
          <cell r="L3562">
            <v>48.73972603</v>
          </cell>
          <cell r="M3562">
            <v>4.9323228700000001</v>
          </cell>
        </row>
        <row r="3563">
          <cell r="L3563">
            <v>48.75342466</v>
          </cell>
          <cell r="M3563">
            <v>4.9325626099999997</v>
          </cell>
        </row>
        <row r="3564">
          <cell r="L3564">
            <v>48.767123290000001</v>
          </cell>
          <cell r="M3564">
            <v>4.9328026600000001</v>
          </cell>
        </row>
        <row r="3565">
          <cell r="L3565">
            <v>48.780821920000001</v>
          </cell>
          <cell r="M3565">
            <v>4.9330429599999999</v>
          </cell>
        </row>
        <row r="3566">
          <cell r="L3566">
            <v>48.794520550000001</v>
          </cell>
          <cell r="M3566">
            <v>4.9332834500000002</v>
          </cell>
        </row>
        <row r="3567">
          <cell r="L3567">
            <v>48.808219180000002</v>
          </cell>
          <cell r="M3567">
            <v>4.9335240999999996</v>
          </cell>
        </row>
        <row r="3568">
          <cell r="L3568">
            <v>48.821917810000002</v>
          </cell>
          <cell r="M3568">
            <v>4.9337648400000003</v>
          </cell>
        </row>
        <row r="3569">
          <cell r="L3569">
            <v>48.835616440000003</v>
          </cell>
          <cell r="M3569">
            <v>4.9340056299999997</v>
          </cell>
        </row>
        <row r="3570">
          <cell r="L3570">
            <v>48.849315070000003</v>
          </cell>
          <cell r="M3570">
            <v>4.9342464000000001</v>
          </cell>
        </row>
        <row r="3571">
          <cell r="L3571">
            <v>48.863013700000003</v>
          </cell>
          <cell r="M3571">
            <v>4.93448712</v>
          </cell>
        </row>
        <row r="3572">
          <cell r="L3572">
            <v>48.876712329999997</v>
          </cell>
          <cell r="M3572">
            <v>4.9347277199999997</v>
          </cell>
        </row>
        <row r="3573">
          <cell r="L3573">
            <v>48.890410959999997</v>
          </cell>
          <cell r="M3573">
            <v>4.9349681600000004</v>
          </cell>
        </row>
        <row r="3574">
          <cell r="L3574">
            <v>48.904109589999997</v>
          </cell>
          <cell r="M3574">
            <v>4.9352083799999997</v>
          </cell>
        </row>
        <row r="3575">
          <cell r="L3575">
            <v>48.917808219999998</v>
          </cell>
          <cell r="M3575">
            <v>4.9354483299999998</v>
          </cell>
        </row>
        <row r="3576">
          <cell r="L3576">
            <v>48.931506849999998</v>
          </cell>
          <cell r="M3576">
            <v>4.9356879500000002</v>
          </cell>
        </row>
        <row r="3577">
          <cell r="L3577">
            <v>48.945205479999998</v>
          </cell>
          <cell r="M3577">
            <v>4.9359272000000001</v>
          </cell>
        </row>
        <row r="3578">
          <cell r="L3578">
            <v>48.958904109999999</v>
          </cell>
          <cell r="M3578">
            <v>4.9361660299999999</v>
          </cell>
        </row>
        <row r="3579">
          <cell r="L3579">
            <v>48.972602739999999</v>
          </cell>
          <cell r="M3579">
            <v>4.93640437</v>
          </cell>
        </row>
        <row r="3580">
          <cell r="L3580">
            <v>48.98630137</v>
          </cell>
          <cell r="M3580">
            <v>4.9366421799999998</v>
          </cell>
        </row>
        <row r="3581">
          <cell r="L3581">
            <v>49</v>
          </cell>
          <cell r="M3581">
            <v>4.9368794100000004</v>
          </cell>
        </row>
        <row r="3582">
          <cell r="L3582">
            <v>49.01369863</v>
          </cell>
          <cell r="M3582">
            <v>4.9371170600000003</v>
          </cell>
        </row>
        <row r="3583">
          <cell r="L3583">
            <v>49.027397260000001</v>
          </cell>
          <cell r="M3583">
            <v>4.9373561300000004</v>
          </cell>
        </row>
        <row r="3584">
          <cell r="L3584">
            <v>49.041095890000001</v>
          </cell>
          <cell r="M3584">
            <v>4.9375965600000002</v>
          </cell>
        </row>
        <row r="3585">
          <cell r="L3585">
            <v>49.054794520000002</v>
          </cell>
          <cell r="M3585">
            <v>4.9378382900000002</v>
          </cell>
        </row>
        <row r="3586">
          <cell r="L3586">
            <v>49.068493150000002</v>
          </cell>
          <cell r="M3586">
            <v>4.9380812599999997</v>
          </cell>
        </row>
        <row r="3587">
          <cell r="L3587">
            <v>49.082191780000002</v>
          </cell>
          <cell r="M3587">
            <v>4.9383254000000001</v>
          </cell>
        </row>
        <row r="3588">
          <cell r="L3588">
            <v>49.095890410000003</v>
          </cell>
          <cell r="M3588">
            <v>4.9385706599999999</v>
          </cell>
        </row>
        <row r="3589">
          <cell r="L3589">
            <v>49.109589040000003</v>
          </cell>
          <cell r="M3589">
            <v>4.9388169800000004</v>
          </cell>
        </row>
        <row r="3590">
          <cell r="L3590">
            <v>49.123287670000003</v>
          </cell>
          <cell r="M3590">
            <v>4.9390642900000001</v>
          </cell>
        </row>
        <row r="3591">
          <cell r="L3591">
            <v>49.136986299999997</v>
          </cell>
          <cell r="M3591">
            <v>4.9393125400000004</v>
          </cell>
        </row>
        <row r="3592">
          <cell r="L3592">
            <v>49.150684929999997</v>
          </cell>
          <cell r="M3592">
            <v>4.9395616499999999</v>
          </cell>
        </row>
        <row r="3593">
          <cell r="L3593">
            <v>49.164383559999997</v>
          </cell>
          <cell r="M3593">
            <v>4.9398115799999998</v>
          </cell>
        </row>
        <row r="3594">
          <cell r="L3594">
            <v>49.178082189999998</v>
          </cell>
          <cell r="M3594">
            <v>4.9400622700000003</v>
          </cell>
        </row>
        <row r="3595">
          <cell r="L3595">
            <v>49.191780819999998</v>
          </cell>
          <cell r="M3595">
            <v>4.9403136400000003</v>
          </cell>
        </row>
        <row r="3596">
          <cell r="L3596">
            <v>49.205479449999999</v>
          </cell>
          <cell r="M3596">
            <v>4.94056564</v>
          </cell>
        </row>
        <row r="3597">
          <cell r="L3597">
            <v>49.219178079999999</v>
          </cell>
          <cell r="M3597">
            <v>4.9408182099999998</v>
          </cell>
        </row>
        <row r="3598">
          <cell r="L3598">
            <v>49.232876709999999</v>
          </cell>
          <cell r="M3598">
            <v>4.9410712800000001</v>
          </cell>
        </row>
        <row r="3599">
          <cell r="L3599">
            <v>49.24657534</v>
          </cell>
          <cell r="M3599">
            <v>4.9413248100000002</v>
          </cell>
        </row>
        <row r="3600">
          <cell r="L3600">
            <v>49.26027397</v>
          </cell>
          <cell r="M3600">
            <v>4.9415787099999999</v>
          </cell>
        </row>
        <row r="3601">
          <cell r="L3601">
            <v>49.2739726</v>
          </cell>
          <cell r="M3601">
            <v>4.9418329500000002</v>
          </cell>
        </row>
        <row r="3602">
          <cell r="L3602">
            <v>49.287671230000001</v>
          </cell>
          <cell r="M3602">
            <v>4.9420874499999998</v>
          </cell>
        </row>
        <row r="3603">
          <cell r="L3603">
            <v>49.301369860000001</v>
          </cell>
          <cell r="M3603">
            <v>4.94234215</v>
          </cell>
        </row>
        <row r="3604">
          <cell r="L3604">
            <v>49.315068490000002</v>
          </cell>
          <cell r="M3604">
            <v>4.9425969900000002</v>
          </cell>
        </row>
        <row r="3605">
          <cell r="L3605">
            <v>49.328767120000002</v>
          </cell>
          <cell r="M3605">
            <v>4.9428519099999999</v>
          </cell>
        </row>
        <row r="3606">
          <cell r="L3606">
            <v>49.342465750000002</v>
          </cell>
          <cell r="M3606">
            <v>4.9431068600000003</v>
          </cell>
        </row>
        <row r="3607">
          <cell r="L3607">
            <v>49.356164380000003</v>
          </cell>
          <cell r="M3607">
            <v>4.9433617600000002</v>
          </cell>
        </row>
        <row r="3608">
          <cell r="L3608">
            <v>49.369863010000003</v>
          </cell>
          <cell r="M3608">
            <v>4.9436165599999997</v>
          </cell>
        </row>
        <row r="3609">
          <cell r="L3609">
            <v>49.383561640000003</v>
          </cell>
          <cell r="M3609">
            <v>4.9438712000000002</v>
          </cell>
        </row>
        <row r="3610">
          <cell r="L3610">
            <v>49.397260269999997</v>
          </cell>
          <cell r="M3610">
            <v>4.9441256200000003</v>
          </cell>
        </row>
        <row r="3611">
          <cell r="L3611">
            <v>49.410958899999997</v>
          </cell>
          <cell r="M3611">
            <v>4.9443797500000004</v>
          </cell>
        </row>
        <row r="3612">
          <cell r="L3612">
            <v>49.424657529999998</v>
          </cell>
          <cell r="M3612">
            <v>4.9446335399999999</v>
          </cell>
        </row>
        <row r="3613">
          <cell r="L3613">
            <v>49.438356159999998</v>
          </cell>
          <cell r="M3613">
            <v>4.9448869200000001</v>
          </cell>
        </row>
        <row r="3614">
          <cell r="L3614">
            <v>49.452054789999998</v>
          </cell>
          <cell r="M3614">
            <v>4.9451398299999996</v>
          </cell>
        </row>
        <row r="3615">
          <cell r="L3615">
            <v>49.465753419999999</v>
          </cell>
          <cell r="M3615">
            <v>4.9453922199999996</v>
          </cell>
        </row>
        <row r="3616">
          <cell r="L3616">
            <v>49.479452049999999</v>
          </cell>
          <cell r="M3616">
            <v>4.9456440099999996</v>
          </cell>
        </row>
        <row r="3617">
          <cell r="L3617">
            <v>49.493150679999999</v>
          </cell>
          <cell r="M3617">
            <v>4.9458951600000001</v>
          </cell>
        </row>
        <row r="3618">
          <cell r="L3618">
            <v>49.506849320000001</v>
          </cell>
          <cell r="M3618">
            <v>4.9461459100000003</v>
          </cell>
        </row>
        <row r="3619">
          <cell r="L3619">
            <v>49.520547950000001</v>
          </cell>
          <cell r="M3619">
            <v>4.9463980100000002</v>
          </cell>
        </row>
        <row r="3620">
          <cell r="L3620">
            <v>49.534246580000001</v>
          </cell>
          <cell r="M3620">
            <v>4.9466517200000002</v>
          </cell>
        </row>
        <row r="3621">
          <cell r="L3621">
            <v>49.547945210000002</v>
          </cell>
          <cell r="M3621">
            <v>4.9469069499999998</v>
          </cell>
        </row>
        <row r="3622">
          <cell r="L3622">
            <v>49.561643840000002</v>
          </cell>
          <cell r="M3622">
            <v>4.9471636500000002</v>
          </cell>
        </row>
        <row r="3623">
          <cell r="L3623">
            <v>49.575342470000002</v>
          </cell>
          <cell r="M3623">
            <v>4.9474217300000003</v>
          </cell>
        </row>
        <row r="3624">
          <cell r="L3624">
            <v>49.589041100000003</v>
          </cell>
          <cell r="M3624">
            <v>4.9476811300000003</v>
          </cell>
        </row>
        <row r="3625">
          <cell r="L3625">
            <v>49.602739730000003</v>
          </cell>
          <cell r="M3625">
            <v>4.9479417899999998</v>
          </cell>
        </row>
        <row r="3626">
          <cell r="L3626">
            <v>49.616438359999997</v>
          </cell>
          <cell r="M3626">
            <v>4.9482036200000001</v>
          </cell>
        </row>
        <row r="3627">
          <cell r="L3627">
            <v>49.630136989999997</v>
          </cell>
          <cell r="M3627">
            <v>4.94846656</v>
          </cell>
        </row>
        <row r="3628">
          <cell r="L3628">
            <v>49.643835619999997</v>
          </cell>
          <cell r="M3628">
            <v>4.9487305299999997</v>
          </cell>
        </row>
        <row r="3629">
          <cell r="L3629">
            <v>49.657534249999998</v>
          </cell>
          <cell r="M3629">
            <v>4.9489954799999998</v>
          </cell>
        </row>
        <row r="3630">
          <cell r="L3630">
            <v>49.671232879999998</v>
          </cell>
          <cell r="M3630">
            <v>4.9492613299999997</v>
          </cell>
        </row>
        <row r="3631">
          <cell r="L3631">
            <v>49.684931509999998</v>
          </cell>
          <cell r="M3631">
            <v>4.9495279999999999</v>
          </cell>
        </row>
        <row r="3632">
          <cell r="L3632">
            <v>49.698630139999999</v>
          </cell>
          <cell r="M3632">
            <v>4.9497954399999999</v>
          </cell>
        </row>
        <row r="3633">
          <cell r="L3633">
            <v>49.712328769999999</v>
          </cell>
          <cell r="M3633">
            <v>4.9500635600000003</v>
          </cell>
        </row>
        <row r="3634">
          <cell r="L3634">
            <v>49.7260274</v>
          </cell>
          <cell r="M3634">
            <v>4.9503323000000004</v>
          </cell>
        </row>
        <row r="3635">
          <cell r="L3635">
            <v>49.73972603</v>
          </cell>
          <cell r="M3635">
            <v>4.9506015899999998</v>
          </cell>
        </row>
        <row r="3636">
          <cell r="L3636">
            <v>49.75342466</v>
          </cell>
          <cell r="M3636">
            <v>4.9508713599999998</v>
          </cell>
        </row>
        <row r="3637">
          <cell r="L3637">
            <v>49.767123290000001</v>
          </cell>
          <cell r="M3637">
            <v>4.9511415400000001</v>
          </cell>
        </row>
        <row r="3638">
          <cell r="L3638">
            <v>49.780821920000001</v>
          </cell>
          <cell r="M3638">
            <v>4.95141206</v>
          </cell>
        </row>
        <row r="3639">
          <cell r="L3639">
            <v>49.794520550000001</v>
          </cell>
          <cell r="M3639">
            <v>4.9516828400000001</v>
          </cell>
        </row>
        <row r="3640">
          <cell r="L3640">
            <v>49.808219180000002</v>
          </cell>
          <cell r="M3640">
            <v>4.9519538299999999</v>
          </cell>
        </row>
        <row r="3641">
          <cell r="L3641">
            <v>49.821917810000002</v>
          </cell>
          <cell r="M3641">
            <v>4.9522249399999998</v>
          </cell>
        </row>
        <row r="3642">
          <cell r="L3642">
            <v>49.835616440000003</v>
          </cell>
          <cell r="M3642">
            <v>4.9524961100000002</v>
          </cell>
        </row>
        <row r="3643">
          <cell r="L3643">
            <v>49.849315070000003</v>
          </cell>
          <cell r="M3643">
            <v>4.9527672599999999</v>
          </cell>
        </row>
        <row r="3644">
          <cell r="L3644">
            <v>49.863013700000003</v>
          </cell>
          <cell r="M3644">
            <v>4.95303834</v>
          </cell>
        </row>
        <row r="3645">
          <cell r="L3645">
            <v>49.876712329999997</v>
          </cell>
          <cell r="M3645">
            <v>4.9533092700000001</v>
          </cell>
        </row>
        <row r="3646">
          <cell r="L3646">
            <v>49.890410959999997</v>
          </cell>
          <cell r="M3646">
            <v>4.9535799699999998</v>
          </cell>
        </row>
        <row r="3647">
          <cell r="L3647">
            <v>49.904109589999997</v>
          </cell>
          <cell r="M3647">
            <v>4.9538503800000004</v>
          </cell>
        </row>
        <row r="3648">
          <cell r="L3648">
            <v>49.917808219999998</v>
          </cell>
          <cell r="M3648">
            <v>4.9541204299999997</v>
          </cell>
        </row>
        <row r="3649">
          <cell r="L3649">
            <v>49.931506849999998</v>
          </cell>
          <cell r="M3649">
            <v>4.9543900499999998</v>
          </cell>
        </row>
        <row r="3650">
          <cell r="L3650">
            <v>49.945205479999998</v>
          </cell>
          <cell r="M3650">
            <v>4.9546591600000003</v>
          </cell>
        </row>
        <row r="3651">
          <cell r="L3651">
            <v>49.958904109999999</v>
          </cell>
          <cell r="M3651">
            <v>4.9549277099999998</v>
          </cell>
        </row>
        <row r="3652">
          <cell r="L3652">
            <v>49.972602739999999</v>
          </cell>
          <cell r="M3652">
            <v>4.9551956099999996</v>
          </cell>
        </row>
        <row r="3653">
          <cell r="L3653">
            <v>49.98630137</v>
          </cell>
          <cell r="M3653">
            <v>4.9554628000000003</v>
          </cell>
        </row>
        <row r="3654">
          <cell r="L3654">
            <v>50</v>
          </cell>
          <cell r="M3654">
            <v>4.9557292000000004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25"/>
  </sheetPr>
  <dimension ref="A1:AB3654"/>
  <sheetViews>
    <sheetView showGridLines="0" workbookViewId="0">
      <selection activeCell="A2" sqref="A2"/>
    </sheetView>
  </sheetViews>
  <sheetFormatPr defaultColWidth="9" defaultRowHeight="13.5" x14ac:dyDescent="0.15"/>
  <cols>
    <col min="1" max="1" width="9" style="33"/>
    <col min="2" max="2" width="31.75" style="33" customWidth="1"/>
    <col min="3" max="3" width="13.25" style="33" customWidth="1"/>
    <col min="4" max="4" width="10.625" style="33" customWidth="1"/>
    <col min="5" max="5" width="13.375" style="33" customWidth="1"/>
    <col min="6" max="6" width="12.5" style="33" customWidth="1"/>
    <col min="7" max="7" width="9" style="33"/>
    <col min="8" max="28" width="9" style="34"/>
    <col min="29" max="252" width="9" style="33"/>
    <col min="253" max="253" width="27.625" style="33" customWidth="1"/>
    <col min="254" max="254" width="12" style="33" customWidth="1"/>
    <col min="255" max="255" width="11" style="33" customWidth="1"/>
    <col min="256" max="257" width="9" style="33"/>
    <col min="258" max="258" width="10.625" style="33" customWidth="1"/>
    <col min="259" max="259" width="9" style="33"/>
    <col min="260" max="260" width="11.25" style="33" customWidth="1"/>
    <col min="261" max="267" width="9" style="33"/>
    <col min="268" max="268" width="9.625" style="33" customWidth="1"/>
    <col min="269" max="269" width="9" style="33"/>
    <col min="270" max="270" width="10.625" style="33" customWidth="1"/>
    <col min="271" max="276" width="9" style="33"/>
    <col min="277" max="277" width="9.625" style="33" customWidth="1"/>
    <col min="278" max="278" width="9" style="33"/>
    <col min="279" max="279" width="10.625" style="33" customWidth="1"/>
    <col min="280" max="508" width="9" style="33"/>
    <col min="509" max="509" width="27.625" style="33" customWidth="1"/>
    <col min="510" max="510" width="12" style="33" customWidth="1"/>
    <col min="511" max="511" width="11" style="33" customWidth="1"/>
    <col min="512" max="513" width="9" style="33"/>
    <col min="514" max="514" width="10.625" style="33" customWidth="1"/>
    <col min="515" max="515" width="9" style="33"/>
    <col min="516" max="516" width="11.25" style="33" customWidth="1"/>
    <col min="517" max="523" width="9" style="33"/>
    <col min="524" max="524" width="9.625" style="33" customWidth="1"/>
    <col min="525" max="525" width="9" style="33"/>
    <col min="526" max="526" width="10.625" style="33" customWidth="1"/>
    <col min="527" max="532" width="9" style="33"/>
    <col min="533" max="533" width="9.625" style="33" customWidth="1"/>
    <col min="534" max="534" width="9" style="33"/>
    <col min="535" max="535" width="10.625" style="33" customWidth="1"/>
    <col min="536" max="764" width="9" style="33"/>
    <col min="765" max="765" width="27.625" style="33" customWidth="1"/>
    <col min="766" max="766" width="12" style="33" customWidth="1"/>
    <col min="767" max="767" width="11" style="33" customWidth="1"/>
    <col min="768" max="769" width="9" style="33"/>
    <col min="770" max="770" width="10.625" style="33" customWidth="1"/>
    <col min="771" max="771" width="9" style="33"/>
    <col min="772" max="772" width="11.25" style="33" customWidth="1"/>
    <col min="773" max="779" width="9" style="33"/>
    <col min="780" max="780" width="9.625" style="33" customWidth="1"/>
    <col min="781" max="781" width="9" style="33"/>
    <col min="782" max="782" width="10.625" style="33" customWidth="1"/>
    <col min="783" max="788" width="9" style="33"/>
    <col min="789" max="789" width="9.625" style="33" customWidth="1"/>
    <col min="790" max="790" width="9" style="33"/>
    <col min="791" max="791" width="10.625" style="33" customWidth="1"/>
    <col min="792" max="1020" width="9" style="33"/>
    <col min="1021" max="1021" width="27.625" style="33" customWidth="1"/>
    <col min="1022" max="1022" width="12" style="33" customWidth="1"/>
    <col min="1023" max="1023" width="11" style="33" customWidth="1"/>
    <col min="1024" max="1025" width="9" style="33"/>
    <col min="1026" max="1026" width="10.625" style="33" customWidth="1"/>
    <col min="1027" max="1027" width="9" style="33"/>
    <col min="1028" max="1028" width="11.25" style="33" customWidth="1"/>
    <col min="1029" max="1035" width="9" style="33"/>
    <col min="1036" max="1036" width="9.625" style="33" customWidth="1"/>
    <col min="1037" max="1037" width="9" style="33"/>
    <col min="1038" max="1038" width="10.625" style="33" customWidth="1"/>
    <col min="1039" max="1044" width="9" style="33"/>
    <col min="1045" max="1045" width="9.625" style="33" customWidth="1"/>
    <col min="1046" max="1046" width="9" style="33"/>
    <col min="1047" max="1047" width="10.625" style="33" customWidth="1"/>
    <col min="1048" max="1276" width="9" style="33"/>
    <col min="1277" max="1277" width="27.625" style="33" customWidth="1"/>
    <col min="1278" max="1278" width="12" style="33" customWidth="1"/>
    <col min="1279" max="1279" width="11" style="33" customWidth="1"/>
    <col min="1280" max="1281" width="9" style="33"/>
    <col min="1282" max="1282" width="10.625" style="33" customWidth="1"/>
    <col min="1283" max="1283" width="9" style="33"/>
    <col min="1284" max="1284" width="11.25" style="33" customWidth="1"/>
    <col min="1285" max="1291" width="9" style="33"/>
    <col min="1292" max="1292" width="9.625" style="33" customWidth="1"/>
    <col min="1293" max="1293" width="9" style="33"/>
    <col min="1294" max="1294" width="10.625" style="33" customWidth="1"/>
    <col min="1295" max="1300" width="9" style="33"/>
    <col min="1301" max="1301" width="9.625" style="33" customWidth="1"/>
    <col min="1302" max="1302" width="9" style="33"/>
    <col min="1303" max="1303" width="10.625" style="33" customWidth="1"/>
    <col min="1304" max="1532" width="9" style="33"/>
    <col min="1533" max="1533" width="27.625" style="33" customWidth="1"/>
    <col min="1534" max="1534" width="12" style="33" customWidth="1"/>
    <col min="1535" max="1535" width="11" style="33" customWidth="1"/>
    <col min="1536" max="1537" width="9" style="33"/>
    <col min="1538" max="1538" width="10.625" style="33" customWidth="1"/>
    <col min="1539" max="1539" width="9" style="33"/>
    <col min="1540" max="1540" width="11.25" style="33" customWidth="1"/>
    <col min="1541" max="1547" width="9" style="33"/>
    <col min="1548" max="1548" width="9.625" style="33" customWidth="1"/>
    <col min="1549" max="1549" width="9" style="33"/>
    <col min="1550" max="1550" width="10.625" style="33" customWidth="1"/>
    <col min="1551" max="1556" width="9" style="33"/>
    <col min="1557" max="1557" width="9.625" style="33" customWidth="1"/>
    <col min="1558" max="1558" width="9" style="33"/>
    <col min="1559" max="1559" width="10.625" style="33" customWidth="1"/>
    <col min="1560" max="1788" width="9" style="33"/>
    <col min="1789" max="1789" width="27.625" style="33" customWidth="1"/>
    <col min="1790" max="1790" width="12" style="33" customWidth="1"/>
    <col min="1791" max="1791" width="11" style="33" customWidth="1"/>
    <col min="1792" max="1793" width="9" style="33"/>
    <col min="1794" max="1794" width="10.625" style="33" customWidth="1"/>
    <col min="1795" max="1795" width="9" style="33"/>
    <col min="1796" max="1796" width="11.25" style="33" customWidth="1"/>
    <col min="1797" max="1803" width="9" style="33"/>
    <col min="1804" max="1804" width="9.625" style="33" customWidth="1"/>
    <col min="1805" max="1805" width="9" style="33"/>
    <col min="1806" max="1806" width="10.625" style="33" customWidth="1"/>
    <col min="1807" max="1812" width="9" style="33"/>
    <col min="1813" max="1813" width="9.625" style="33" customWidth="1"/>
    <col min="1814" max="1814" width="9" style="33"/>
    <col min="1815" max="1815" width="10.625" style="33" customWidth="1"/>
    <col min="1816" max="2044" width="9" style="33"/>
    <col min="2045" max="2045" width="27.625" style="33" customWidth="1"/>
    <col min="2046" max="2046" width="12" style="33" customWidth="1"/>
    <col min="2047" max="2047" width="11" style="33" customWidth="1"/>
    <col min="2048" max="2049" width="9" style="33"/>
    <col min="2050" max="2050" width="10.625" style="33" customWidth="1"/>
    <col min="2051" max="2051" width="9" style="33"/>
    <col min="2052" max="2052" width="11.25" style="33" customWidth="1"/>
    <col min="2053" max="2059" width="9" style="33"/>
    <col min="2060" max="2060" width="9.625" style="33" customWidth="1"/>
    <col min="2061" max="2061" width="9" style="33"/>
    <col min="2062" max="2062" width="10.625" style="33" customWidth="1"/>
    <col min="2063" max="2068" width="9" style="33"/>
    <col min="2069" max="2069" width="9.625" style="33" customWidth="1"/>
    <col min="2070" max="2070" width="9" style="33"/>
    <col min="2071" max="2071" width="10.625" style="33" customWidth="1"/>
    <col min="2072" max="2300" width="9" style="33"/>
    <col min="2301" max="2301" width="27.625" style="33" customWidth="1"/>
    <col min="2302" max="2302" width="12" style="33" customWidth="1"/>
    <col min="2303" max="2303" width="11" style="33" customWidth="1"/>
    <col min="2304" max="2305" width="9" style="33"/>
    <col min="2306" max="2306" width="10.625" style="33" customWidth="1"/>
    <col min="2307" max="2307" width="9" style="33"/>
    <col min="2308" max="2308" width="11.25" style="33" customWidth="1"/>
    <col min="2309" max="2315" width="9" style="33"/>
    <col min="2316" max="2316" width="9.625" style="33" customWidth="1"/>
    <col min="2317" max="2317" width="9" style="33"/>
    <col min="2318" max="2318" width="10.625" style="33" customWidth="1"/>
    <col min="2319" max="2324" width="9" style="33"/>
    <col min="2325" max="2325" width="9.625" style="33" customWidth="1"/>
    <col min="2326" max="2326" width="9" style="33"/>
    <col min="2327" max="2327" width="10.625" style="33" customWidth="1"/>
    <col min="2328" max="2556" width="9" style="33"/>
    <col min="2557" max="2557" width="27.625" style="33" customWidth="1"/>
    <col min="2558" max="2558" width="12" style="33" customWidth="1"/>
    <col min="2559" max="2559" width="11" style="33" customWidth="1"/>
    <col min="2560" max="2561" width="9" style="33"/>
    <col min="2562" max="2562" width="10.625" style="33" customWidth="1"/>
    <col min="2563" max="2563" width="9" style="33"/>
    <col min="2564" max="2564" width="11.25" style="33" customWidth="1"/>
    <col min="2565" max="2571" width="9" style="33"/>
    <col min="2572" max="2572" width="9.625" style="33" customWidth="1"/>
    <col min="2573" max="2573" width="9" style="33"/>
    <col min="2574" max="2574" width="10.625" style="33" customWidth="1"/>
    <col min="2575" max="2580" width="9" style="33"/>
    <col min="2581" max="2581" width="9.625" style="33" customWidth="1"/>
    <col min="2582" max="2582" width="9" style="33"/>
    <col min="2583" max="2583" width="10.625" style="33" customWidth="1"/>
    <col min="2584" max="2812" width="9" style="33"/>
    <col min="2813" max="2813" width="27.625" style="33" customWidth="1"/>
    <col min="2814" max="2814" width="12" style="33" customWidth="1"/>
    <col min="2815" max="2815" width="11" style="33" customWidth="1"/>
    <col min="2816" max="2817" width="9" style="33"/>
    <col min="2818" max="2818" width="10.625" style="33" customWidth="1"/>
    <col min="2819" max="2819" width="9" style="33"/>
    <col min="2820" max="2820" width="11.25" style="33" customWidth="1"/>
    <col min="2821" max="2827" width="9" style="33"/>
    <col min="2828" max="2828" width="9.625" style="33" customWidth="1"/>
    <col min="2829" max="2829" width="9" style="33"/>
    <col min="2830" max="2830" width="10.625" style="33" customWidth="1"/>
    <col min="2831" max="2836" width="9" style="33"/>
    <col min="2837" max="2837" width="9.625" style="33" customWidth="1"/>
    <col min="2838" max="2838" width="9" style="33"/>
    <col min="2839" max="2839" width="10.625" style="33" customWidth="1"/>
    <col min="2840" max="3068" width="9" style="33"/>
    <col min="3069" max="3069" width="27.625" style="33" customWidth="1"/>
    <col min="3070" max="3070" width="12" style="33" customWidth="1"/>
    <col min="3071" max="3071" width="11" style="33" customWidth="1"/>
    <col min="3072" max="3073" width="9" style="33"/>
    <col min="3074" max="3074" width="10.625" style="33" customWidth="1"/>
    <col min="3075" max="3075" width="9" style="33"/>
    <col min="3076" max="3076" width="11.25" style="33" customWidth="1"/>
    <col min="3077" max="3083" width="9" style="33"/>
    <col min="3084" max="3084" width="9.625" style="33" customWidth="1"/>
    <col min="3085" max="3085" width="9" style="33"/>
    <col min="3086" max="3086" width="10.625" style="33" customWidth="1"/>
    <col min="3087" max="3092" width="9" style="33"/>
    <col min="3093" max="3093" width="9.625" style="33" customWidth="1"/>
    <col min="3094" max="3094" width="9" style="33"/>
    <col min="3095" max="3095" width="10.625" style="33" customWidth="1"/>
    <col min="3096" max="3324" width="9" style="33"/>
    <col min="3325" max="3325" width="27.625" style="33" customWidth="1"/>
    <col min="3326" max="3326" width="12" style="33" customWidth="1"/>
    <col min="3327" max="3327" width="11" style="33" customWidth="1"/>
    <col min="3328" max="3329" width="9" style="33"/>
    <col min="3330" max="3330" width="10.625" style="33" customWidth="1"/>
    <col min="3331" max="3331" width="9" style="33"/>
    <col min="3332" max="3332" width="11.25" style="33" customWidth="1"/>
    <col min="3333" max="3339" width="9" style="33"/>
    <col min="3340" max="3340" width="9.625" style="33" customWidth="1"/>
    <col min="3341" max="3341" width="9" style="33"/>
    <col min="3342" max="3342" width="10.625" style="33" customWidth="1"/>
    <col min="3343" max="3348" width="9" style="33"/>
    <col min="3349" max="3349" width="9.625" style="33" customWidth="1"/>
    <col min="3350" max="3350" width="9" style="33"/>
    <col min="3351" max="3351" width="10.625" style="33" customWidth="1"/>
    <col min="3352" max="3580" width="9" style="33"/>
    <col min="3581" max="3581" width="27.625" style="33" customWidth="1"/>
    <col min="3582" max="3582" width="12" style="33" customWidth="1"/>
    <col min="3583" max="3583" width="11" style="33" customWidth="1"/>
    <col min="3584" max="3585" width="9" style="33"/>
    <col min="3586" max="3586" width="10.625" style="33" customWidth="1"/>
    <col min="3587" max="3587" width="9" style="33"/>
    <col min="3588" max="3588" width="11.25" style="33" customWidth="1"/>
    <col min="3589" max="3595" width="9" style="33"/>
    <col min="3596" max="3596" width="9.625" style="33" customWidth="1"/>
    <col min="3597" max="3597" width="9" style="33"/>
    <col min="3598" max="3598" width="10.625" style="33" customWidth="1"/>
    <col min="3599" max="3604" width="9" style="33"/>
    <col min="3605" max="3605" width="9.625" style="33" customWidth="1"/>
    <col min="3606" max="3606" width="9" style="33"/>
    <col min="3607" max="3607" width="10.625" style="33" customWidth="1"/>
    <col min="3608" max="3836" width="9" style="33"/>
    <col min="3837" max="3837" width="27.625" style="33" customWidth="1"/>
    <col min="3838" max="3838" width="12" style="33" customWidth="1"/>
    <col min="3839" max="3839" width="11" style="33" customWidth="1"/>
    <col min="3840" max="3841" width="9" style="33"/>
    <col min="3842" max="3842" width="10.625" style="33" customWidth="1"/>
    <col min="3843" max="3843" width="9" style="33"/>
    <col min="3844" max="3844" width="11.25" style="33" customWidth="1"/>
    <col min="3845" max="3851" width="9" style="33"/>
    <col min="3852" max="3852" width="9.625" style="33" customWidth="1"/>
    <col min="3853" max="3853" width="9" style="33"/>
    <col min="3854" max="3854" width="10.625" style="33" customWidth="1"/>
    <col min="3855" max="3860" width="9" style="33"/>
    <col min="3861" max="3861" width="9.625" style="33" customWidth="1"/>
    <col min="3862" max="3862" width="9" style="33"/>
    <col min="3863" max="3863" width="10.625" style="33" customWidth="1"/>
    <col min="3864" max="4092" width="9" style="33"/>
    <col min="4093" max="4093" width="27.625" style="33" customWidth="1"/>
    <col min="4094" max="4094" width="12" style="33" customWidth="1"/>
    <col min="4095" max="4095" width="11" style="33" customWidth="1"/>
    <col min="4096" max="4097" width="9" style="33"/>
    <col min="4098" max="4098" width="10.625" style="33" customWidth="1"/>
    <col min="4099" max="4099" width="9" style="33"/>
    <col min="4100" max="4100" width="11.25" style="33" customWidth="1"/>
    <col min="4101" max="4107" width="9" style="33"/>
    <col min="4108" max="4108" width="9.625" style="33" customWidth="1"/>
    <col min="4109" max="4109" width="9" style="33"/>
    <col min="4110" max="4110" width="10.625" style="33" customWidth="1"/>
    <col min="4111" max="4116" width="9" style="33"/>
    <col min="4117" max="4117" width="9.625" style="33" customWidth="1"/>
    <col min="4118" max="4118" width="9" style="33"/>
    <col min="4119" max="4119" width="10.625" style="33" customWidth="1"/>
    <col min="4120" max="4348" width="9" style="33"/>
    <col min="4349" max="4349" width="27.625" style="33" customWidth="1"/>
    <col min="4350" max="4350" width="12" style="33" customWidth="1"/>
    <col min="4351" max="4351" width="11" style="33" customWidth="1"/>
    <col min="4352" max="4353" width="9" style="33"/>
    <col min="4354" max="4354" width="10.625" style="33" customWidth="1"/>
    <col min="4355" max="4355" width="9" style="33"/>
    <col min="4356" max="4356" width="11.25" style="33" customWidth="1"/>
    <col min="4357" max="4363" width="9" style="33"/>
    <col min="4364" max="4364" width="9.625" style="33" customWidth="1"/>
    <col min="4365" max="4365" width="9" style="33"/>
    <col min="4366" max="4366" width="10.625" style="33" customWidth="1"/>
    <col min="4367" max="4372" width="9" style="33"/>
    <col min="4373" max="4373" width="9.625" style="33" customWidth="1"/>
    <col min="4374" max="4374" width="9" style="33"/>
    <col min="4375" max="4375" width="10.625" style="33" customWidth="1"/>
    <col min="4376" max="4604" width="9" style="33"/>
    <col min="4605" max="4605" width="27.625" style="33" customWidth="1"/>
    <col min="4606" max="4606" width="12" style="33" customWidth="1"/>
    <col min="4607" max="4607" width="11" style="33" customWidth="1"/>
    <col min="4608" max="4609" width="9" style="33"/>
    <col min="4610" max="4610" width="10.625" style="33" customWidth="1"/>
    <col min="4611" max="4611" width="9" style="33"/>
    <col min="4612" max="4612" width="11.25" style="33" customWidth="1"/>
    <col min="4613" max="4619" width="9" style="33"/>
    <col min="4620" max="4620" width="9.625" style="33" customWidth="1"/>
    <col min="4621" max="4621" width="9" style="33"/>
    <col min="4622" max="4622" width="10.625" style="33" customWidth="1"/>
    <col min="4623" max="4628" width="9" style="33"/>
    <col min="4629" max="4629" width="9.625" style="33" customWidth="1"/>
    <col min="4630" max="4630" width="9" style="33"/>
    <col min="4631" max="4631" width="10.625" style="33" customWidth="1"/>
    <col min="4632" max="4860" width="9" style="33"/>
    <col min="4861" max="4861" width="27.625" style="33" customWidth="1"/>
    <col min="4862" max="4862" width="12" style="33" customWidth="1"/>
    <col min="4863" max="4863" width="11" style="33" customWidth="1"/>
    <col min="4864" max="4865" width="9" style="33"/>
    <col min="4866" max="4866" width="10.625" style="33" customWidth="1"/>
    <col min="4867" max="4867" width="9" style="33"/>
    <col min="4868" max="4868" width="11.25" style="33" customWidth="1"/>
    <col min="4869" max="4875" width="9" style="33"/>
    <col min="4876" max="4876" width="9.625" style="33" customWidth="1"/>
    <col min="4877" max="4877" width="9" style="33"/>
    <col min="4878" max="4878" width="10.625" style="33" customWidth="1"/>
    <col min="4879" max="4884" width="9" style="33"/>
    <col min="4885" max="4885" width="9.625" style="33" customWidth="1"/>
    <col min="4886" max="4886" width="9" style="33"/>
    <col min="4887" max="4887" width="10.625" style="33" customWidth="1"/>
    <col min="4888" max="5116" width="9" style="33"/>
    <col min="5117" max="5117" width="27.625" style="33" customWidth="1"/>
    <col min="5118" max="5118" width="12" style="33" customWidth="1"/>
    <col min="5119" max="5119" width="11" style="33" customWidth="1"/>
    <col min="5120" max="5121" width="9" style="33"/>
    <col min="5122" max="5122" width="10.625" style="33" customWidth="1"/>
    <col min="5123" max="5123" width="9" style="33"/>
    <col min="5124" max="5124" width="11.25" style="33" customWidth="1"/>
    <col min="5125" max="5131" width="9" style="33"/>
    <col min="5132" max="5132" width="9.625" style="33" customWidth="1"/>
    <col min="5133" max="5133" width="9" style="33"/>
    <col min="5134" max="5134" width="10.625" style="33" customWidth="1"/>
    <col min="5135" max="5140" width="9" style="33"/>
    <col min="5141" max="5141" width="9.625" style="33" customWidth="1"/>
    <col min="5142" max="5142" width="9" style="33"/>
    <col min="5143" max="5143" width="10.625" style="33" customWidth="1"/>
    <col min="5144" max="5372" width="9" style="33"/>
    <col min="5373" max="5373" width="27.625" style="33" customWidth="1"/>
    <col min="5374" max="5374" width="12" style="33" customWidth="1"/>
    <col min="5375" max="5375" width="11" style="33" customWidth="1"/>
    <col min="5376" max="5377" width="9" style="33"/>
    <col min="5378" max="5378" width="10.625" style="33" customWidth="1"/>
    <col min="5379" max="5379" width="9" style="33"/>
    <col min="5380" max="5380" width="11.25" style="33" customWidth="1"/>
    <col min="5381" max="5387" width="9" style="33"/>
    <col min="5388" max="5388" width="9.625" style="33" customWidth="1"/>
    <col min="5389" max="5389" width="9" style="33"/>
    <col min="5390" max="5390" width="10.625" style="33" customWidth="1"/>
    <col min="5391" max="5396" width="9" style="33"/>
    <col min="5397" max="5397" width="9.625" style="33" customWidth="1"/>
    <col min="5398" max="5398" width="9" style="33"/>
    <col min="5399" max="5399" width="10.625" style="33" customWidth="1"/>
    <col min="5400" max="5628" width="9" style="33"/>
    <col min="5629" max="5629" width="27.625" style="33" customWidth="1"/>
    <col min="5630" max="5630" width="12" style="33" customWidth="1"/>
    <col min="5631" max="5631" width="11" style="33" customWidth="1"/>
    <col min="5632" max="5633" width="9" style="33"/>
    <col min="5634" max="5634" width="10.625" style="33" customWidth="1"/>
    <col min="5635" max="5635" width="9" style="33"/>
    <col min="5636" max="5636" width="11.25" style="33" customWidth="1"/>
    <col min="5637" max="5643" width="9" style="33"/>
    <col min="5644" max="5644" width="9.625" style="33" customWidth="1"/>
    <col min="5645" max="5645" width="9" style="33"/>
    <col min="5646" max="5646" width="10.625" style="33" customWidth="1"/>
    <col min="5647" max="5652" width="9" style="33"/>
    <col min="5653" max="5653" width="9.625" style="33" customWidth="1"/>
    <col min="5654" max="5654" width="9" style="33"/>
    <col min="5655" max="5655" width="10.625" style="33" customWidth="1"/>
    <col min="5656" max="5884" width="9" style="33"/>
    <col min="5885" max="5885" width="27.625" style="33" customWidth="1"/>
    <col min="5886" max="5886" width="12" style="33" customWidth="1"/>
    <col min="5887" max="5887" width="11" style="33" customWidth="1"/>
    <col min="5888" max="5889" width="9" style="33"/>
    <col min="5890" max="5890" width="10.625" style="33" customWidth="1"/>
    <col min="5891" max="5891" width="9" style="33"/>
    <col min="5892" max="5892" width="11.25" style="33" customWidth="1"/>
    <col min="5893" max="5899" width="9" style="33"/>
    <col min="5900" max="5900" width="9.625" style="33" customWidth="1"/>
    <col min="5901" max="5901" width="9" style="33"/>
    <col min="5902" max="5902" width="10.625" style="33" customWidth="1"/>
    <col min="5903" max="5908" width="9" style="33"/>
    <col min="5909" max="5909" width="9.625" style="33" customWidth="1"/>
    <col min="5910" max="5910" width="9" style="33"/>
    <col min="5911" max="5911" width="10.625" style="33" customWidth="1"/>
    <col min="5912" max="6140" width="9" style="33"/>
    <col min="6141" max="6141" width="27.625" style="33" customWidth="1"/>
    <col min="6142" max="6142" width="12" style="33" customWidth="1"/>
    <col min="6143" max="6143" width="11" style="33" customWidth="1"/>
    <col min="6144" max="6145" width="9" style="33"/>
    <col min="6146" max="6146" width="10.625" style="33" customWidth="1"/>
    <col min="6147" max="6147" width="9" style="33"/>
    <col min="6148" max="6148" width="11.25" style="33" customWidth="1"/>
    <col min="6149" max="6155" width="9" style="33"/>
    <col min="6156" max="6156" width="9.625" style="33" customWidth="1"/>
    <col min="6157" max="6157" width="9" style="33"/>
    <col min="6158" max="6158" width="10.625" style="33" customWidth="1"/>
    <col min="6159" max="6164" width="9" style="33"/>
    <col min="6165" max="6165" width="9.625" style="33" customWidth="1"/>
    <col min="6166" max="6166" width="9" style="33"/>
    <col min="6167" max="6167" width="10.625" style="33" customWidth="1"/>
    <col min="6168" max="6396" width="9" style="33"/>
    <col min="6397" max="6397" width="27.625" style="33" customWidth="1"/>
    <col min="6398" max="6398" width="12" style="33" customWidth="1"/>
    <col min="6399" max="6399" width="11" style="33" customWidth="1"/>
    <col min="6400" max="6401" width="9" style="33"/>
    <col min="6402" max="6402" width="10.625" style="33" customWidth="1"/>
    <col min="6403" max="6403" width="9" style="33"/>
    <col min="6404" max="6404" width="11.25" style="33" customWidth="1"/>
    <col min="6405" max="6411" width="9" style="33"/>
    <col min="6412" max="6412" width="9.625" style="33" customWidth="1"/>
    <col min="6413" max="6413" width="9" style="33"/>
    <col min="6414" max="6414" width="10.625" style="33" customWidth="1"/>
    <col min="6415" max="6420" width="9" style="33"/>
    <col min="6421" max="6421" width="9.625" style="33" customWidth="1"/>
    <col min="6422" max="6422" width="9" style="33"/>
    <col min="6423" max="6423" width="10.625" style="33" customWidth="1"/>
    <col min="6424" max="6652" width="9" style="33"/>
    <col min="6653" max="6653" width="27.625" style="33" customWidth="1"/>
    <col min="6654" max="6654" width="12" style="33" customWidth="1"/>
    <col min="6655" max="6655" width="11" style="33" customWidth="1"/>
    <col min="6656" max="6657" width="9" style="33"/>
    <col min="6658" max="6658" width="10.625" style="33" customWidth="1"/>
    <col min="6659" max="6659" width="9" style="33"/>
    <col min="6660" max="6660" width="11.25" style="33" customWidth="1"/>
    <col min="6661" max="6667" width="9" style="33"/>
    <col min="6668" max="6668" width="9.625" style="33" customWidth="1"/>
    <col min="6669" max="6669" width="9" style="33"/>
    <col min="6670" max="6670" width="10.625" style="33" customWidth="1"/>
    <col min="6671" max="6676" width="9" style="33"/>
    <col min="6677" max="6677" width="9.625" style="33" customWidth="1"/>
    <col min="6678" max="6678" width="9" style="33"/>
    <col min="6679" max="6679" width="10.625" style="33" customWidth="1"/>
    <col min="6680" max="6908" width="9" style="33"/>
    <col min="6909" max="6909" width="27.625" style="33" customWidth="1"/>
    <col min="6910" max="6910" width="12" style="33" customWidth="1"/>
    <col min="6911" max="6911" width="11" style="33" customWidth="1"/>
    <col min="6912" max="6913" width="9" style="33"/>
    <col min="6914" max="6914" width="10.625" style="33" customWidth="1"/>
    <col min="6915" max="6915" width="9" style="33"/>
    <col min="6916" max="6916" width="11.25" style="33" customWidth="1"/>
    <col min="6917" max="6923" width="9" style="33"/>
    <col min="6924" max="6924" width="9.625" style="33" customWidth="1"/>
    <col min="6925" max="6925" width="9" style="33"/>
    <col min="6926" max="6926" width="10.625" style="33" customWidth="1"/>
    <col min="6927" max="6932" width="9" style="33"/>
    <col min="6933" max="6933" width="9.625" style="33" customWidth="1"/>
    <col min="6934" max="6934" width="9" style="33"/>
    <col min="6935" max="6935" width="10.625" style="33" customWidth="1"/>
    <col min="6936" max="7164" width="9" style="33"/>
    <col min="7165" max="7165" width="27.625" style="33" customWidth="1"/>
    <col min="7166" max="7166" width="12" style="33" customWidth="1"/>
    <col min="7167" max="7167" width="11" style="33" customWidth="1"/>
    <col min="7168" max="7169" width="9" style="33"/>
    <col min="7170" max="7170" width="10.625" style="33" customWidth="1"/>
    <col min="7171" max="7171" width="9" style="33"/>
    <col min="7172" max="7172" width="11.25" style="33" customWidth="1"/>
    <col min="7173" max="7179" width="9" style="33"/>
    <col min="7180" max="7180" width="9.625" style="33" customWidth="1"/>
    <col min="7181" max="7181" width="9" style="33"/>
    <col min="7182" max="7182" width="10.625" style="33" customWidth="1"/>
    <col min="7183" max="7188" width="9" style="33"/>
    <col min="7189" max="7189" width="9.625" style="33" customWidth="1"/>
    <col min="7190" max="7190" width="9" style="33"/>
    <col min="7191" max="7191" width="10.625" style="33" customWidth="1"/>
    <col min="7192" max="7420" width="9" style="33"/>
    <col min="7421" max="7421" width="27.625" style="33" customWidth="1"/>
    <col min="7422" max="7422" width="12" style="33" customWidth="1"/>
    <col min="7423" max="7423" width="11" style="33" customWidth="1"/>
    <col min="7424" max="7425" width="9" style="33"/>
    <col min="7426" max="7426" width="10.625" style="33" customWidth="1"/>
    <col min="7427" max="7427" width="9" style="33"/>
    <col min="7428" max="7428" width="11.25" style="33" customWidth="1"/>
    <col min="7429" max="7435" width="9" style="33"/>
    <col min="7436" max="7436" width="9.625" style="33" customWidth="1"/>
    <col min="7437" max="7437" width="9" style="33"/>
    <col min="7438" max="7438" width="10.625" style="33" customWidth="1"/>
    <col min="7439" max="7444" width="9" style="33"/>
    <col min="7445" max="7445" width="9.625" style="33" customWidth="1"/>
    <col min="7446" max="7446" width="9" style="33"/>
    <col min="7447" max="7447" width="10.625" style="33" customWidth="1"/>
    <col min="7448" max="7676" width="9" style="33"/>
    <col min="7677" max="7677" width="27.625" style="33" customWidth="1"/>
    <col min="7678" max="7678" width="12" style="33" customWidth="1"/>
    <col min="7679" max="7679" width="11" style="33" customWidth="1"/>
    <col min="7680" max="7681" width="9" style="33"/>
    <col min="7682" max="7682" width="10.625" style="33" customWidth="1"/>
    <col min="7683" max="7683" width="9" style="33"/>
    <col min="7684" max="7684" width="11.25" style="33" customWidth="1"/>
    <col min="7685" max="7691" width="9" style="33"/>
    <col min="7692" max="7692" width="9.625" style="33" customWidth="1"/>
    <col min="7693" max="7693" width="9" style="33"/>
    <col min="7694" max="7694" width="10.625" style="33" customWidth="1"/>
    <col min="7695" max="7700" width="9" style="33"/>
    <col min="7701" max="7701" width="9.625" style="33" customWidth="1"/>
    <col min="7702" max="7702" width="9" style="33"/>
    <col min="7703" max="7703" width="10.625" style="33" customWidth="1"/>
    <col min="7704" max="7932" width="9" style="33"/>
    <col min="7933" max="7933" width="27.625" style="33" customWidth="1"/>
    <col min="7934" max="7934" width="12" style="33" customWidth="1"/>
    <col min="7935" max="7935" width="11" style="33" customWidth="1"/>
    <col min="7936" max="7937" width="9" style="33"/>
    <col min="7938" max="7938" width="10.625" style="33" customWidth="1"/>
    <col min="7939" max="7939" width="9" style="33"/>
    <col min="7940" max="7940" width="11.25" style="33" customWidth="1"/>
    <col min="7941" max="7947" width="9" style="33"/>
    <col min="7948" max="7948" width="9.625" style="33" customWidth="1"/>
    <col min="7949" max="7949" width="9" style="33"/>
    <col min="7950" max="7950" width="10.625" style="33" customWidth="1"/>
    <col min="7951" max="7956" width="9" style="33"/>
    <col min="7957" max="7957" width="9.625" style="33" customWidth="1"/>
    <col min="7958" max="7958" width="9" style="33"/>
    <col min="7959" max="7959" width="10.625" style="33" customWidth="1"/>
    <col min="7960" max="8188" width="9" style="33"/>
    <col min="8189" max="8189" width="27.625" style="33" customWidth="1"/>
    <col min="8190" max="8190" width="12" style="33" customWidth="1"/>
    <col min="8191" max="8191" width="11" style="33" customWidth="1"/>
    <col min="8192" max="8193" width="9" style="33"/>
    <col min="8194" max="8194" width="10.625" style="33" customWidth="1"/>
    <col min="8195" max="8195" width="9" style="33"/>
    <col min="8196" max="8196" width="11.25" style="33" customWidth="1"/>
    <col min="8197" max="8203" width="9" style="33"/>
    <col min="8204" max="8204" width="9.625" style="33" customWidth="1"/>
    <col min="8205" max="8205" width="9" style="33"/>
    <col min="8206" max="8206" width="10.625" style="33" customWidth="1"/>
    <col min="8207" max="8212" width="9" style="33"/>
    <col min="8213" max="8213" width="9.625" style="33" customWidth="1"/>
    <col min="8214" max="8214" width="9" style="33"/>
    <col min="8215" max="8215" width="10.625" style="33" customWidth="1"/>
    <col min="8216" max="8444" width="9" style="33"/>
    <col min="8445" max="8445" width="27.625" style="33" customWidth="1"/>
    <col min="8446" max="8446" width="12" style="33" customWidth="1"/>
    <col min="8447" max="8447" width="11" style="33" customWidth="1"/>
    <col min="8448" max="8449" width="9" style="33"/>
    <col min="8450" max="8450" width="10.625" style="33" customWidth="1"/>
    <col min="8451" max="8451" width="9" style="33"/>
    <col min="8452" max="8452" width="11.25" style="33" customWidth="1"/>
    <col min="8453" max="8459" width="9" style="33"/>
    <col min="8460" max="8460" width="9.625" style="33" customWidth="1"/>
    <col min="8461" max="8461" width="9" style="33"/>
    <col min="8462" max="8462" width="10.625" style="33" customWidth="1"/>
    <col min="8463" max="8468" width="9" style="33"/>
    <col min="8469" max="8469" width="9.625" style="33" customWidth="1"/>
    <col min="8470" max="8470" width="9" style="33"/>
    <col min="8471" max="8471" width="10.625" style="33" customWidth="1"/>
    <col min="8472" max="8700" width="9" style="33"/>
    <col min="8701" max="8701" width="27.625" style="33" customWidth="1"/>
    <col min="8702" max="8702" width="12" style="33" customWidth="1"/>
    <col min="8703" max="8703" width="11" style="33" customWidth="1"/>
    <col min="8704" max="8705" width="9" style="33"/>
    <col min="8706" max="8706" width="10.625" style="33" customWidth="1"/>
    <col min="8707" max="8707" width="9" style="33"/>
    <col min="8708" max="8708" width="11.25" style="33" customWidth="1"/>
    <col min="8709" max="8715" width="9" style="33"/>
    <col min="8716" max="8716" width="9.625" style="33" customWidth="1"/>
    <col min="8717" max="8717" width="9" style="33"/>
    <col min="8718" max="8718" width="10.625" style="33" customWidth="1"/>
    <col min="8719" max="8724" width="9" style="33"/>
    <col min="8725" max="8725" width="9.625" style="33" customWidth="1"/>
    <col min="8726" max="8726" width="9" style="33"/>
    <col min="8727" max="8727" width="10.625" style="33" customWidth="1"/>
    <col min="8728" max="8956" width="9" style="33"/>
    <col min="8957" max="8957" width="27.625" style="33" customWidth="1"/>
    <col min="8958" max="8958" width="12" style="33" customWidth="1"/>
    <col min="8959" max="8959" width="11" style="33" customWidth="1"/>
    <col min="8960" max="8961" width="9" style="33"/>
    <col min="8962" max="8962" width="10.625" style="33" customWidth="1"/>
    <col min="8963" max="8963" width="9" style="33"/>
    <col min="8964" max="8964" width="11.25" style="33" customWidth="1"/>
    <col min="8965" max="8971" width="9" style="33"/>
    <col min="8972" max="8972" width="9.625" style="33" customWidth="1"/>
    <col min="8973" max="8973" width="9" style="33"/>
    <col min="8974" max="8974" width="10.625" style="33" customWidth="1"/>
    <col min="8975" max="8980" width="9" style="33"/>
    <col min="8981" max="8981" width="9.625" style="33" customWidth="1"/>
    <col min="8982" max="8982" width="9" style="33"/>
    <col min="8983" max="8983" width="10.625" style="33" customWidth="1"/>
    <col min="8984" max="9212" width="9" style="33"/>
    <col min="9213" max="9213" width="27.625" style="33" customWidth="1"/>
    <col min="9214" max="9214" width="12" style="33" customWidth="1"/>
    <col min="9215" max="9215" width="11" style="33" customWidth="1"/>
    <col min="9216" max="9217" width="9" style="33"/>
    <col min="9218" max="9218" width="10.625" style="33" customWidth="1"/>
    <col min="9219" max="9219" width="9" style="33"/>
    <col min="9220" max="9220" width="11.25" style="33" customWidth="1"/>
    <col min="9221" max="9227" width="9" style="33"/>
    <col min="9228" max="9228" width="9.625" style="33" customWidth="1"/>
    <col min="9229" max="9229" width="9" style="33"/>
    <col min="9230" max="9230" width="10.625" style="33" customWidth="1"/>
    <col min="9231" max="9236" width="9" style="33"/>
    <col min="9237" max="9237" width="9.625" style="33" customWidth="1"/>
    <col min="9238" max="9238" width="9" style="33"/>
    <col min="9239" max="9239" width="10.625" style="33" customWidth="1"/>
    <col min="9240" max="9468" width="9" style="33"/>
    <col min="9469" max="9469" width="27.625" style="33" customWidth="1"/>
    <col min="9470" max="9470" width="12" style="33" customWidth="1"/>
    <col min="9471" max="9471" width="11" style="33" customWidth="1"/>
    <col min="9472" max="9473" width="9" style="33"/>
    <col min="9474" max="9474" width="10.625" style="33" customWidth="1"/>
    <col min="9475" max="9475" width="9" style="33"/>
    <col min="9476" max="9476" width="11.25" style="33" customWidth="1"/>
    <col min="9477" max="9483" width="9" style="33"/>
    <col min="9484" max="9484" width="9.625" style="33" customWidth="1"/>
    <col min="9485" max="9485" width="9" style="33"/>
    <col min="9486" max="9486" width="10.625" style="33" customWidth="1"/>
    <col min="9487" max="9492" width="9" style="33"/>
    <col min="9493" max="9493" width="9.625" style="33" customWidth="1"/>
    <col min="9494" max="9494" width="9" style="33"/>
    <col min="9495" max="9495" width="10.625" style="33" customWidth="1"/>
    <col min="9496" max="9724" width="9" style="33"/>
    <col min="9725" max="9725" width="27.625" style="33" customWidth="1"/>
    <col min="9726" max="9726" width="12" style="33" customWidth="1"/>
    <col min="9727" max="9727" width="11" style="33" customWidth="1"/>
    <col min="9728" max="9729" width="9" style="33"/>
    <col min="9730" max="9730" width="10.625" style="33" customWidth="1"/>
    <col min="9731" max="9731" width="9" style="33"/>
    <col min="9732" max="9732" width="11.25" style="33" customWidth="1"/>
    <col min="9733" max="9739" width="9" style="33"/>
    <col min="9740" max="9740" width="9.625" style="33" customWidth="1"/>
    <col min="9741" max="9741" width="9" style="33"/>
    <col min="9742" max="9742" width="10.625" style="33" customWidth="1"/>
    <col min="9743" max="9748" width="9" style="33"/>
    <col min="9749" max="9749" width="9.625" style="33" customWidth="1"/>
    <col min="9750" max="9750" width="9" style="33"/>
    <col min="9751" max="9751" width="10.625" style="33" customWidth="1"/>
    <col min="9752" max="9980" width="9" style="33"/>
    <col min="9981" max="9981" width="27.625" style="33" customWidth="1"/>
    <col min="9982" max="9982" width="12" style="33" customWidth="1"/>
    <col min="9983" max="9983" width="11" style="33" customWidth="1"/>
    <col min="9984" max="9985" width="9" style="33"/>
    <col min="9986" max="9986" width="10.625" style="33" customWidth="1"/>
    <col min="9987" max="9987" width="9" style="33"/>
    <col min="9988" max="9988" width="11.25" style="33" customWidth="1"/>
    <col min="9989" max="9995" width="9" style="33"/>
    <col min="9996" max="9996" width="9.625" style="33" customWidth="1"/>
    <col min="9997" max="9997" width="9" style="33"/>
    <col min="9998" max="9998" width="10.625" style="33" customWidth="1"/>
    <col min="9999" max="10004" width="9" style="33"/>
    <col min="10005" max="10005" width="9.625" style="33" customWidth="1"/>
    <col min="10006" max="10006" width="9" style="33"/>
    <col min="10007" max="10007" width="10.625" style="33" customWidth="1"/>
    <col min="10008" max="10236" width="9" style="33"/>
    <col min="10237" max="10237" width="27.625" style="33" customWidth="1"/>
    <col min="10238" max="10238" width="12" style="33" customWidth="1"/>
    <col min="10239" max="10239" width="11" style="33" customWidth="1"/>
    <col min="10240" max="10241" width="9" style="33"/>
    <col min="10242" max="10242" width="10.625" style="33" customWidth="1"/>
    <col min="10243" max="10243" width="9" style="33"/>
    <col min="10244" max="10244" width="11.25" style="33" customWidth="1"/>
    <col min="10245" max="10251" width="9" style="33"/>
    <col min="10252" max="10252" width="9.625" style="33" customWidth="1"/>
    <col min="10253" max="10253" width="9" style="33"/>
    <col min="10254" max="10254" width="10.625" style="33" customWidth="1"/>
    <col min="10255" max="10260" width="9" style="33"/>
    <col min="10261" max="10261" width="9.625" style="33" customWidth="1"/>
    <col min="10262" max="10262" width="9" style="33"/>
    <col min="10263" max="10263" width="10.625" style="33" customWidth="1"/>
    <col min="10264" max="10492" width="9" style="33"/>
    <col min="10493" max="10493" width="27.625" style="33" customWidth="1"/>
    <col min="10494" max="10494" width="12" style="33" customWidth="1"/>
    <col min="10495" max="10495" width="11" style="33" customWidth="1"/>
    <col min="10496" max="10497" width="9" style="33"/>
    <col min="10498" max="10498" width="10.625" style="33" customWidth="1"/>
    <col min="10499" max="10499" width="9" style="33"/>
    <col min="10500" max="10500" width="11.25" style="33" customWidth="1"/>
    <col min="10501" max="10507" width="9" style="33"/>
    <col min="10508" max="10508" width="9.625" style="33" customWidth="1"/>
    <col min="10509" max="10509" width="9" style="33"/>
    <col min="10510" max="10510" width="10.625" style="33" customWidth="1"/>
    <col min="10511" max="10516" width="9" style="33"/>
    <col min="10517" max="10517" width="9.625" style="33" customWidth="1"/>
    <col min="10518" max="10518" width="9" style="33"/>
    <col min="10519" max="10519" width="10.625" style="33" customWidth="1"/>
    <col min="10520" max="10748" width="9" style="33"/>
    <col min="10749" max="10749" width="27.625" style="33" customWidth="1"/>
    <col min="10750" max="10750" width="12" style="33" customWidth="1"/>
    <col min="10751" max="10751" width="11" style="33" customWidth="1"/>
    <col min="10752" max="10753" width="9" style="33"/>
    <col min="10754" max="10754" width="10.625" style="33" customWidth="1"/>
    <col min="10755" max="10755" width="9" style="33"/>
    <col min="10756" max="10756" width="11.25" style="33" customWidth="1"/>
    <col min="10757" max="10763" width="9" style="33"/>
    <col min="10764" max="10764" width="9.625" style="33" customWidth="1"/>
    <col min="10765" max="10765" width="9" style="33"/>
    <col min="10766" max="10766" width="10.625" style="33" customWidth="1"/>
    <col min="10767" max="10772" width="9" style="33"/>
    <col min="10773" max="10773" width="9.625" style="33" customWidth="1"/>
    <col min="10774" max="10774" width="9" style="33"/>
    <col min="10775" max="10775" width="10.625" style="33" customWidth="1"/>
    <col min="10776" max="11004" width="9" style="33"/>
    <col min="11005" max="11005" width="27.625" style="33" customWidth="1"/>
    <col min="11006" max="11006" width="12" style="33" customWidth="1"/>
    <col min="11007" max="11007" width="11" style="33" customWidth="1"/>
    <col min="11008" max="11009" width="9" style="33"/>
    <col min="11010" max="11010" width="10.625" style="33" customWidth="1"/>
    <col min="11011" max="11011" width="9" style="33"/>
    <col min="11012" max="11012" width="11.25" style="33" customWidth="1"/>
    <col min="11013" max="11019" width="9" style="33"/>
    <col min="11020" max="11020" width="9.625" style="33" customWidth="1"/>
    <col min="11021" max="11021" width="9" style="33"/>
    <col min="11022" max="11022" width="10.625" style="33" customWidth="1"/>
    <col min="11023" max="11028" width="9" style="33"/>
    <col min="11029" max="11029" width="9.625" style="33" customWidth="1"/>
    <col min="11030" max="11030" width="9" style="33"/>
    <col min="11031" max="11031" width="10.625" style="33" customWidth="1"/>
    <col min="11032" max="11260" width="9" style="33"/>
    <col min="11261" max="11261" width="27.625" style="33" customWidth="1"/>
    <col min="11262" max="11262" width="12" style="33" customWidth="1"/>
    <col min="11263" max="11263" width="11" style="33" customWidth="1"/>
    <col min="11264" max="11265" width="9" style="33"/>
    <col min="11266" max="11266" width="10.625" style="33" customWidth="1"/>
    <col min="11267" max="11267" width="9" style="33"/>
    <col min="11268" max="11268" width="11.25" style="33" customWidth="1"/>
    <col min="11269" max="11275" width="9" style="33"/>
    <col min="11276" max="11276" width="9.625" style="33" customWidth="1"/>
    <col min="11277" max="11277" width="9" style="33"/>
    <col min="11278" max="11278" width="10.625" style="33" customWidth="1"/>
    <col min="11279" max="11284" width="9" style="33"/>
    <col min="11285" max="11285" width="9.625" style="33" customWidth="1"/>
    <col min="11286" max="11286" width="9" style="33"/>
    <col min="11287" max="11287" width="10.625" style="33" customWidth="1"/>
    <col min="11288" max="11516" width="9" style="33"/>
    <col min="11517" max="11517" width="27.625" style="33" customWidth="1"/>
    <col min="11518" max="11518" width="12" style="33" customWidth="1"/>
    <col min="11519" max="11519" width="11" style="33" customWidth="1"/>
    <col min="11520" max="11521" width="9" style="33"/>
    <col min="11522" max="11522" width="10.625" style="33" customWidth="1"/>
    <col min="11523" max="11523" width="9" style="33"/>
    <col min="11524" max="11524" width="11.25" style="33" customWidth="1"/>
    <col min="11525" max="11531" width="9" style="33"/>
    <col min="11532" max="11532" width="9.625" style="33" customWidth="1"/>
    <col min="11533" max="11533" width="9" style="33"/>
    <col min="11534" max="11534" width="10.625" style="33" customWidth="1"/>
    <col min="11535" max="11540" width="9" style="33"/>
    <col min="11541" max="11541" width="9.625" style="33" customWidth="1"/>
    <col min="11542" max="11542" width="9" style="33"/>
    <col min="11543" max="11543" width="10.625" style="33" customWidth="1"/>
    <col min="11544" max="11772" width="9" style="33"/>
    <col min="11773" max="11773" width="27.625" style="33" customWidth="1"/>
    <col min="11774" max="11774" width="12" style="33" customWidth="1"/>
    <col min="11775" max="11775" width="11" style="33" customWidth="1"/>
    <col min="11776" max="11777" width="9" style="33"/>
    <col min="11778" max="11778" width="10.625" style="33" customWidth="1"/>
    <col min="11779" max="11779" width="9" style="33"/>
    <col min="11780" max="11780" width="11.25" style="33" customWidth="1"/>
    <col min="11781" max="11787" width="9" style="33"/>
    <col min="11788" max="11788" width="9.625" style="33" customWidth="1"/>
    <col min="11789" max="11789" width="9" style="33"/>
    <col min="11790" max="11790" width="10.625" style="33" customWidth="1"/>
    <col min="11791" max="11796" width="9" style="33"/>
    <col min="11797" max="11797" width="9.625" style="33" customWidth="1"/>
    <col min="11798" max="11798" width="9" style="33"/>
    <col min="11799" max="11799" width="10.625" style="33" customWidth="1"/>
    <col min="11800" max="12028" width="9" style="33"/>
    <col min="12029" max="12029" width="27.625" style="33" customWidth="1"/>
    <col min="12030" max="12030" width="12" style="33" customWidth="1"/>
    <col min="12031" max="12031" width="11" style="33" customWidth="1"/>
    <col min="12032" max="12033" width="9" style="33"/>
    <col min="12034" max="12034" width="10.625" style="33" customWidth="1"/>
    <col min="12035" max="12035" width="9" style="33"/>
    <col min="12036" max="12036" width="11.25" style="33" customWidth="1"/>
    <col min="12037" max="12043" width="9" style="33"/>
    <col min="12044" max="12044" width="9.625" style="33" customWidth="1"/>
    <col min="12045" max="12045" width="9" style="33"/>
    <col min="12046" max="12046" width="10.625" style="33" customWidth="1"/>
    <col min="12047" max="12052" width="9" style="33"/>
    <col min="12053" max="12053" width="9.625" style="33" customWidth="1"/>
    <col min="12054" max="12054" width="9" style="33"/>
    <col min="12055" max="12055" width="10.625" style="33" customWidth="1"/>
    <col min="12056" max="12284" width="9" style="33"/>
    <col min="12285" max="12285" width="27.625" style="33" customWidth="1"/>
    <col min="12286" max="12286" width="12" style="33" customWidth="1"/>
    <col min="12287" max="12287" width="11" style="33" customWidth="1"/>
    <col min="12288" max="12289" width="9" style="33"/>
    <col min="12290" max="12290" width="10.625" style="33" customWidth="1"/>
    <col min="12291" max="12291" width="9" style="33"/>
    <col min="12292" max="12292" width="11.25" style="33" customWidth="1"/>
    <col min="12293" max="12299" width="9" style="33"/>
    <col min="12300" max="12300" width="9.625" style="33" customWidth="1"/>
    <col min="12301" max="12301" width="9" style="33"/>
    <col min="12302" max="12302" width="10.625" style="33" customWidth="1"/>
    <col min="12303" max="12308" width="9" style="33"/>
    <col min="12309" max="12309" width="9.625" style="33" customWidth="1"/>
    <col min="12310" max="12310" width="9" style="33"/>
    <col min="12311" max="12311" width="10.625" style="33" customWidth="1"/>
    <col min="12312" max="12540" width="9" style="33"/>
    <col min="12541" max="12541" width="27.625" style="33" customWidth="1"/>
    <col min="12542" max="12542" width="12" style="33" customWidth="1"/>
    <col min="12543" max="12543" width="11" style="33" customWidth="1"/>
    <col min="12544" max="12545" width="9" style="33"/>
    <col min="12546" max="12546" width="10.625" style="33" customWidth="1"/>
    <col min="12547" max="12547" width="9" style="33"/>
    <col min="12548" max="12548" width="11.25" style="33" customWidth="1"/>
    <col min="12549" max="12555" width="9" style="33"/>
    <col min="12556" max="12556" width="9.625" style="33" customWidth="1"/>
    <col min="12557" max="12557" width="9" style="33"/>
    <col min="12558" max="12558" width="10.625" style="33" customWidth="1"/>
    <col min="12559" max="12564" width="9" style="33"/>
    <col min="12565" max="12565" width="9.625" style="33" customWidth="1"/>
    <col min="12566" max="12566" width="9" style="33"/>
    <col min="12567" max="12567" width="10.625" style="33" customWidth="1"/>
    <col min="12568" max="12796" width="9" style="33"/>
    <col min="12797" max="12797" width="27.625" style="33" customWidth="1"/>
    <col min="12798" max="12798" width="12" style="33" customWidth="1"/>
    <col min="12799" max="12799" width="11" style="33" customWidth="1"/>
    <col min="12800" max="12801" width="9" style="33"/>
    <col min="12802" max="12802" width="10.625" style="33" customWidth="1"/>
    <col min="12803" max="12803" width="9" style="33"/>
    <col min="12804" max="12804" width="11.25" style="33" customWidth="1"/>
    <col min="12805" max="12811" width="9" style="33"/>
    <col min="12812" max="12812" width="9.625" style="33" customWidth="1"/>
    <col min="12813" max="12813" width="9" style="33"/>
    <col min="12814" max="12814" width="10.625" style="33" customWidth="1"/>
    <col min="12815" max="12820" width="9" style="33"/>
    <col min="12821" max="12821" width="9.625" style="33" customWidth="1"/>
    <col min="12822" max="12822" width="9" style="33"/>
    <col min="12823" max="12823" width="10.625" style="33" customWidth="1"/>
    <col min="12824" max="13052" width="9" style="33"/>
    <col min="13053" max="13053" width="27.625" style="33" customWidth="1"/>
    <col min="13054" max="13054" width="12" style="33" customWidth="1"/>
    <col min="13055" max="13055" width="11" style="33" customWidth="1"/>
    <col min="13056" max="13057" width="9" style="33"/>
    <col min="13058" max="13058" width="10.625" style="33" customWidth="1"/>
    <col min="13059" max="13059" width="9" style="33"/>
    <col min="13060" max="13060" width="11.25" style="33" customWidth="1"/>
    <col min="13061" max="13067" width="9" style="33"/>
    <col min="13068" max="13068" width="9.625" style="33" customWidth="1"/>
    <col min="13069" max="13069" width="9" style="33"/>
    <col min="13070" max="13070" width="10.625" style="33" customWidth="1"/>
    <col min="13071" max="13076" width="9" style="33"/>
    <col min="13077" max="13077" width="9.625" style="33" customWidth="1"/>
    <col min="13078" max="13078" width="9" style="33"/>
    <col min="13079" max="13079" width="10.625" style="33" customWidth="1"/>
    <col min="13080" max="13308" width="9" style="33"/>
    <col min="13309" max="13309" width="27.625" style="33" customWidth="1"/>
    <col min="13310" max="13310" width="12" style="33" customWidth="1"/>
    <col min="13311" max="13311" width="11" style="33" customWidth="1"/>
    <col min="13312" max="13313" width="9" style="33"/>
    <col min="13314" max="13314" width="10.625" style="33" customWidth="1"/>
    <col min="13315" max="13315" width="9" style="33"/>
    <col min="13316" max="13316" width="11.25" style="33" customWidth="1"/>
    <col min="13317" max="13323" width="9" style="33"/>
    <col min="13324" max="13324" width="9.625" style="33" customWidth="1"/>
    <col min="13325" max="13325" width="9" style="33"/>
    <col min="13326" max="13326" width="10.625" style="33" customWidth="1"/>
    <col min="13327" max="13332" width="9" style="33"/>
    <col min="13333" max="13333" width="9.625" style="33" customWidth="1"/>
    <col min="13334" max="13334" width="9" style="33"/>
    <col min="13335" max="13335" width="10.625" style="33" customWidth="1"/>
    <col min="13336" max="13564" width="9" style="33"/>
    <col min="13565" max="13565" width="27.625" style="33" customWidth="1"/>
    <col min="13566" max="13566" width="12" style="33" customWidth="1"/>
    <col min="13567" max="13567" width="11" style="33" customWidth="1"/>
    <col min="13568" max="13569" width="9" style="33"/>
    <col min="13570" max="13570" width="10.625" style="33" customWidth="1"/>
    <col min="13571" max="13571" width="9" style="33"/>
    <col min="13572" max="13572" width="11.25" style="33" customWidth="1"/>
    <col min="13573" max="13579" width="9" style="33"/>
    <col min="13580" max="13580" width="9.625" style="33" customWidth="1"/>
    <col min="13581" max="13581" width="9" style="33"/>
    <col min="13582" max="13582" width="10.625" style="33" customWidth="1"/>
    <col min="13583" max="13588" width="9" style="33"/>
    <col min="13589" max="13589" width="9.625" style="33" customWidth="1"/>
    <col min="13590" max="13590" width="9" style="33"/>
    <col min="13591" max="13591" width="10.625" style="33" customWidth="1"/>
    <col min="13592" max="13820" width="9" style="33"/>
    <col min="13821" max="13821" width="27.625" style="33" customWidth="1"/>
    <col min="13822" max="13822" width="12" style="33" customWidth="1"/>
    <col min="13823" max="13823" width="11" style="33" customWidth="1"/>
    <col min="13824" max="13825" width="9" style="33"/>
    <col min="13826" max="13826" width="10.625" style="33" customWidth="1"/>
    <col min="13827" max="13827" width="9" style="33"/>
    <col min="13828" max="13828" width="11.25" style="33" customWidth="1"/>
    <col min="13829" max="13835" width="9" style="33"/>
    <col min="13836" max="13836" width="9.625" style="33" customWidth="1"/>
    <col min="13837" max="13837" width="9" style="33"/>
    <col min="13838" max="13838" width="10.625" style="33" customWidth="1"/>
    <col min="13839" max="13844" width="9" style="33"/>
    <col min="13845" max="13845" width="9.625" style="33" customWidth="1"/>
    <col min="13846" max="13846" width="9" style="33"/>
    <col min="13847" max="13847" width="10.625" style="33" customWidth="1"/>
    <col min="13848" max="14076" width="9" style="33"/>
    <col min="14077" max="14077" width="27.625" style="33" customWidth="1"/>
    <col min="14078" max="14078" width="12" style="33" customWidth="1"/>
    <col min="14079" max="14079" width="11" style="33" customWidth="1"/>
    <col min="14080" max="14081" width="9" style="33"/>
    <col min="14082" max="14082" width="10.625" style="33" customWidth="1"/>
    <col min="14083" max="14083" width="9" style="33"/>
    <col min="14084" max="14084" width="11.25" style="33" customWidth="1"/>
    <col min="14085" max="14091" width="9" style="33"/>
    <col min="14092" max="14092" width="9.625" style="33" customWidth="1"/>
    <col min="14093" max="14093" width="9" style="33"/>
    <col min="14094" max="14094" width="10.625" style="33" customWidth="1"/>
    <col min="14095" max="14100" width="9" style="33"/>
    <col min="14101" max="14101" width="9.625" style="33" customWidth="1"/>
    <col min="14102" max="14102" width="9" style="33"/>
    <col min="14103" max="14103" width="10.625" style="33" customWidth="1"/>
    <col min="14104" max="14332" width="9" style="33"/>
    <col min="14333" max="14333" width="27.625" style="33" customWidth="1"/>
    <col min="14334" max="14334" width="12" style="33" customWidth="1"/>
    <col min="14335" max="14335" width="11" style="33" customWidth="1"/>
    <col min="14336" max="14337" width="9" style="33"/>
    <col min="14338" max="14338" width="10.625" style="33" customWidth="1"/>
    <col min="14339" max="14339" width="9" style="33"/>
    <col min="14340" max="14340" width="11.25" style="33" customWidth="1"/>
    <col min="14341" max="14347" width="9" style="33"/>
    <col min="14348" max="14348" width="9.625" style="33" customWidth="1"/>
    <col min="14349" max="14349" width="9" style="33"/>
    <col min="14350" max="14350" width="10.625" style="33" customWidth="1"/>
    <col min="14351" max="14356" width="9" style="33"/>
    <col min="14357" max="14357" width="9.625" style="33" customWidth="1"/>
    <col min="14358" max="14358" width="9" style="33"/>
    <col min="14359" max="14359" width="10.625" style="33" customWidth="1"/>
    <col min="14360" max="14588" width="9" style="33"/>
    <col min="14589" max="14589" width="27.625" style="33" customWidth="1"/>
    <col min="14590" max="14590" width="12" style="33" customWidth="1"/>
    <col min="14591" max="14591" width="11" style="33" customWidth="1"/>
    <col min="14592" max="14593" width="9" style="33"/>
    <col min="14594" max="14594" width="10.625" style="33" customWidth="1"/>
    <col min="14595" max="14595" width="9" style="33"/>
    <col min="14596" max="14596" width="11.25" style="33" customWidth="1"/>
    <col min="14597" max="14603" width="9" style="33"/>
    <col min="14604" max="14604" width="9.625" style="33" customWidth="1"/>
    <col min="14605" max="14605" width="9" style="33"/>
    <col min="14606" max="14606" width="10.625" style="33" customWidth="1"/>
    <col min="14607" max="14612" width="9" style="33"/>
    <col min="14613" max="14613" width="9.625" style="33" customWidth="1"/>
    <col min="14614" max="14614" width="9" style="33"/>
    <col min="14615" max="14615" width="10.625" style="33" customWidth="1"/>
    <col min="14616" max="14844" width="9" style="33"/>
    <col min="14845" max="14845" width="27.625" style="33" customWidth="1"/>
    <col min="14846" max="14846" width="12" style="33" customWidth="1"/>
    <col min="14847" max="14847" width="11" style="33" customWidth="1"/>
    <col min="14848" max="14849" width="9" style="33"/>
    <col min="14850" max="14850" width="10.625" style="33" customWidth="1"/>
    <col min="14851" max="14851" width="9" style="33"/>
    <col min="14852" max="14852" width="11.25" style="33" customWidth="1"/>
    <col min="14853" max="14859" width="9" style="33"/>
    <col min="14860" max="14860" width="9.625" style="33" customWidth="1"/>
    <col min="14861" max="14861" width="9" style="33"/>
    <col min="14862" max="14862" width="10.625" style="33" customWidth="1"/>
    <col min="14863" max="14868" width="9" style="33"/>
    <col min="14869" max="14869" width="9.625" style="33" customWidth="1"/>
    <col min="14870" max="14870" width="9" style="33"/>
    <col min="14871" max="14871" width="10.625" style="33" customWidth="1"/>
    <col min="14872" max="15100" width="9" style="33"/>
    <col min="15101" max="15101" width="27.625" style="33" customWidth="1"/>
    <col min="15102" max="15102" width="12" style="33" customWidth="1"/>
    <col min="15103" max="15103" width="11" style="33" customWidth="1"/>
    <col min="15104" max="15105" width="9" style="33"/>
    <col min="15106" max="15106" width="10.625" style="33" customWidth="1"/>
    <col min="15107" max="15107" width="9" style="33"/>
    <col min="15108" max="15108" width="11.25" style="33" customWidth="1"/>
    <col min="15109" max="15115" width="9" style="33"/>
    <col min="15116" max="15116" width="9.625" style="33" customWidth="1"/>
    <col min="15117" max="15117" width="9" style="33"/>
    <col min="15118" max="15118" width="10.625" style="33" customWidth="1"/>
    <col min="15119" max="15124" width="9" style="33"/>
    <col min="15125" max="15125" width="9.625" style="33" customWidth="1"/>
    <col min="15126" max="15126" width="9" style="33"/>
    <col min="15127" max="15127" width="10.625" style="33" customWidth="1"/>
    <col min="15128" max="15356" width="9" style="33"/>
    <col min="15357" max="15357" width="27.625" style="33" customWidth="1"/>
    <col min="15358" max="15358" width="12" style="33" customWidth="1"/>
    <col min="15359" max="15359" width="11" style="33" customWidth="1"/>
    <col min="15360" max="15361" width="9" style="33"/>
    <col min="15362" max="15362" width="10.625" style="33" customWidth="1"/>
    <col min="15363" max="15363" width="9" style="33"/>
    <col min="15364" max="15364" width="11.25" style="33" customWidth="1"/>
    <col min="15365" max="15371" width="9" style="33"/>
    <col min="15372" max="15372" width="9.625" style="33" customWidth="1"/>
    <col min="15373" max="15373" width="9" style="33"/>
    <col min="15374" max="15374" width="10.625" style="33" customWidth="1"/>
    <col min="15375" max="15380" width="9" style="33"/>
    <col min="15381" max="15381" width="9.625" style="33" customWidth="1"/>
    <col min="15382" max="15382" width="9" style="33"/>
    <col min="15383" max="15383" width="10.625" style="33" customWidth="1"/>
    <col min="15384" max="15612" width="9" style="33"/>
    <col min="15613" max="15613" width="27.625" style="33" customWidth="1"/>
    <col min="15614" max="15614" width="12" style="33" customWidth="1"/>
    <col min="15615" max="15615" width="11" style="33" customWidth="1"/>
    <col min="15616" max="15617" width="9" style="33"/>
    <col min="15618" max="15618" width="10.625" style="33" customWidth="1"/>
    <col min="15619" max="15619" width="9" style="33"/>
    <col min="15620" max="15620" width="11.25" style="33" customWidth="1"/>
    <col min="15621" max="15627" width="9" style="33"/>
    <col min="15628" max="15628" width="9.625" style="33" customWidth="1"/>
    <col min="15629" max="15629" width="9" style="33"/>
    <col min="15630" max="15630" width="10.625" style="33" customWidth="1"/>
    <col min="15631" max="15636" width="9" style="33"/>
    <col min="15637" max="15637" width="9.625" style="33" customWidth="1"/>
    <col min="15638" max="15638" width="9" style="33"/>
    <col min="15639" max="15639" width="10.625" style="33" customWidth="1"/>
    <col min="15640" max="15868" width="9" style="33"/>
    <col min="15869" max="15869" width="27.625" style="33" customWidth="1"/>
    <col min="15870" max="15870" width="12" style="33" customWidth="1"/>
    <col min="15871" max="15871" width="11" style="33" customWidth="1"/>
    <col min="15872" max="15873" width="9" style="33"/>
    <col min="15874" max="15874" width="10.625" style="33" customWidth="1"/>
    <col min="15875" max="15875" width="9" style="33"/>
    <col min="15876" max="15876" width="11.25" style="33" customWidth="1"/>
    <col min="15877" max="15883" width="9" style="33"/>
    <col min="15884" max="15884" width="9.625" style="33" customWidth="1"/>
    <col min="15885" max="15885" width="9" style="33"/>
    <col min="15886" max="15886" width="10.625" style="33" customWidth="1"/>
    <col min="15887" max="15892" width="9" style="33"/>
    <col min="15893" max="15893" width="9.625" style="33" customWidth="1"/>
    <col min="15894" max="15894" width="9" style="33"/>
    <col min="15895" max="15895" width="10.625" style="33" customWidth="1"/>
    <col min="15896" max="16124" width="9" style="33"/>
    <col min="16125" max="16125" width="27.625" style="33" customWidth="1"/>
    <col min="16126" max="16126" width="12" style="33" customWidth="1"/>
    <col min="16127" max="16127" width="11" style="33" customWidth="1"/>
    <col min="16128" max="16129" width="9" style="33"/>
    <col min="16130" max="16130" width="10.625" style="33" customWidth="1"/>
    <col min="16131" max="16131" width="9" style="33"/>
    <col min="16132" max="16132" width="11.25" style="33" customWidth="1"/>
    <col min="16133" max="16139" width="9" style="33"/>
    <col min="16140" max="16140" width="9.625" style="33" customWidth="1"/>
    <col min="16141" max="16141" width="9" style="33"/>
    <col min="16142" max="16142" width="10.625" style="33" customWidth="1"/>
    <col min="16143" max="16148" width="9" style="33"/>
    <col min="16149" max="16149" width="9.625" style="33" customWidth="1"/>
    <col min="16150" max="16150" width="9" style="33"/>
    <col min="16151" max="16151" width="10.625" style="33" customWidth="1"/>
    <col min="16152" max="16384" width="9" style="33"/>
  </cols>
  <sheetData>
    <row r="1" spans="1:28" x14ac:dyDescent="0.15">
      <c r="A1" s="32" t="s">
        <v>11092</v>
      </c>
    </row>
    <row r="2" spans="1:28" x14ac:dyDescent="0.15">
      <c r="A2" s="35"/>
      <c r="B2" s="36" t="s">
        <v>53</v>
      </c>
      <c r="C2" s="37"/>
      <c r="D2" s="38"/>
      <c r="E2" s="39" t="s">
        <v>54</v>
      </c>
      <c r="F2" s="40"/>
    </row>
    <row r="3" spans="1:28" x14ac:dyDescent="0.15">
      <c r="A3" s="41" t="s">
        <v>55</v>
      </c>
      <c r="B3" s="42" t="s">
        <v>56</v>
      </c>
      <c r="C3" s="43" t="s">
        <v>57</v>
      </c>
      <c r="D3" s="44" t="s">
        <v>58</v>
      </c>
      <c r="E3" s="45" t="s">
        <v>57</v>
      </c>
      <c r="F3" s="44" t="s">
        <v>58</v>
      </c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</row>
    <row r="4" spans="1:28" x14ac:dyDescent="0.15">
      <c r="A4" s="46" t="s">
        <v>59</v>
      </c>
      <c r="B4" s="47" t="s">
        <v>7361</v>
      </c>
      <c r="C4" s="48" t="s">
        <v>60</v>
      </c>
      <c r="D4" s="49" t="s">
        <v>7446</v>
      </c>
      <c r="E4" s="50">
        <f>VALUE(C4)</f>
        <v>0</v>
      </c>
      <c r="F4" s="51">
        <f>VALUE(D4)</f>
        <v>2.5378000699999999</v>
      </c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1:28" x14ac:dyDescent="0.15">
      <c r="A5" s="46" t="s">
        <v>61</v>
      </c>
      <c r="B5" s="52" t="s">
        <v>7361</v>
      </c>
      <c r="C5" s="53" t="s">
        <v>62</v>
      </c>
      <c r="D5" s="54" t="s">
        <v>7447</v>
      </c>
      <c r="E5" s="50">
        <f>VALUE(C5)</f>
        <v>1.369863E-2</v>
      </c>
      <c r="F5" s="51">
        <f t="shared" ref="F5:F68" si="0">VALUE(D5)</f>
        <v>2.8392427599999999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15">
      <c r="A6" s="46" t="s">
        <v>63</v>
      </c>
      <c r="B6" s="52" t="s">
        <v>7361</v>
      </c>
      <c r="C6" s="53" t="s">
        <v>64</v>
      </c>
      <c r="D6" s="54" t="s">
        <v>7448</v>
      </c>
      <c r="E6" s="50">
        <f t="shared" ref="E6:F69" si="1">VALUE(C6)</f>
        <v>2.739726E-2</v>
      </c>
      <c r="F6" s="51">
        <f t="shared" si="0"/>
        <v>3.1848499399999999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x14ac:dyDescent="0.15">
      <c r="A7" s="46" t="s">
        <v>65</v>
      </c>
      <c r="B7" s="52" t="s">
        <v>7361</v>
      </c>
      <c r="C7" s="53" t="s">
        <v>66</v>
      </c>
      <c r="D7" s="54" t="s">
        <v>7449</v>
      </c>
      <c r="E7" s="50">
        <f t="shared" si="1"/>
        <v>4.1095890000000003E-2</v>
      </c>
      <c r="F7" s="51">
        <f t="shared" si="0"/>
        <v>3.53165043</v>
      </c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</row>
    <row r="8" spans="1:28" x14ac:dyDescent="0.15">
      <c r="A8" s="46" t="s">
        <v>67</v>
      </c>
      <c r="B8" s="52" t="s">
        <v>7361</v>
      </c>
      <c r="C8" s="53" t="s">
        <v>68</v>
      </c>
      <c r="D8" s="54" t="s">
        <v>7450</v>
      </c>
      <c r="E8" s="50">
        <f t="shared" si="1"/>
        <v>5.4794519999999999E-2</v>
      </c>
      <c r="F8" s="51">
        <f t="shared" si="0"/>
        <v>3.8366730000000002</v>
      </c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</row>
    <row r="9" spans="1:28" x14ac:dyDescent="0.15">
      <c r="A9" s="46" t="s">
        <v>69</v>
      </c>
      <c r="B9" s="52" t="s">
        <v>7361</v>
      </c>
      <c r="C9" s="53" t="s">
        <v>70</v>
      </c>
      <c r="D9" s="54" t="s">
        <v>7451</v>
      </c>
      <c r="E9" s="50">
        <f t="shared" si="1"/>
        <v>6.8493150000000003E-2</v>
      </c>
      <c r="F9" s="51">
        <f t="shared" si="0"/>
        <v>4.0569464699999997</v>
      </c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</row>
    <row r="10" spans="1:28" x14ac:dyDescent="0.15">
      <c r="A10" s="46" t="s">
        <v>71</v>
      </c>
      <c r="B10" s="52" t="s">
        <v>7361</v>
      </c>
      <c r="C10" s="53" t="s">
        <v>72</v>
      </c>
      <c r="D10" s="54" t="s">
        <v>7452</v>
      </c>
      <c r="E10" s="50">
        <f t="shared" si="1"/>
        <v>8.2191780000000006E-2</v>
      </c>
      <c r="F10" s="51">
        <f t="shared" si="0"/>
        <v>4.1494996200000003</v>
      </c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</row>
    <row r="11" spans="1:28" x14ac:dyDescent="0.15">
      <c r="A11" s="46" t="s">
        <v>73</v>
      </c>
      <c r="B11" s="52" t="s">
        <v>7361</v>
      </c>
      <c r="C11" s="53" t="s">
        <v>74</v>
      </c>
      <c r="D11" s="54" t="s">
        <v>7453</v>
      </c>
      <c r="E11" s="50">
        <f t="shared" si="1"/>
        <v>9.5890409999999995E-2</v>
      </c>
      <c r="F11" s="51">
        <f t="shared" si="0"/>
        <v>4.1447210500000002</v>
      </c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1:28" x14ac:dyDescent="0.15">
      <c r="A12" s="46" t="s">
        <v>75</v>
      </c>
      <c r="B12" s="52" t="s">
        <v>7361</v>
      </c>
      <c r="C12" s="53" t="s">
        <v>76</v>
      </c>
      <c r="D12" s="54" t="s">
        <v>7454</v>
      </c>
      <c r="E12" s="50">
        <f t="shared" si="1"/>
        <v>0.10958904</v>
      </c>
      <c r="F12" s="51">
        <f t="shared" si="0"/>
        <v>4.1286739700000004</v>
      </c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15">
      <c r="A13" s="46" t="s">
        <v>77</v>
      </c>
      <c r="B13" s="52" t="s">
        <v>7361</v>
      </c>
      <c r="C13" s="53" t="s">
        <v>78</v>
      </c>
      <c r="D13" s="54" t="s">
        <v>7455</v>
      </c>
      <c r="E13" s="50">
        <f t="shared" si="1"/>
        <v>0.12328767</v>
      </c>
      <c r="F13" s="51">
        <f t="shared" si="0"/>
        <v>4.10532465</v>
      </c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1:28" x14ac:dyDescent="0.15">
      <c r="A14" s="46" t="s">
        <v>79</v>
      </c>
      <c r="B14" s="52" t="s">
        <v>7361</v>
      </c>
      <c r="C14" s="53" t="s">
        <v>80</v>
      </c>
      <c r="D14" s="54" t="s">
        <v>7456</v>
      </c>
      <c r="E14" s="50">
        <f t="shared" si="1"/>
        <v>0.13698630000000001</v>
      </c>
      <c r="F14" s="51">
        <f t="shared" si="0"/>
        <v>4.0780871100000002</v>
      </c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</row>
    <row r="15" spans="1:28" x14ac:dyDescent="0.15">
      <c r="A15" s="46" t="s">
        <v>81</v>
      </c>
      <c r="B15" s="52" t="s">
        <v>7361</v>
      </c>
      <c r="C15" s="53" t="s">
        <v>82</v>
      </c>
      <c r="D15" s="54" t="s">
        <v>7457</v>
      </c>
      <c r="E15" s="50">
        <f t="shared" si="1"/>
        <v>0.15068492999999999</v>
      </c>
      <c r="F15" s="51">
        <f t="shared" si="0"/>
        <v>4.0503753800000002</v>
      </c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</row>
    <row r="16" spans="1:28" x14ac:dyDescent="0.15">
      <c r="A16" s="46" t="s">
        <v>83</v>
      </c>
      <c r="B16" s="52" t="s">
        <v>7361</v>
      </c>
      <c r="C16" s="53" t="s">
        <v>84</v>
      </c>
      <c r="D16" s="54" t="s">
        <v>7458</v>
      </c>
      <c r="E16" s="50">
        <f t="shared" si="1"/>
        <v>0.16666700000000001</v>
      </c>
      <c r="F16" s="51">
        <f t="shared" si="0"/>
        <v>4.0219998400000003</v>
      </c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  <row r="17" spans="1:28" x14ac:dyDescent="0.15">
      <c r="A17" s="46" t="s">
        <v>85</v>
      </c>
      <c r="B17" s="52" t="s">
        <v>7361</v>
      </c>
      <c r="C17" s="53" t="s">
        <v>86</v>
      </c>
      <c r="D17" s="54" t="s">
        <v>7459</v>
      </c>
      <c r="E17" s="50">
        <f t="shared" si="1"/>
        <v>0.17808219</v>
      </c>
      <c r="F17" s="51">
        <f t="shared" si="0"/>
        <v>3.9990774299999998</v>
      </c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</row>
    <row r="18" spans="1:28" x14ac:dyDescent="0.15">
      <c r="A18" s="46" t="s">
        <v>87</v>
      </c>
      <c r="B18" s="52" t="s">
        <v>7361</v>
      </c>
      <c r="C18" s="53" t="s">
        <v>88</v>
      </c>
      <c r="D18" s="54" t="s">
        <v>7460</v>
      </c>
      <c r="E18" s="50">
        <f t="shared" si="1"/>
        <v>0.19178081999999999</v>
      </c>
      <c r="F18" s="51">
        <f t="shared" si="0"/>
        <v>3.9612181299999998</v>
      </c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</row>
    <row r="19" spans="1:28" x14ac:dyDescent="0.15">
      <c r="A19" s="46" t="s">
        <v>89</v>
      </c>
      <c r="B19" s="52" t="s">
        <v>7361</v>
      </c>
      <c r="C19" s="53" t="s">
        <v>90</v>
      </c>
      <c r="D19" s="54" t="s">
        <v>7461</v>
      </c>
      <c r="E19" s="50">
        <f t="shared" si="1"/>
        <v>0.20547945000000001</v>
      </c>
      <c r="F19" s="51">
        <f t="shared" si="0"/>
        <v>3.9185387999999999</v>
      </c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</row>
    <row r="20" spans="1:28" x14ac:dyDescent="0.15">
      <c r="A20" s="46" t="s">
        <v>91</v>
      </c>
      <c r="B20" s="52" t="s">
        <v>7361</v>
      </c>
      <c r="C20" s="53" t="s">
        <v>92</v>
      </c>
      <c r="D20" s="54" t="s">
        <v>7462</v>
      </c>
      <c r="E20" s="50">
        <f t="shared" si="1"/>
        <v>0.21917808</v>
      </c>
      <c r="F20" s="51">
        <f t="shared" si="0"/>
        <v>3.8778930599999999</v>
      </c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</row>
    <row r="21" spans="1:28" x14ac:dyDescent="0.15">
      <c r="A21" s="46" t="s">
        <v>93</v>
      </c>
      <c r="B21" s="52" t="s">
        <v>7361</v>
      </c>
      <c r="C21" s="53" t="s">
        <v>94</v>
      </c>
      <c r="D21" s="54" t="s">
        <v>7463</v>
      </c>
      <c r="E21" s="50">
        <f t="shared" si="1"/>
        <v>0.23287670999999999</v>
      </c>
      <c r="F21" s="51">
        <f t="shared" si="0"/>
        <v>3.8461345300000001</v>
      </c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</row>
    <row r="22" spans="1:28" x14ac:dyDescent="0.15">
      <c r="A22" s="46" t="s">
        <v>95</v>
      </c>
      <c r="B22" s="52" t="s">
        <v>7361</v>
      </c>
      <c r="C22" s="53" t="s">
        <v>96</v>
      </c>
      <c r="D22" s="54" t="s">
        <v>7464</v>
      </c>
      <c r="E22" s="50">
        <f t="shared" si="1"/>
        <v>0.25</v>
      </c>
      <c r="F22" s="51">
        <f t="shared" si="0"/>
        <v>3.82937503</v>
      </c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</row>
    <row r="23" spans="1:28" x14ac:dyDescent="0.15">
      <c r="A23" s="46" t="s">
        <v>97</v>
      </c>
      <c r="B23" s="52" t="s">
        <v>7361</v>
      </c>
      <c r="C23" s="53" t="s">
        <v>98</v>
      </c>
      <c r="D23" s="54" t="s">
        <v>7465</v>
      </c>
      <c r="E23" s="50">
        <f t="shared" si="1"/>
        <v>0.26027397000000002</v>
      </c>
      <c r="F23" s="51">
        <f t="shared" si="0"/>
        <v>3.8297560700000002</v>
      </c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</row>
    <row r="24" spans="1:28" x14ac:dyDescent="0.15">
      <c r="A24" s="46" t="s">
        <v>99</v>
      </c>
      <c r="B24" s="52" t="s">
        <v>7361</v>
      </c>
      <c r="C24" s="53" t="s">
        <v>100</v>
      </c>
      <c r="D24" s="54" t="s">
        <v>7466</v>
      </c>
      <c r="E24" s="50">
        <f t="shared" si="1"/>
        <v>0.27397260000000001</v>
      </c>
      <c r="F24" s="51">
        <f t="shared" si="0"/>
        <v>3.8313716699999998</v>
      </c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</row>
    <row r="25" spans="1:28" x14ac:dyDescent="0.15">
      <c r="A25" s="46" t="s">
        <v>101</v>
      </c>
      <c r="B25" s="52" t="s">
        <v>7361</v>
      </c>
      <c r="C25" s="53" t="s">
        <v>102</v>
      </c>
      <c r="D25" s="54" t="s">
        <v>7467</v>
      </c>
      <c r="E25" s="50">
        <f t="shared" si="1"/>
        <v>0.28767123</v>
      </c>
      <c r="F25" s="51">
        <f t="shared" si="0"/>
        <v>3.8341131100000001</v>
      </c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</row>
    <row r="26" spans="1:28" x14ac:dyDescent="0.15">
      <c r="A26" s="46" t="s">
        <v>103</v>
      </c>
      <c r="B26" s="52" t="s">
        <v>7361</v>
      </c>
      <c r="C26" s="53" t="s">
        <v>104</v>
      </c>
      <c r="D26" s="54" t="s">
        <v>7468</v>
      </c>
      <c r="E26" s="50">
        <f t="shared" si="1"/>
        <v>0.30136985999999999</v>
      </c>
      <c r="F26" s="51">
        <f t="shared" si="0"/>
        <v>3.8378277199999999</v>
      </c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</row>
    <row r="27" spans="1:28" x14ac:dyDescent="0.15">
      <c r="A27" s="46" t="s">
        <v>105</v>
      </c>
      <c r="B27" s="52" t="s">
        <v>7361</v>
      </c>
      <c r="C27" s="53" t="s">
        <v>106</v>
      </c>
      <c r="D27" s="54" t="s">
        <v>7469</v>
      </c>
      <c r="E27" s="50">
        <f t="shared" si="1"/>
        <v>0.31506848999999998</v>
      </c>
      <c r="F27" s="51">
        <f t="shared" si="0"/>
        <v>3.8423628500000002</v>
      </c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</row>
    <row r="28" spans="1:28" x14ac:dyDescent="0.15">
      <c r="A28" s="46" t="s">
        <v>107</v>
      </c>
      <c r="B28" s="52" t="s">
        <v>7361</v>
      </c>
      <c r="C28" s="53" t="s">
        <v>108</v>
      </c>
      <c r="D28" s="54" t="s">
        <v>7470</v>
      </c>
      <c r="E28" s="50">
        <f t="shared" si="1"/>
        <v>0.32876712000000002</v>
      </c>
      <c r="F28" s="51">
        <f t="shared" si="0"/>
        <v>3.8475658500000001</v>
      </c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</row>
    <row r="29" spans="1:28" x14ac:dyDescent="0.15">
      <c r="A29" s="46" t="s">
        <v>109</v>
      </c>
      <c r="B29" s="52" t="s">
        <v>7361</v>
      </c>
      <c r="C29" s="53" t="s">
        <v>110</v>
      </c>
      <c r="D29" s="54" t="s">
        <v>7471</v>
      </c>
      <c r="E29" s="50">
        <f t="shared" si="1"/>
        <v>0.34246575000000001</v>
      </c>
      <c r="F29" s="51">
        <f t="shared" si="0"/>
        <v>3.85328407</v>
      </c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</row>
    <row r="30" spans="1:28" x14ac:dyDescent="0.15">
      <c r="A30" s="46" t="s">
        <v>111</v>
      </c>
      <c r="B30" s="52" t="s">
        <v>7361</v>
      </c>
      <c r="C30" s="53" t="s">
        <v>112</v>
      </c>
      <c r="D30" s="54" t="s">
        <v>7472</v>
      </c>
      <c r="E30" s="50">
        <f t="shared" si="1"/>
        <v>0.35616438</v>
      </c>
      <c r="F30" s="51">
        <f t="shared" si="0"/>
        <v>3.85936484</v>
      </c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</row>
    <row r="31" spans="1:28" x14ac:dyDescent="0.15">
      <c r="A31" s="46" t="s">
        <v>113</v>
      </c>
      <c r="B31" s="52" t="s">
        <v>7361</v>
      </c>
      <c r="C31" s="53" t="s">
        <v>114</v>
      </c>
      <c r="D31" s="54" t="s">
        <v>7473</v>
      </c>
      <c r="E31" s="50">
        <f t="shared" si="1"/>
        <v>0.36986300999999999</v>
      </c>
      <c r="F31" s="51">
        <f t="shared" si="0"/>
        <v>3.8656555099999999</v>
      </c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</row>
    <row r="32" spans="1:28" x14ac:dyDescent="0.15">
      <c r="A32" s="46" t="s">
        <v>115</v>
      </c>
      <c r="B32" s="52" t="s">
        <v>7361</v>
      </c>
      <c r="C32" s="53" t="s">
        <v>116</v>
      </c>
      <c r="D32" s="54" t="s">
        <v>7474</v>
      </c>
      <c r="E32" s="50">
        <f t="shared" si="1"/>
        <v>0.38356163999999998</v>
      </c>
      <c r="F32" s="51">
        <f t="shared" si="0"/>
        <v>3.87200342</v>
      </c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15">
      <c r="A33" s="46" t="s">
        <v>117</v>
      </c>
      <c r="B33" s="52" t="s">
        <v>7361</v>
      </c>
      <c r="C33" s="53" t="s">
        <v>118</v>
      </c>
      <c r="D33" s="54" t="s">
        <v>7475</v>
      </c>
      <c r="E33" s="50">
        <f t="shared" si="1"/>
        <v>0.39726027000000003</v>
      </c>
      <c r="F33" s="51">
        <f t="shared" si="0"/>
        <v>3.8782559299999999</v>
      </c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15">
      <c r="A34" s="46" t="s">
        <v>119</v>
      </c>
      <c r="B34" s="52" t="s">
        <v>7361</v>
      </c>
      <c r="C34" s="53" t="s">
        <v>120</v>
      </c>
      <c r="D34" s="54" t="s">
        <v>7476</v>
      </c>
      <c r="E34" s="50">
        <f t="shared" si="1"/>
        <v>0.41095890000000002</v>
      </c>
      <c r="F34" s="51">
        <f t="shared" si="0"/>
        <v>3.8842603699999998</v>
      </c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15">
      <c r="A35" s="46" t="s">
        <v>121</v>
      </c>
      <c r="B35" s="52" t="s">
        <v>7361</v>
      </c>
      <c r="C35" s="53" t="s">
        <v>122</v>
      </c>
      <c r="D35" s="54" t="s">
        <v>7477</v>
      </c>
      <c r="E35" s="50">
        <f t="shared" si="1"/>
        <v>0.42465753000000001</v>
      </c>
      <c r="F35" s="51">
        <f t="shared" si="0"/>
        <v>3.8898640900000001</v>
      </c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</row>
    <row r="36" spans="1:28" x14ac:dyDescent="0.15">
      <c r="A36" s="46" t="s">
        <v>123</v>
      </c>
      <c r="B36" s="52" t="s">
        <v>7361</v>
      </c>
      <c r="C36" s="53" t="s">
        <v>124</v>
      </c>
      <c r="D36" s="54" t="s">
        <v>7478</v>
      </c>
      <c r="E36" s="50">
        <f t="shared" si="1"/>
        <v>0.43835615999999999</v>
      </c>
      <c r="F36" s="51">
        <f t="shared" si="0"/>
        <v>3.89491444</v>
      </c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</row>
    <row r="37" spans="1:28" x14ac:dyDescent="0.15">
      <c r="A37" s="46" t="s">
        <v>125</v>
      </c>
      <c r="B37" s="52" t="s">
        <v>7361</v>
      </c>
      <c r="C37" s="53" t="s">
        <v>126</v>
      </c>
      <c r="D37" s="54" t="s">
        <v>7479</v>
      </c>
      <c r="E37" s="50">
        <f t="shared" si="1"/>
        <v>0.45205478999999998</v>
      </c>
      <c r="F37" s="51">
        <f t="shared" si="0"/>
        <v>3.89925875</v>
      </c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</row>
    <row r="38" spans="1:28" x14ac:dyDescent="0.15">
      <c r="A38" s="46" t="s">
        <v>127</v>
      </c>
      <c r="B38" s="52" t="s">
        <v>7361</v>
      </c>
      <c r="C38" s="53" t="s">
        <v>128</v>
      </c>
      <c r="D38" s="54" t="s">
        <v>7480</v>
      </c>
      <c r="E38" s="50">
        <f t="shared" si="1"/>
        <v>0.46575341999999997</v>
      </c>
      <c r="F38" s="51">
        <f t="shared" si="0"/>
        <v>3.9027443800000001</v>
      </c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</row>
    <row r="39" spans="1:28" x14ac:dyDescent="0.15">
      <c r="A39" s="46" t="s">
        <v>129</v>
      </c>
      <c r="B39" s="52" t="s">
        <v>7361</v>
      </c>
      <c r="C39" s="53" t="s">
        <v>130</v>
      </c>
      <c r="D39" s="54" t="s">
        <v>7481</v>
      </c>
      <c r="E39" s="50">
        <f t="shared" si="1"/>
        <v>0.47945205000000002</v>
      </c>
      <c r="F39" s="51">
        <f t="shared" si="0"/>
        <v>3.90521867</v>
      </c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</row>
    <row r="40" spans="1:28" x14ac:dyDescent="0.15">
      <c r="A40" s="46" t="s">
        <v>131</v>
      </c>
      <c r="B40" s="52" t="s">
        <v>7361</v>
      </c>
      <c r="C40" s="53" t="s">
        <v>132</v>
      </c>
      <c r="D40" s="54" t="s">
        <v>7482</v>
      </c>
      <c r="E40" s="50">
        <f t="shared" si="1"/>
        <v>0.5</v>
      </c>
      <c r="F40" s="51">
        <f t="shared" si="0"/>
        <v>3.9066999</v>
      </c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</row>
    <row r="41" spans="1:28" x14ac:dyDescent="0.15">
      <c r="A41" s="46" t="s">
        <v>133</v>
      </c>
      <c r="B41" s="52" t="s">
        <v>7361</v>
      </c>
      <c r="C41" s="53" t="s">
        <v>134</v>
      </c>
      <c r="D41" s="54" t="s">
        <v>7483</v>
      </c>
      <c r="E41" s="50">
        <f t="shared" si="1"/>
        <v>0.50684932000000005</v>
      </c>
      <c r="F41" s="51">
        <f t="shared" si="0"/>
        <v>3.90645358</v>
      </c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</row>
    <row r="42" spans="1:28" x14ac:dyDescent="0.15">
      <c r="A42" s="46" t="s">
        <v>135</v>
      </c>
      <c r="B42" s="52" t="s">
        <v>7361</v>
      </c>
      <c r="C42" s="53" t="s">
        <v>136</v>
      </c>
      <c r="D42" s="54" t="s">
        <v>7484</v>
      </c>
      <c r="E42" s="50">
        <f t="shared" si="1"/>
        <v>0.52054794999999998</v>
      </c>
      <c r="F42" s="51">
        <f t="shared" si="0"/>
        <v>3.9045646999999999</v>
      </c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</row>
    <row r="43" spans="1:28" x14ac:dyDescent="0.15">
      <c r="A43" s="46" t="s">
        <v>137</v>
      </c>
      <c r="B43" s="52" t="s">
        <v>7361</v>
      </c>
      <c r="C43" s="53" t="s">
        <v>138</v>
      </c>
      <c r="D43" s="54" t="s">
        <v>7485</v>
      </c>
      <c r="E43" s="50">
        <f t="shared" si="1"/>
        <v>0.53424658000000003</v>
      </c>
      <c r="F43" s="51">
        <f t="shared" si="0"/>
        <v>3.9009956200000002</v>
      </c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</row>
    <row r="44" spans="1:28" x14ac:dyDescent="0.15">
      <c r="A44" s="46" t="s">
        <v>139</v>
      </c>
      <c r="B44" s="52" t="s">
        <v>7361</v>
      </c>
      <c r="C44" s="53" t="s">
        <v>140</v>
      </c>
      <c r="D44" s="54" t="s">
        <v>7486</v>
      </c>
      <c r="E44" s="50">
        <f t="shared" si="1"/>
        <v>0.54794520999999996</v>
      </c>
      <c r="F44" s="51">
        <f t="shared" si="0"/>
        <v>3.8959641</v>
      </c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</row>
    <row r="45" spans="1:28" x14ac:dyDescent="0.15">
      <c r="A45" s="46" t="s">
        <v>141</v>
      </c>
      <c r="B45" s="52" t="s">
        <v>7361</v>
      </c>
      <c r="C45" s="53" t="s">
        <v>142</v>
      </c>
      <c r="D45" s="54" t="s">
        <v>7487</v>
      </c>
      <c r="E45" s="50">
        <f t="shared" si="1"/>
        <v>0.56164384000000001</v>
      </c>
      <c r="F45" s="51">
        <f t="shared" si="0"/>
        <v>3.8896878899999998</v>
      </c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</row>
    <row r="46" spans="1:28" x14ac:dyDescent="0.15">
      <c r="A46" s="46" t="s">
        <v>143</v>
      </c>
      <c r="B46" s="52" t="s">
        <v>7361</v>
      </c>
      <c r="C46" s="53" t="s">
        <v>144</v>
      </c>
      <c r="D46" s="54" t="s">
        <v>7488</v>
      </c>
      <c r="E46" s="50">
        <f t="shared" si="1"/>
        <v>0.57534247000000005</v>
      </c>
      <c r="F46" s="51">
        <f t="shared" si="0"/>
        <v>3.8823847499999999</v>
      </c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</row>
    <row r="47" spans="1:28" x14ac:dyDescent="0.15">
      <c r="A47" s="46" t="s">
        <v>145</v>
      </c>
      <c r="B47" s="52" t="s">
        <v>7361</v>
      </c>
      <c r="C47" s="53" t="s">
        <v>146</v>
      </c>
      <c r="D47" s="54" t="s">
        <v>7489</v>
      </c>
      <c r="E47" s="50">
        <f t="shared" si="1"/>
        <v>0.58904109999999998</v>
      </c>
      <c r="F47" s="51">
        <f t="shared" si="0"/>
        <v>3.87427243</v>
      </c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</row>
    <row r="48" spans="1:28" x14ac:dyDescent="0.15">
      <c r="A48" s="46" t="s">
        <v>147</v>
      </c>
      <c r="B48" s="52" t="s">
        <v>7361</v>
      </c>
      <c r="C48" s="53" t="s">
        <v>148</v>
      </c>
      <c r="D48" s="54" t="s">
        <v>7490</v>
      </c>
      <c r="E48" s="50">
        <f t="shared" si="1"/>
        <v>0.60273973000000003</v>
      </c>
      <c r="F48" s="51">
        <f t="shared" si="0"/>
        <v>3.8655686899999999</v>
      </c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</row>
    <row r="49" spans="1:28" x14ac:dyDescent="0.15">
      <c r="A49" s="46" t="s">
        <v>149</v>
      </c>
      <c r="B49" s="52" t="s">
        <v>7361</v>
      </c>
      <c r="C49" s="53" t="s">
        <v>150</v>
      </c>
      <c r="D49" s="54" t="s">
        <v>7491</v>
      </c>
      <c r="E49" s="50">
        <f t="shared" si="1"/>
        <v>0.61643835999999996</v>
      </c>
      <c r="F49" s="51">
        <f t="shared" si="0"/>
        <v>3.8564912800000002</v>
      </c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</row>
    <row r="50" spans="1:28" x14ac:dyDescent="0.15">
      <c r="A50" s="46" t="s">
        <v>151</v>
      </c>
      <c r="B50" s="52" t="s">
        <v>7361</v>
      </c>
      <c r="C50" s="53" t="s">
        <v>152</v>
      </c>
      <c r="D50" s="54" t="s">
        <v>7492</v>
      </c>
      <c r="E50" s="50">
        <f t="shared" si="1"/>
        <v>0.63013699000000001</v>
      </c>
      <c r="F50" s="51">
        <f t="shared" si="0"/>
        <v>3.8472579599999999</v>
      </c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</row>
    <row r="51" spans="1:28" x14ac:dyDescent="0.15">
      <c r="A51" s="46" t="s">
        <v>153</v>
      </c>
      <c r="B51" s="52" t="s">
        <v>7361</v>
      </c>
      <c r="C51" s="53" t="s">
        <v>154</v>
      </c>
      <c r="D51" s="54" t="s">
        <v>7493</v>
      </c>
      <c r="E51" s="50">
        <f t="shared" si="1"/>
        <v>0.64383562000000005</v>
      </c>
      <c r="F51" s="51">
        <f t="shared" si="0"/>
        <v>3.8380864899999998</v>
      </c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</row>
    <row r="52" spans="1:28" x14ac:dyDescent="0.15">
      <c r="A52" s="46" t="s">
        <v>155</v>
      </c>
      <c r="B52" s="52" t="s">
        <v>7361</v>
      </c>
      <c r="C52" s="53" t="s">
        <v>156</v>
      </c>
      <c r="D52" s="54" t="s">
        <v>7494</v>
      </c>
      <c r="E52" s="50">
        <f t="shared" si="1"/>
        <v>0.65753424999999999</v>
      </c>
      <c r="F52" s="51">
        <f t="shared" si="0"/>
        <v>3.82919462</v>
      </c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</row>
    <row r="53" spans="1:28" x14ac:dyDescent="0.15">
      <c r="A53" s="46" t="s">
        <v>157</v>
      </c>
      <c r="B53" s="52" t="s">
        <v>7361</v>
      </c>
      <c r="C53" s="53" t="s">
        <v>158</v>
      </c>
      <c r="D53" s="54" t="s">
        <v>7495</v>
      </c>
      <c r="E53" s="50">
        <f t="shared" si="1"/>
        <v>0.67123288000000003</v>
      </c>
      <c r="F53" s="51">
        <f t="shared" si="0"/>
        <v>3.8208001</v>
      </c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</row>
    <row r="54" spans="1:28" x14ac:dyDescent="0.15">
      <c r="A54" s="46" t="s">
        <v>159</v>
      </c>
      <c r="B54" s="52" t="s">
        <v>7361</v>
      </c>
      <c r="C54" s="53" t="s">
        <v>160</v>
      </c>
      <c r="D54" s="54" t="s">
        <v>7496</v>
      </c>
      <c r="E54" s="50">
        <f t="shared" si="1"/>
        <v>0.68493150999999997</v>
      </c>
      <c r="F54" s="51">
        <f t="shared" si="0"/>
        <v>3.8131206899999999</v>
      </c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</row>
    <row r="55" spans="1:28" x14ac:dyDescent="0.15">
      <c r="A55" s="46" t="s">
        <v>161</v>
      </c>
      <c r="B55" s="52" t="s">
        <v>7361</v>
      </c>
      <c r="C55" s="53" t="s">
        <v>162</v>
      </c>
      <c r="D55" s="54" t="s">
        <v>7497</v>
      </c>
      <c r="E55" s="50">
        <f t="shared" si="1"/>
        <v>0.69863014000000001</v>
      </c>
      <c r="F55" s="51">
        <f t="shared" si="0"/>
        <v>3.8063741499999999</v>
      </c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</row>
    <row r="56" spans="1:28" x14ac:dyDescent="0.15">
      <c r="A56" s="46" t="s">
        <v>163</v>
      </c>
      <c r="B56" s="52" t="s">
        <v>7361</v>
      </c>
      <c r="C56" s="53" t="s">
        <v>164</v>
      </c>
      <c r="D56" s="54" t="s">
        <v>7498</v>
      </c>
      <c r="E56" s="50">
        <f t="shared" si="1"/>
        <v>0.71232877000000006</v>
      </c>
      <c r="F56" s="51">
        <f t="shared" si="0"/>
        <v>3.8007782300000001</v>
      </c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</row>
    <row r="57" spans="1:28" x14ac:dyDescent="0.15">
      <c r="A57" s="46" t="s">
        <v>165</v>
      </c>
      <c r="B57" s="52" t="s">
        <v>7361</v>
      </c>
      <c r="C57" s="53" t="s">
        <v>166</v>
      </c>
      <c r="D57" s="54" t="s">
        <v>7499</v>
      </c>
      <c r="E57" s="50">
        <f t="shared" si="1"/>
        <v>0.72602739999999999</v>
      </c>
      <c r="F57" s="51">
        <f t="shared" si="0"/>
        <v>3.7965506900000001</v>
      </c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</row>
    <row r="58" spans="1:28" x14ac:dyDescent="0.15">
      <c r="A58" s="46" t="s">
        <v>167</v>
      </c>
      <c r="B58" s="52" t="s">
        <v>7361</v>
      </c>
      <c r="C58" s="53" t="s">
        <v>168</v>
      </c>
      <c r="D58" s="54" t="s">
        <v>7500</v>
      </c>
      <c r="E58" s="50">
        <f t="shared" si="1"/>
        <v>0.75</v>
      </c>
      <c r="F58" s="51">
        <f t="shared" si="0"/>
        <v>3.7931001200000001</v>
      </c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</row>
    <row r="59" spans="1:28" x14ac:dyDescent="0.15">
      <c r="A59" s="46" t="s">
        <v>169</v>
      </c>
      <c r="B59" s="52" t="s">
        <v>7361</v>
      </c>
      <c r="C59" s="53" t="s">
        <v>170</v>
      </c>
      <c r="D59" s="54" t="s">
        <v>7501</v>
      </c>
      <c r="E59" s="50">
        <f t="shared" si="1"/>
        <v>0.75342465999999997</v>
      </c>
      <c r="F59" s="51">
        <f t="shared" si="0"/>
        <v>3.7930109500000002</v>
      </c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</row>
    <row r="60" spans="1:28" x14ac:dyDescent="0.15">
      <c r="A60" s="46" t="s">
        <v>171</v>
      </c>
      <c r="B60" s="52" t="s">
        <v>7361</v>
      </c>
      <c r="C60" s="53" t="s">
        <v>172</v>
      </c>
      <c r="D60" s="54" t="s">
        <v>7502</v>
      </c>
      <c r="E60" s="50">
        <f t="shared" si="1"/>
        <v>0.76712329000000001</v>
      </c>
      <c r="F60" s="51">
        <f t="shared" si="0"/>
        <v>3.79267837</v>
      </c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</row>
    <row r="61" spans="1:28" x14ac:dyDescent="0.15">
      <c r="A61" s="46" t="s">
        <v>173</v>
      </c>
      <c r="B61" s="52" t="s">
        <v>7361</v>
      </c>
      <c r="C61" s="53" t="s">
        <v>174</v>
      </c>
      <c r="D61" s="54" t="s">
        <v>7503</v>
      </c>
      <c r="E61" s="50">
        <f t="shared" si="1"/>
        <v>0.78082191999999995</v>
      </c>
      <c r="F61" s="51">
        <f t="shared" si="0"/>
        <v>3.7923826900000002</v>
      </c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</row>
    <row r="62" spans="1:28" x14ac:dyDescent="0.15">
      <c r="A62" s="46" t="s">
        <v>175</v>
      </c>
      <c r="B62" s="52" t="s">
        <v>7361</v>
      </c>
      <c r="C62" s="53" t="s">
        <v>176</v>
      </c>
      <c r="D62" s="54" t="s">
        <v>7504</v>
      </c>
      <c r="E62" s="50">
        <f t="shared" si="1"/>
        <v>0.79452054999999999</v>
      </c>
      <c r="F62" s="51">
        <f t="shared" si="0"/>
        <v>3.7921217500000002</v>
      </c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28" x14ac:dyDescent="0.15">
      <c r="A63" s="46" t="s">
        <v>177</v>
      </c>
      <c r="B63" s="52" t="s">
        <v>7361</v>
      </c>
      <c r="C63" s="53" t="s">
        <v>178</v>
      </c>
      <c r="D63" s="54" t="s">
        <v>7505</v>
      </c>
      <c r="E63" s="50">
        <f t="shared" si="1"/>
        <v>0.80821918000000004</v>
      </c>
      <c r="F63" s="51">
        <f t="shared" si="0"/>
        <v>3.7918933799999999</v>
      </c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</row>
    <row r="64" spans="1:28" x14ac:dyDescent="0.15">
      <c r="A64" s="46" t="s">
        <v>179</v>
      </c>
      <c r="B64" s="52" t="s">
        <v>7361</v>
      </c>
      <c r="C64" s="53" t="s">
        <v>180</v>
      </c>
      <c r="D64" s="54" t="s">
        <v>7506</v>
      </c>
      <c r="E64" s="50">
        <f t="shared" si="1"/>
        <v>0.82191780999999997</v>
      </c>
      <c r="F64" s="51">
        <f t="shared" si="0"/>
        <v>3.7916954</v>
      </c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</row>
    <row r="65" spans="1:28" x14ac:dyDescent="0.15">
      <c r="A65" s="46" t="s">
        <v>181</v>
      </c>
      <c r="B65" s="52" t="s">
        <v>7361</v>
      </c>
      <c r="C65" s="53" t="s">
        <v>182</v>
      </c>
      <c r="D65" s="54" t="s">
        <v>7507</v>
      </c>
      <c r="E65" s="50">
        <f t="shared" si="1"/>
        <v>0.83561644000000002</v>
      </c>
      <c r="F65" s="51">
        <f t="shared" si="0"/>
        <v>3.7915256400000001</v>
      </c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</row>
    <row r="66" spans="1:28" x14ac:dyDescent="0.15">
      <c r="A66" s="46" t="s">
        <v>183</v>
      </c>
      <c r="B66" s="52" t="s">
        <v>7361</v>
      </c>
      <c r="C66" s="53" t="s">
        <v>184</v>
      </c>
      <c r="D66" s="54" t="s">
        <v>7508</v>
      </c>
      <c r="E66" s="50">
        <f t="shared" si="1"/>
        <v>0.84931506999999995</v>
      </c>
      <c r="F66" s="51">
        <f t="shared" si="0"/>
        <v>3.79138194</v>
      </c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</row>
    <row r="67" spans="1:28" x14ac:dyDescent="0.15">
      <c r="A67" s="46" t="s">
        <v>185</v>
      </c>
      <c r="B67" s="52" t="s">
        <v>7361</v>
      </c>
      <c r="C67" s="53" t="s">
        <v>186</v>
      </c>
      <c r="D67" s="54" t="s">
        <v>7509</v>
      </c>
      <c r="E67" s="50">
        <f t="shared" si="1"/>
        <v>0.86301369999999999</v>
      </c>
      <c r="F67" s="51">
        <f t="shared" si="0"/>
        <v>3.7912621199999998</v>
      </c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</row>
    <row r="68" spans="1:28" x14ac:dyDescent="0.15">
      <c r="A68" s="46" t="s">
        <v>187</v>
      </c>
      <c r="B68" s="52" t="s">
        <v>7361</v>
      </c>
      <c r="C68" s="53" t="s">
        <v>188</v>
      </c>
      <c r="D68" s="54" t="s">
        <v>7510</v>
      </c>
      <c r="E68" s="50">
        <f t="shared" si="1"/>
        <v>0.87671233000000004</v>
      </c>
      <c r="F68" s="51">
        <f t="shared" si="0"/>
        <v>3.7911640100000001</v>
      </c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</row>
    <row r="69" spans="1:28" x14ac:dyDescent="0.15">
      <c r="A69" s="46" t="s">
        <v>189</v>
      </c>
      <c r="B69" s="52" t="s">
        <v>7361</v>
      </c>
      <c r="C69" s="53" t="s">
        <v>190</v>
      </c>
      <c r="D69" s="54" t="s">
        <v>7511</v>
      </c>
      <c r="E69" s="50">
        <f t="shared" si="1"/>
        <v>0.89041095999999997</v>
      </c>
      <c r="F69" s="51">
        <f t="shared" si="1"/>
        <v>3.7910854500000002</v>
      </c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</row>
    <row r="70" spans="1:28" x14ac:dyDescent="0.15">
      <c r="A70" s="46" t="s">
        <v>191</v>
      </c>
      <c r="B70" s="52" t="s">
        <v>7361</v>
      </c>
      <c r="C70" s="53" t="s">
        <v>192</v>
      </c>
      <c r="D70" s="54" t="s">
        <v>7512</v>
      </c>
      <c r="E70" s="50">
        <f t="shared" ref="E70:F85" si="2">VALUE(C70)</f>
        <v>0.90410959000000002</v>
      </c>
      <c r="F70" s="51">
        <f t="shared" si="2"/>
        <v>3.79102425</v>
      </c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</row>
    <row r="71" spans="1:28" x14ac:dyDescent="0.15">
      <c r="A71" s="46" t="s">
        <v>193</v>
      </c>
      <c r="B71" s="52" t="s">
        <v>7361</v>
      </c>
      <c r="C71" s="53" t="s">
        <v>194</v>
      </c>
      <c r="D71" s="54" t="s">
        <v>7513</v>
      </c>
      <c r="E71" s="50">
        <f t="shared" si="2"/>
        <v>0.91780821999999995</v>
      </c>
      <c r="F71" s="51">
        <f t="shared" si="2"/>
        <v>3.7909782600000002</v>
      </c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</row>
    <row r="72" spans="1:28" x14ac:dyDescent="0.15">
      <c r="A72" s="46" t="s">
        <v>195</v>
      </c>
      <c r="B72" s="52" t="s">
        <v>7361</v>
      </c>
      <c r="C72" s="53" t="s">
        <v>196</v>
      </c>
      <c r="D72" s="54" t="s">
        <v>7514</v>
      </c>
      <c r="E72" s="50">
        <f t="shared" si="2"/>
        <v>0.93150685</v>
      </c>
      <c r="F72" s="51">
        <f t="shared" si="2"/>
        <v>3.7909453000000002</v>
      </c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</row>
    <row r="73" spans="1:28" x14ac:dyDescent="0.15">
      <c r="A73" s="46" t="s">
        <v>197</v>
      </c>
      <c r="B73" s="52" t="s">
        <v>7361</v>
      </c>
      <c r="C73" s="53" t="s">
        <v>198</v>
      </c>
      <c r="D73" s="54" t="s">
        <v>7515</v>
      </c>
      <c r="E73" s="50">
        <f t="shared" si="2"/>
        <v>0.94520548000000004</v>
      </c>
      <c r="F73" s="51">
        <f t="shared" si="2"/>
        <v>3.7909231999999999</v>
      </c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</row>
    <row r="74" spans="1:28" x14ac:dyDescent="0.15">
      <c r="A74" s="46" t="s">
        <v>199</v>
      </c>
      <c r="B74" s="52" t="s">
        <v>7361</v>
      </c>
      <c r="C74" s="53" t="s">
        <v>200</v>
      </c>
      <c r="D74" s="54" t="s">
        <v>7516</v>
      </c>
      <c r="E74" s="50">
        <f t="shared" si="2"/>
        <v>0.95890410999999998</v>
      </c>
      <c r="F74" s="51">
        <f t="shared" si="2"/>
        <v>3.7909097900000002</v>
      </c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</row>
    <row r="75" spans="1:28" x14ac:dyDescent="0.15">
      <c r="A75" s="46" t="s">
        <v>201</v>
      </c>
      <c r="B75" s="52" t="s">
        <v>7361</v>
      </c>
      <c r="C75" s="53" t="s">
        <v>202</v>
      </c>
      <c r="D75" s="54" t="s">
        <v>7517</v>
      </c>
      <c r="E75" s="50">
        <f t="shared" si="2"/>
        <v>0.97260274000000002</v>
      </c>
      <c r="F75" s="51">
        <f t="shared" si="2"/>
        <v>3.7909028999999999</v>
      </c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</row>
    <row r="76" spans="1:28" x14ac:dyDescent="0.15">
      <c r="A76" s="46" t="s">
        <v>203</v>
      </c>
      <c r="B76" s="52" t="s">
        <v>7361</v>
      </c>
      <c r="C76" s="53" t="s">
        <v>204</v>
      </c>
      <c r="D76" s="54" t="s">
        <v>7518</v>
      </c>
      <c r="E76" s="50">
        <f t="shared" si="2"/>
        <v>0.98630136999999996</v>
      </c>
      <c r="F76" s="51">
        <f t="shared" si="2"/>
        <v>3.7909003600000002</v>
      </c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</row>
    <row r="77" spans="1:28" x14ac:dyDescent="0.15">
      <c r="A77" s="46" t="s">
        <v>205</v>
      </c>
      <c r="B77" s="52" t="s">
        <v>7361</v>
      </c>
      <c r="C77" s="53" t="s">
        <v>206</v>
      </c>
      <c r="D77" s="54" t="s">
        <v>7519</v>
      </c>
      <c r="E77" s="50">
        <f t="shared" si="2"/>
        <v>1</v>
      </c>
      <c r="F77" s="51">
        <f t="shared" si="2"/>
        <v>3.7908999900000002</v>
      </c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</row>
    <row r="78" spans="1:28" x14ac:dyDescent="0.15">
      <c r="A78" s="46" t="s">
        <v>207</v>
      </c>
      <c r="B78" s="52" t="s">
        <v>7361</v>
      </c>
      <c r="C78" s="53" t="s">
        <v>208</v>
      </c>
      <c r="D78" s="54" t="s">
        <v>7520</v>
      </c>
      <c r="E78" s="50">
        <f t="shared" si="2"/>
        <v>1.0136986299999999</v>
      </c>
      <c r="F78" s="51">
        <f t="shared" si="2"/>
        <v>3.7909753300000002</v>
      </c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</row>
    <row r="79" spans="1:28" x14ac:dyDescent="0.15">
      <c r="A79" s="46" t="s">
        <v>209</v>
      </c>
      <c r="B79" s="52" t="s">
        <v>7361</v>
      </c>
      <c r="C79" s="53" t="s">
        <v>210</v>
      </c>
      <c r="D79" s="54" t="s">
        <v>7521</v>
      </c>
      <c r="E79" s="50">
        <f t="shared" si="2"/>
        <v>1.0273972600000001</v>
      </c>
      <c r="F79" s="51">
        <f t="shared" si="2"/>
        <v>3.79119574</v>
      </c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</row>
    <row r="80" spans="1:28" x14ac:dyDescent="0.15">
      <c r="A80" s="46" t="s">
        <v>211</v>
      </c>
      <c r="B80" s="52" t="s">
        <v>7361</v>
      </c>
      <c r="C80" s="53" t="s">
        <v>212</v>
      </c>
      <c r="D80" s="54" t="s">
        <v>7522</v>
      </c>
      <c r="E80" s="50">
        <f t="shared" si="2"/>
        <v>1.04109589</v>
      </c>
      <c r="F80" s="51">
        <f t="shared" si="2"/>
        <v>3.7915528200000002</v>
      </c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</row>
    <row r="81" spans="1:28" x14ac:dyDescent="0.15">
      <c r="A81" s="46" t="s">
        <v>213</v>
      </c>
      <c r="B81" s="52" t="s">
        <v>7361</v>
      </c>
      <c r="C81" s="53" t="s">
        <v>214</v>
      </c>
      <c r="D81" s="54" t="s">
        <v>7523</v>
      </c>
      <c r="E81" s="50">
        <f t="shared" si="2"/>
        <v>1.05479452</v>
      </c>
      <c r="F81" s="51">
        <f t="shared" si="2"/>
        <v>3.7920381500000002</v>
      </c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</row>
    <row r="82" spans="1:28" x14ac:dyDescent="0.15">
      <c r="A82" s="46" t="s">
        <v>215</v>
      </c>
      <c r="B82" s="52" t="s">
        <v>7361</v>
      </c>
      <c r="C82" s="53" t="s">
        <v>216</v>
      </c>
      <c r="D82" s="54" t="s">
        <v>7524</v>
      </c>
      <c r="E82" s="50">
        <f t="shared" si="2"/>
        <v>1.0684931499999999</v>
      </c>
      <c r="F82" s="51">
        <f t="shared" si="2"/>
        <v>3.7926433199999998</v>
      </c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</row>
    <row r="83" spans="1:28" x14ac:dyDescent="0.15">
      <c r="A83" s="46" t="s">
        <v>217</v>
      </c>
      <c r="B83" s="52" t="s">
        <v>7361</v>
      </c>
      <c r="C83" s="53" t="s">
        <v>218</v>
      </c>
      <c r="D83" s="54" t="s">
        <v>7525</v>
      </c>
      <c r="E83" s="50">
        <f t="shared" si="2"/>
        <v>1.08219178</v>
      </c>
      <c r="F83" s="51">
        <f t="shared" si="2"/>
        <v>3.7933599199999999</v>
      </c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</row>
    <row r="84" spans="1:28" x14ac:dyDescent="0.15">
      <c r="A84" s="46" t="s">
        <v>219</v>
      </c>
      <c r="B84" s="52" t="s">
        <v>7361</v>
      </c>
      <c r="C84" s="53" t="s">
        <v>220</v>
      </c>
      <c r="D84" s="54" t="s">
        <v>7526</v>
      </c>
      <c r="E84" s="50">
        <f t="shared" si="2"/>
        <v>1.09589041</v>
      </c>
      <c r="F84" s="51">
        <f t="shared" si="2"/>
        <v>3.79417955</v>
      </c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</row>
    <row r="85" spans="1:28" x14ac:dyDescent="0.15">
      <c r="A85" s="46" t="s">
        <v>221</v>
      </c>
      <c r="B85" s="52" t="s">
        <v>7361</v>
      </c>
      <c r="C85" s="53" t="s">
        <v>222</v>
      </c>
      <c r="D85" s="54" t="s">
        <v>7527</v>
      </c>
      <c r="E85" s="50">
        <f t="shared" si="2"/>
        <v>1.1095890399999999</v>
      </c>
      <c r="F85" s="51">
        <f t="shared" si="2"/>
        <v>3.7950937900000001</v>
      </c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</row>
    <row r="86" spans="1:28" x14ac:dyDescent="0.15">
      <c r="A86" s="46" t="s">
        <v>223</v>
      </c>
      <c r="B86" s="52" t="s">
        <v>7361</v>
      </c>
      <c r="C86" s="53" t="s">
        <v>224</v>
      </c>
      <c r="D86" s="54" t="s">
        <v>7528</v>
      </c>
      <c r="E86" s="50">
        <f t="shared" ref="E86:F116" si="3">VALUE(C86)</f>
        <v>1.1232876700000001</v>
      </c>
      <c r="F86" s="51">
        <f t="shared" si="3"/>
        <v>3.79609423</v>
      </c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</row>
    <row r="87" spans="1:28" x14ac:dyDescent="0.15">
      <c r="A87" s="46" t="s">
        <v>225</v>
      </c>
      <c r="B87" s="52" t="s">
        <v>7361</v>
      </c>
      <c r="C87" s="53" t="s">
        <v>226</v>
      </c>
      <c r="D87" s="54" t="s">
        <v>7529</v>
      </c>
      <c r="E87" s="50">
        <f t="shared" si="3"/>
        <v>1.1369863</v>
      </c>
      <c r="F87" s="51">
        <f t="shared" si="3"/>
        <v>3.7971724600000001</v>
      </c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</row>
    <row r="88" spans="1:28" x14ac:dyDescent="0.15">
      <c r="A88" s="46" t="s">
        <v>227</v>
      </c>
      <c r="B88" s="52" t="s">
        <v>7361</v>
      </c>
      <c r="C88" s="53" t="s">
        <v>228</v>
      </c>
      <c r="D88" s="54" t="s">
        <v>7530</v>
      </c>
      <c r="E88" s="50">
        <f t="shared" si="3"/>
        <v>1.1506849299999999</v>
      </c>
      <c r="F88" s="51">
        <f t="shared" si="3"/>
        <v>3.7983200799999999</v>
      </c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</row>
    <row r="89" spans="1:28" x14ac:dyDescent="0.15">
      <c r="A89" s="46" t="s">
        <v>229</v>
      </c>
      <c r="B89" s="52" t="s">
        <v>7361</v>
      </c>
      <c r="C89" s="53" t="s">
        <v>230</v>
      </c>
      <c r="D89" s="54" t="s">
        <v>7531</v>
      </c>
      <c r="E89" s="50">
        <f t="shared" si="3"/>
        <v>1.1643835600000001</v>
      </c>
      <c r="F89" s="51">
        <f t="shared" si="3"/>
        <v>3.7995286699999999</v>
      </c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</row>
    <row r="90" spans="1:28" x14ac:dyDescent="0.15">
      <c r="A90" s="46" t="s">
        <v>231</v>
      </c>
      <c r="B90" s="52" t="s">
        <v>7361</v>
      </c>
      <c r="C90" s="53" t="s">
        <v>232</v>
      </c>
      <c r="D90" s="54" t="s">
        <v>7532</v>
      </c>
      <c r="E90" s="50">
        <f t="shared" si="3"/>
        <v>1.17808219</v>
      </c>
      <c r="F90" s="51">
        <f t="shared" si="3"/>
        <v>3.8007898199999999</v>
      </c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</row>
    <row r="91" spans="1:28" x14ac:dyDescent="0.15">
      <c r="A91" s="46" t="s">
        <v>233</v>
      </c>
      <c r="B91" s="52" t="s">
        <v>7361</v>
      </c>
      <c r="C91" s="53" t="s">
        <v>234</v>
      </c>
      <c r="D91" s="54" t="s">
        <v>7533</v>
      </c>
      <c r="E91" s="50">
        <f t="shared" si="3"/>
        <v>1.19178082</v>
      </c>
      <c r="F91" s="51">
        <f t="shared" si="3"/>
        <v>3.8020951300000001</v>
      </c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</row>
    <row r="92" spans="1:28" x14ac:dyDescent="0.15">
      <c r="A92" s="46" t="s">
        <v>235</v>
      </c>
      <c r="B92" s="52" t="s">
        <v>7361</v>
      </c>
      <c r="C92" s="53" t="s">
        <v>236</v>
      </c>
      <c r="D92" s="54" t="s">
        <v>7534</v>
      </c>
      <c r="E92" s="50">
        <f t="shared" si="3"/>
        <v>1.2054794499999999</v>
      </c>
      <c r="F92" s="51">
        <f t="shared" si="3"/>
        <v>3.8034361799999998</v>
      </c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</row>
    <row r="93" spans="1:28" x14ac:dyDescent="0.15">
      <c r="A93" s="46" t="s">
        <v>237</v>
      </c>
      <c r="B93" s="52" t="s">
        <v>7361</v>
      </c>
      <c r="C93" s="53" t="s">
        <v>238</v>
      </c>
      <c r="D93" s="54" t="s">
        <v>7535</v>
      </c>
      <c r="E93" s="50">
        <f t="shared" si="3"/>
        <v>1.2191780800000001</v>
      </c>
      <c r="F93" s="51">
        <f t="shared" si="3"/>
        <v>3.80480456</v>
      </c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</row>
    <row r="94" spans="1:28" x14ac:dyDescent="0.15">
      <c r="A94" s="46" t="s">
        <v>239</v>
      </c>
      <c r="B94" s="52" t="s">
        <v>7361</v>
      </c>
      <c r="C94" s="53" t="s">
        <v>240</v>
      </c>
      <c r="D94" s="54" t="s">
        <v>7536</v>
      </c>
      <c r="E94" s="50">
        <f t="shared" si="3"/>
        <v>1.23287671</v>
      </c>
      <c r="F94" s="51">
        <f t="shared" si="3"/>
        <v>3.8061918600000002</v>
      </c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</row>
    <row r="95" spans="1:28" x14ac:dyDescent="0.15">
      <c r="A95" s="46" t="s">
        <v>241</v>
      </c>
      <c r="B95" s="52" t="s">
        <v>7361</v>
      </c>
      <c r="C95" s="53" t="s">
        <v>242</v>
      </c>
      <c r="D95" s="54" t="s">
        <v>7537</v>
      </c>
      <c r="E95" s="50">
        <f t="shared" si="3"/>
        <v>1.2465753399999999</v>
      </c>
      <c r="F95" s="51">
        <f t="shared" si="3"/>
        <v>3.80758967</v>
      </c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</row>
    <row r="96" spans="1:28" x14ac:dyDescent="0.15">
      <c r="A96" s="46" t="s">
        <v>243</v>
      </c>
      <c r="B96" s="52" t="s">
        <v>7361</v>
      </c>
      <c r="C96" s="53" t="s">
        <v>244</v>
      </c>
      <c r="D96" s="54" t="s">
        <v>7538</v>
      </c>
      <c r="E96" s="50">
        <f t="shared" si="3"/>
        <v>1.2602739700000001</v>
      </c>
      <c r="F96" s="51">
        <f t="shared" si="3"/>
        <v>3.8089895899999999</v>
      </c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</row>
    <row r="97" spans="1:28" x14ac:dyDescent="0.15">
      <c r="A97" s="46" t="s">
        <v>245</v>
      </c>
      <c r="B97" s="52" t="s">
        <v>7361</v>
      </c>
      <c r="C97" s="53" t="s">
        <v>246</v>
      </c>
      <c r="D97" s="54" t="s">
        <v>7539</v>
      </c>
      <c r="E97" s="50">
        <f t="shared" si="3"/>
        <v>1.2739726</v>
      </c>
      <c r="F97" s="51">
        <f t="shared" si="3"/>
        <v>3.8103832</v>
      </c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</row>
    <row r="98" spans="1:28" x14ac:dyDescent="0.15">
      <c r="A98" s="46" t="s">
        <v>247</v>
      </c>
      <c r="B98" s="52" t="s">
        <v>7361</v>
      </c>
      <c r="C98" s="53" t="s">
        <v>248</v>
      </c>
      <c r="D98" s="54" t="s">
        <v>7540</v>
      </c>
      <c r="E98" s="50">
        <f t="shared" si="3"/>
        <v>1.2876712299999999</v>
      </c>
      <c r="F98" s="51">
        <f t="shared" si="3"/>
        <v>3.8117621000000002</v>
      </c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</row>
    <row r="99" spans="1:28" x14ac:dyDescent="0.15">
      <c r="A99" s="46" t="s">
        <v>249</v>
      </c>
      <c r="B99" s="52" t="s">
        <v>7361</v>
      </c>
      <c r="C99" s="53" t="s">
        <v>250</v>
      </c>
      <c r="D99" s="54" t="s">
        <v>7541</v>
      </c>
      <c r="E99" s="50">
        <f t="shared" si="3"/>
        <v>1.3013698600000001</v>
      </c>
      <c r="F99" s="51">
        <f t="shared" si="3"/>
        <v>3.8131178600000002</v>
      </c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</row>
    <row r="100" spans="1:28" x14ac:dyDescent="0.15">
      <c r="A100" s="46" t="s">
        <v>251</v>
      </c>
      <c r="B100" s="52" t="s">
        <v>7361</v>
      </c>
      <c r="C100" s="53" t="s">
        <v>252</v>
      </c>
      <c r="D100" s="54" t="s">
        <v>7542</v>
      </c>
      <c r="E100" s="50">
        <f t="shared" si="3"/>
        <v>1.31506849</v>
      </c>
      <c r="F100" s="51">
        <f t="shared" si="3"/>
        <v>3.81444209</v>
      </c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</row>
    <row r="101" spans="1:28" x14ac:dyDescent="0.15">
      <c r="A101" s="46" t="s">
        <v>253</v>
      </c>
      <c r="B101" s="52" t="s">
        <v>7361</v>
      </c>
      <c r="C101" s="53" t="s">
        <v>254</v>
      </c>
      <c r="D101" s="54" t="s">
        <v>7543</v>
      </c>
      <c r="E101" s="50">
        <f t="shared" si="3"/>
        <v>1.32876712</v>
      </c>
      <c r="F101" s="51">
        <f t="shared" si="3"/>
        <v>3.8157263700000001</v>
      </c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1:28" x14ac:dyDescent="0.15">
      <c r="A102" s="46" t="s">
        <v>255</v>
      </c>
      <c r="B102" s="52" t="s">
        <v>7361</v>
      </c>
      <c r="C102" s="53" t="s">
        <v>256</v>
      </c>
      <c r="D102" s="54" t="s">
        <v>7544</v>
      </c>
      <c r="E102" s="50">
        <f t="shared" si="3"/>
        <v>1.3424657499999999</v>
      </c>
      <c r="F102" s="51">
        <f t="shared" si="3"/>
        <v>3.8169622900000002</v>
      </c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1:28" x14ac:dyDescent="0.15">
      <c r="A103" s="46" t="s">
        <v>257</v>
      </c>
      <c r="B103" s="52" t="s">
        <v>7361</v>
      </c>
      <c r="C103" s="53" t="s">
        <v>258</v>
      </c>
      <c r="D103" s="54" t="s">
        <v>7545</v>
      </c>
      <c r="E103" s="50">
        <f t="shared" si="3"/>
        <v>1.3561643800000001</v>
      </c>
      <c r="F103" s="51">
        <f t="shared" si="3"/>
        <v>3.8181414500000002</v>
      </c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1:28" x14ac:dyDescent="0.15">
      <c r="A104" s="46" t="s">
        <v>259</v>
      </c>
      <c r="B104" s="52" t="s">
        <v>7361</v>
      </c>
      <c r="C104" s="53" t="s">
        <v>260</v>
      </c>
      <c r="D104" s="54" t="s">
        <v>7546</v>
      </c>
      <c r="E104" s="50">
        <f t="shared" si="3"/>
        <v>1.36986301</v>
      </c>
      <c r="F104" s="51">
        <f t="shared" si="3"/>
        <v>3.8192554200000002</v>
      </c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1:28" x14ac:dyDescent="0.15">
      <c r="A105" s="46" t="s">
        <v>261</v>
      </c>
      <c r="B105" s="52" t="s">
        <v>7361</v>
      </c>
      <c r="C105" s="53" t="s">
        <v>262</v>
      </c>
      <c r="D105" s="54" t="s">
        <v>7547</v>
      </c>
      <c r="E105" s="50">
        <f t="shared" si="3"/>
        <v>1.3835616399999999</v>
      </c>
      <c r="F105" s="51">
        <f t="shared" si="3"/>
        <v>3.8202958100000002</v>
      </c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1:28" x14ac:dyDescent="0.15">
      <c r="A106" s="46" t="s">
        <v>263</v>
      </c>
      <c r="B106" s="52" t="s">
        <v>7361</v>
      </c>
      <c r="C106" s="53" t="s">
        <v>264</v>
      </c>
      <c r="D106" s="54" t="s">
        <v>7548</v>
      </c>
      <c r="E106" s="50">
        <f t="shared" si="3"/>
        <v>1.3972602700000001</v>
      </c>
      <c r="F106" s="51">
        <f t="shared" si="3"/>
        <v>3.8212541999999998</v>
      </c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1:28" x14ac:dyDescent="0.15">
      <c r="A107" s="46" t="s">
        <v>265</v>
      </c>
      <c r="B107" s="52" t="s">
        <v>7361</v>
      </c>
      <c r="C107" s="53" t="s">
        <v>266</v>
      </c>
      <c r="D107" s="54" t="s">
        <v>7549</v>
      </c>
      <c r="E107" s="50">
        <f t="shared" si="3"/>
        <v>1.4109589</v>
      </c>
      <c r="F107" s="51">
        <f t="shared" si="3"/>
        <v>3.82212219</v>
      </c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1:28" x14ac:dyDescent="0.15">
      <c r="A108" s="46" t="s">
        <v>267</v>
      </c>
      <c r="B108" s="52" t="s">
        <v>7361</v>
      </c>
      <c r="C108" s="53" t="s">
        <v>268</v>
      </c>
      <c r="D108" s="54" t="s">
        <v>7550</v>
      </c>
      <c r="E108" s="50">
        <f t="shared" si="3"/>
        <v>1.4246575299999999</v>
      </c>
      <c r="F108" s="51">
        <f t="shared" si="3"/>
        <v>3.8228913499999999</v>
      </c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1:28" x14ac:dyDescent="0.15">
      <c r="A109" s="46" t="s">
        <v>269</v>
      </c>
      <c r="B109" s="52" t="s">
        <v>7361</v>
      </c>
      <c r="C109" s="53" t="s">
        <v>270</v>
      </c>
      <c r="D109" s="54" t="s">
        <v>7551</v>
      </c>
      <c r="E109" s="50">
        <f t="shared" si="3"/>
        <v>1.4383561600000001</v>
      </c>
      <c r="F109" s="51">
        <f t="shared" si="3"/>
        <v>3.82355329</v>
      </c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1:28" x14ac:dyDescent="0.15">
      <c r="A110" s="46" t="s">
        <v>271</v>
      </c>
      <c r="B110" s="52" t="s">
        <v>7361</v>
      </c>
      <c r="C110" s="53" t="s">
        <v>272</v>
      </c>
      <c r="D110" s="54" t="s">
        <v>7552</v>
      </c>
      <c r="E110" s="50">
        <f t="shared" si="3"/>
        <v>1.45205479</v>
      </c>
      <c r="F110" s="51">
        <f t="shared" si="3"/>
        <v>3.8240995899999999</v>
      </c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1:28" x14ac:dyDescent="0.15">
      <c r="A111" s="46" t="s">
        <v>273</v>
      </c>
      <c r="B111" s="52" t="s">
        <v>7361</v>
      </c>
      <c r="C111" s="53" t="s">
        <v>274</v>
      </c>
      <c r="D111" s="54" t="s">
        <v>7553</v>
      </c>
      <c r="E111" s="50">
        <f t="shared" si="3"/>
        <v>1.46575342</v>
      </c>
      <c r="F111" s="51">
        <f t="shared" si="3"/>
        <v>3.82452185</v>
      </c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1:28" x14ac:dyDescent="0.15">
      <c r="A112" s="46" t="s">
        <v>275</v>
      </c>
      <c r="B112" s="52" t="s">
        <v>7361</v>
      </c>
      <c r="C112" s="53" t="s">
        <v>276</v>
      </c>
      <c r="D112" s="54" t="s">
        <v>7554</v>
      </c>
      <c r="E112" s="50">
        <f t="shared" si="3"/>
        <v>1.4794520499999999</v>
      </c>
      <c r="F112" s="51">
        <f t="shared" si="3"/>
        <v>3.8248116400000001</v>
      </c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1:28" x14ac:dyDescent="0.15">
      <c r="A113" s="46" t="s">
        <v>277</v>
      </c>
      <c r="B113" s="52" t="s">
        <v>7361</v>
      </c>
      <c r="C113" s="53" t="s">
        <v>278</v>
      </c>
      <c r="D113" s="54" t="s">
        <v>7555</v>
      </c>
      <c r="E113" s="50">
        <f t="shared" si="3"/>
        <v>1.4931506800000001</v>
      </c>
      <c r="F113" s="51">
        <f t="shared" si="3"/>
        <v>3.82496057</v>
      </c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1:28" x14ac:dyDescent="0.15">
      <c r="A114" s="46" t="s">
        <v>279</v>
      </c>
      <c r="B114" s="52" t="s">
        <v>7361</v>
      </c>
      <c r="C114" s="53" t="s">
        <v>280</v>
      </c>
      <c r="D114" s="54" t="s">
        <v>7556</v>
      </c>
      <c r="E114" s="50">
        <f t="shared" si="3"/>
        <v>1.5068493199999999</v>
      </c>
      <c r="F114" s="51">
        <f t="shared" si="3"/>
        <v>3.8249782400000001</v>
      </c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1:28" x14ac:dyDescent="0.15">
      <c r="A115" s="46" t="s">
        <v>281</v>
      </c>
      <c r="B115" s="52" t="s">
        <v>7361</v>
      </c>
      <c r="C115" s="53" t="s">
        <v>282</v>
      </c>
      <c r="D115" s="54" t="s">
        <v>7557</v>
      </c>
      <c r="E115" s="50">
        <f t="shared" si="3"/>
        <v>1.5205479500000001</v>
      </c>
      <c r="F115" s="51">
        <f t="shared" si="3"/>
        <v>3.8249676699999999</v>
      </c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1:28" x14ac:dyDescent="0.15">
      <c r="A116" s="46" t="s">
        <v>283</v>
      </c>
      <c r="B116" s="52" t="s">
        <v>7361</v>
      </c>
      <c r="C116" s="53" t="s">
        <v>284</v>
      </c>
      <c r="D116" s="54" t="s">
        <v>7558</v>
      </c>
      <c r="E116" s="50">
        <f t="shared" si="3"/>
        <v>1.53424658</v>
      </c>
      <c r="F116" s="51">
        <f t="shared" si="3"/>
        <v>3.8249469700000001</v>
      </c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1:28" x14ac:dyDescent="0.15">
      <c r="A117" s="46" t="s">
        <v>285</v>
      </c>
      <c r="B117" s="52" t="s">
        <v>7361</v>
      </c>
      <c r="C117" s="53" t="s">
        <v>286</v>
      </c>
      <c r="D117" s="54" t="s">
        <v>7559</v>
      </c>
      <c r="E117" s="50">
        <f t="shared" ref="E117:F146" si="4">VALUE(C117)</f>
        <v>1.54794521</v>
      </c>
      <c r="F117" s="51">
        <f t="shared" si="4"/>
        <v>3.8249165600000001</v>
      </c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1:28" x14ac:dyDescent="0.15">
      <c r="A118" s="46" t="s">
        <v>287</v>
      </c>
      <c r="B118" s="52" t="s">
        <v>7361</v>
      </c>
      <c r="C118" s="53" t="s">
        <v>288</v>
      </c>
      <c r="D118" s="54" t="s">
        <v>7560</v>
      </c>
      <c r="E118" s="50">
        <f t="shared" si="4"/>
        <v>1.5616438399999999</v>
      </c>
      <c r="F118" s="51">
        <f t="shared" si="4"/>
        <v>3.82487691</v>
      </c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19" spans="1:28" x14ac:dyDescent="0.15">
      <c r="A119" s="46" t="s">
        <v>289</v>
      </c>
      <c r="B119" s="52" t="s">
        <v>7361</v>
      </c>
      <c r="C119" s="53" t="s">
        <v>290</v>
      </c>
      <c r="D119" s="54" t="s">
        <v>7561</v>
      </c>
      <c r="E119" s="50">
        <f t="shared" si="4"/>
        <v>1.5753424700000001</v>
      </c>
      <c r="F119" s="51">
        <f t="shared" si="4"/>
        <v>3.82482845</v>
      </c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</row>
    <row r="120" spans="1:28" x14ac:dyDescent="0.15">
      <c r="A120" s="46" t="s">
        <v>291</v>
      </c>
      <c r="B120" s="52" t="s">
        <v>7361</v>
      </c>
      <c r="C120" s="53" t="s">
        <v>292</v>
      </c>
      <c r="D120" s="54" t="s">
        <v>7562</v>
      </c>
      <c r="E120" s="50">
        <f t="shared" si="4"/>
        <v>1.5890411</v>
      </c>
      <c r="F120" s="51">
        <f t="shared" si="4"/>
        <v>3.8247716199999999</v>
      </c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</row>
    <row r="121" spans="1:28" x14ac:dyDescent="0.15">
      <c r="A121" s="46" t="s">
        <v>293</v>
      </c>
      <c r="B121" s="52" t="s">
        <v>7361</v>
      </c>
      <c r="C121" s="53" t="s">
        <v>294</v>
      </c>
      <c r="D121" s="54" t="s">
        <v>7563</v>
      </c>
      <c r="E121" s="50">
        <f t="shared" si="4"/>
        <v>1.6027397299999999</v>
      </c>
      <c r="F121" s="51">
        <f t="shared" si="4"/>
        <v>3.8247068799999999</v>
      </c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</row>
    <row r="122" spans="1:28" x14ac:dyDescent="0.15">
      <c r="A122" s="46" t="s">
        <v>295</v>
      </c>
      <c r="B122" s="52" t="s">
        <v>7361</v>
      </c>
      <c r="C122" s="53" t="s">
        <v>296</v>
      </c>
      <c r="D122" s="54" t="s">
        <v>7564</v>
      </c>
      <c r="E122" s="50">
        <f t="shared" si="4"/>
        <v>1.6164383600000001</v>
      </c>
      <c r="F122" s="51">
        <f t="shared" si="4"/>
        <v>3.8246346600000001</v>
      </c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</row>
    <row r="123" spans="1:28" x14ac:dyDescent="0.15">
      <c r="A123" s="46" t="s">
        <v>297</v>
      </c>
      <c r="B123" s="52" t="s">
        <v>7361</v>
      </c>
      <c r="C123" s="53" t="s">
        <v>298</v>
      </c>
      <c r="D123" s="54" t="s">
        <v>7565</v>
      </c>
      <c r="E123" s="50">
        <f t="shared" si="4"/>
        <v>1.63013699</v>
      </c>
      <c r="F123" s="51">
        <f t="shared" si="4"/>
        <v>3.8245553999999999</v>
      </c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</row>
    <row r="124" spans="1:28" x14ac:dyDescent="0.15">
      <c r="A124" s="46" t="s">
        <v>299</v>
      </c>
      <c r="B124" s="52" t="s">
        <v>7361</v>
      </c>
      <c r="C124" s="53" t="s">
        <v>300</v>
      </c>
      <c r="D124" s="54" t="s">
        <v>7566</v>
      </c>
      <c r="E124" s="50">
        <f t="shared" si="4"/>
        <v>1.6438356199999999</v>
      </c>
      <c r="F124" s="51">
        <f t="shared" si="4"/>
        <v>3.8244695599999998</v>
      </c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</row>
    <row r="125" spans="1:28" x14ac:dyDescent="0.15">
      <c r="A125" s="46" t="s">
        <v>301</v>
      </c>
      <c r="B125" s="52" t="s">
        <v>7361</v>
      </c>
      <c r="C125" s="53" t="s">
        <v>302</v>
      </c>
      <c r="D125" s="54" t="s">
        <v>7567</v>
      </c>
      <c r="E125" s="50">
        <f t="shared" si="4"/>
        <v>1.6575342500000001</v>
      </c>
      <c r="F125" s="51">
        <f t="shared" si="4"/>
        <v>3.8243775800000002</v>
      </c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</row>
    <row r="126" spans="1:28" x14ac:dyDescent="0.15">
      <c r="A126" s="46" t="s">
        <v>303</v>
      </c>
      <c r="B126" s="52" t="s">
        <v>7361</v>
      </c>
      <c r="C126" s="53" t="s">
        <v>304</v>
      </c>
      <c r="D126" s="54" t="s">
        <v>7568</v>
      </c>
      <c r="E126" s="50">
        <f t="shared" si="4"/>
        <v>1.67123288</v>
      </c>
      <c r="F126" s="51">
        <f t="shared" si="4"/>
        <v>3.8242799000000001</v>
      </c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</row>
    <row r="127" spans="1:28" x14ac:dyDescent="0.15">
      <c r="A127" s="46" t="s">
        <v>305</v>
      </c>
      <c r="B127" s="52" t="s">
        <v>7361</v>
      </c>
      <c r="C127" s="53" t="s">
        <v>306</v>
      </c>
      <c r="D127" s="54" t="s">
        <v>7569</v>
      </c>
      <c r="E127" s="50">
        <f t="shared" si="4"/>
        <v>1.68493151</v>
      </c>
      <c r="F127" s="51">
        <f t="shared" si="4"/>
        <v>3.82417696</v>
      </c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</row>
    <row r="128" spans="1:28" x14ac:dyDescent="0.15">
      <c r="A128" s="46" t="s">
        <v>307</v>
      </c>
      <c r="B128" s="52" t="s">
        <v>7361</v>
      </c>
      <c r="C128" s="53" t="s">
        <v>308</v>
      </c>
      <c r="D128" s="54" t="s">
        <v>7570</v>
      </c>
      <c r="E128" s="50">
        <f t="shared" si="4"/>
        <v>1.6986301399999999</v>
      </c>
      <c r="F128" s="51">
        <f t="shared" si="4"/>
        <v>3.8240692100000002</v>
      </c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</row>
    <row r="129" spans="1:28" x14ac:dyDescent="0.15">
      <c r="A129" s="46" t="s">
        <v>309</v>
      </c>
      <c r="B129" s="52" t="s">
        <v>7361</v>
      </c>
      <c r="C129" s="53" t="s">
        <v>310</v>
      </c>
      <c r="D129" s="54" t="s">
        <v>7571</v>
      </c>
      <c r="E129" s="50">
        <f t="shared" si="4"/>
        <v>1.7123287700000001</v>
      </c>
      <c r="F129" s="51">
        <f t="shared" si="4"/>
        <v>3.8239570999999999</v>
      </c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</row>
    <row r="130" spans="1:28" x14ac:dyDescent="0.15">
      <c r="A130" s="46" t="s">
        <v>311</v>
      </c>
      <c r="B130" s="52" t="s">
        <v>7361</v>
      </c>
      <c r="C130" s="53" t="s">
        <v>312</v>
      </c>
      <c r="D130" s="54" t="s">
        <v>7572</v>
      </c>
      <c r="E130" s="50">
        <f t="shared" si="4"/>
        <v>1.7260274</v>
      </c>
      <c r="F130" s="51">
        <f t="shared" si="4"/>
        <v>3.8238410599999999</v>
      </c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</row>
    <row r="131" spans="1:28" x14ac:dyDescent="0.15">
      <c r="A131" s="46" t="s">
        <v>313</v>
      </c>
      <c r="B131" s="52" t="s">
        <v>7361</v>
      </c>
      <c r="C131" s="53" t="s">
        <v>314</v>
      </c>
      <c r="D131" s="54" t="s">
        <v>7573</v>
      </c>
      <c r="E131" s="50">
        <f t="shared" si="4"/>
        <v>1.7397260299999999</v>
      </c>
      <c r="F131" s="51">
        <f t="shared" si="4"/>
        <v>3.8237215400000002</v>
      </c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</row>
    <row r="132" spans="1:28" x14ac:dyDescent="0.15">
      <c r="A132" s="46" t="s">
        <v>315</v>
      </c>
      <c r="B132" s="52" t="s">
        <v>7361</v>
      </c>
      <c r="C132" s="53" t="s">
        <v>316</v>
      </c>
      <c r="D132" s="54" t="s">
        <v>7574</v>
      </c>
      <c r="E132" s="50">
        <f t="shared" si="4"/>
        <v>1.7534246600000001</v>
      </c>
      <c r="F132" s="51">
        <f t="shared" si="4"/>
        <v>3.8235989899999998</v>
      </c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</row>
    <row r="133" spans="1:28" x14ac:dyDescent="0.15">
      <c r="A133" s="46" t="s">
        <v>317</v>
      </c>
      <c r="B133" s="52" t="s">
        <v>7361</v>
      </c>
      <c r="C133" s="53" t="s">
        <v>318</v>
      </c>
      <c r="D133" s="54" t="s">
        <v>7575</v>
      </c>
      <c r="E133" s="50">
        <f t="shared" si="4"/>
        <v>1.76712329</v>
      </c>
      <c r="F133" s="51">
        <f t="shared" si="4"/>
        <v>3.8234738500000001</v>
      </c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</row>
    <row r="134" spans="1:28" x14ac:dyDescent="0.15">
      <c r="A134" s="46" t="s">
        <v>319</v>
      </c>
      <c r="B134" s="52" t="s">
        <v>7361</v>
      </c>
      <c r="C134" s="53" t="s">
        <v>320</v>
      </c>
      <c r="D134" s="54" t="s">
        <v>7576</v>
      </c>
      <c r="E134" s="50">
        <f t="shared" si="4"/>
        <v>1.7808219199999999</v>
      </c>
      <c r="F134" s="51">
        <f t="shared" si="4"/>
        <v>3.8233465600000001</v>
      </c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</row>
    <row r="135" spans="1:28" x14ac:dyDescent="0.15">
      <c r="A135" s="46" t="s">
        <v>321</v>
      </c>
      <c r="B135" s="52" t="s">
        <v>7361</v>
      </c>
      <c r="C135" s="53" t="s">
        <v>322</v>
      </c>
      <c r="D135" s="54" t="s">
        <v>7577</v>
      </c>
      <c r="E135" s="50">
        <f t="shared" si="4"/>
        <v>1.7945205500000001</v>
      </c>
      <c r="F135" s="51">
        <f t="shared" si="4"/>
        <v>3.8232175700000002</v>
      </c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</row>
    <row r="136" spans="1:28" x14ac:dyDescent="0.15">
      <c r="A136" s="46" t="s">
        <v>323</v>
      </c>
      <c r="B136" s="52" t="s">
        <v>7361</v>
      </c>
      <c r="C136" s="53" t="s">
        <v>324</v>
      </c>
      <c r="D136" s="54" t="s">
        <v>7578</v>
      </c>
      <c r="E136" s="50">
        <f t="shared" si="4"/>
        <v>1.80821918</v>
      </c>
      <c r="F136" s="51">
        <f t="shared" si="4"/>
        <v>3.82308732</v>
      </c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</row>
    <row r="137" spans="1:28" x14ac:dyDescent="0.15">
      <c r="A137" s="46" t="s">
        <v>325</v>
      </c>
      <c r="B137" s="52" t="s">
        <v>7361</v>
      </c>
      <c r="C137" s="53" t="s">
        <v>326</v>
      </c>
      <c r="D137" s="54" t="s">
        <v>7579</v>
      </c>
      <c r="E137" s="50">
        <f t="shared" si="4"/>
        <v>1.82191781</v>
      </c>
      <c r="F137" s="51">
        <f t="shared" si="4"/>
        <v>3.8229562499999998</v>
      </c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</row>
    <row r="138" spans="1:28" x14ac:dyDescent="0.15">
      <c r="A138" s="46" t="s">
        <v>327</v>
      </c>
      <c r="B138" s="52" t="s">
        <v>7361</v>
      </c>
      <c r="C138" s="53" t="s">
        <v>328</v>
      </c>
      <c r="D138" s="54" t="s">
        <v>7580</v>
      </c>
      <c r="E138" s="50">
        <f t="shared" si="4"/>
        <v>1.8356164399999999</v>
      </c>
      <c r="F138" s="51">
        <f t="shared" si="4"/>
        <v>3.8228248200000001</v>
      </c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</row>
    <row r="139" spans="1:28" x14ac:dyDescent="0.15">
      <c r="A139" s="46" t="s">
        <v>329</v>
      </c>
      <c r="B139" s="52" t="s">
        <v>7361</v>
      </c>
      <c r="C139" s="53" t="s">
        <v>330</v>
      </c>
      <c r="D139" s="54" t="s">
        <v>7581</v>
      </c>
      <c r="E139" s="50">
        <f t="shared" si="4"/>
        <v>1.8493150700000001</v>
      </c>
      <c r="F139" s="51">
        <f t="shared" si="4"/>
        <v>3.82269346</v>
      </c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</row>
    <row r="140" spans="1:28" x14ac:dyDescent="0.15">
      <c r="A140" s="46" t="s">
        <v>331</v>
      </c>
      <c r="B140" s="52" t="s">
        <v>7361</v>
      </c>
      <c r="C140" s="53" t="s">
        <v>332</v>
      </c>
      <c r="D140" s="54" t="s">
        <v>7582</v>
      </c>
      <c r="E140" s="50">
        <f t="shared" si="4"/>
        <v>1.8630137</v>
      </c>
      <c r="F140" s="51">
        <f t="shared" si="4"/>
        <v>3.8225626199999998</v>
      </c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</row>
    <row r="141" spans="1:28" x14ac:dyDescent="0.15">
      <c r="A141" s="46" t="s">
        <v>333</v>
      </c>
      <c r="B141" s="52" t="s">
        <v>7361</v>
      </c>
      <c r="C141" s="53" t="s">
        <v>334</v>
      </c>
      <c r="D141" s="54" t="s">
        <v>7583</v>
      </c>
      <c r="E141" s="50">
        <f t="shared" si="4"/>
        <v>1.8767123299999999</v>
      </c>
      <c r="F141" s="51">
        <f t="shared" si="4"/>
        <v>3.82243274</v>
      </c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</row>
    <row r="142" spans="1:28" x14ac:dyDescent="0.15">
      <c r="A142" s="46" t="s">
        <v>335</v>
      </c>
      <c r="B142" s="52" t="s">
        <v>7361</v>
      </c>
      <c r="C142" s="53" t="s">
        <v>336</v>
      </c>
      <c r="D142" s="54" t="s">
        <v>7584</v>
      </c>
      <c r="E142" s="50">
        <f t="shared" si="4"/>
        <v>1.8904109600000001</v>
      </c>
      <c r="F142" s="51">
        <f t="shared" si="4"/>
        <v>3.8223042700000001</v>
      </c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</row>
    <row r="143" spans="1:28" x14ac:dyDescent="0.15">
      <c r="A143" s="46" t="s">
        <v>337</v>
      </c>
      <c r="B143" s="52" t="s">
        <v>7361</v>
      </c>
      <c r="C143" s="53" t="s">
        <v>338</v>
      </c>
      <c r="D143" s="54" t="s">
        <v>7585</v>
      </c>
      <c r="E143" s="50">
        <f t="shared" si="4"/>
        <v>1.90410959</v>
      </c>
      <c r="F143" s="51">
        <f t="shared" si="4"/>
        <v>3.82217764</v>
      </c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</row>
    <row r="144" spans="1:28" x14ac:dyDescent="0.15">
      <c r="A144" s="46" t="s">
        <v>339</v>
      </c>
      <c r="B144" s="52" t="s">
        <v>7361</v>
      </c>
      <c r="C144" s="53" t="s">
        <v>340</v>
      </c>
      <c r="D144" s="54" t="s">
        <v>7586</v>
      </c>
      <c r="E144" s="50">
        <f t="shared" si="4"/>
        <v>1.91780822</v>
      </c>
      <c r="F144" s="51">
        <f t="shared" si="4"/>
        <v>3.8220533200000002</v>
      </c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</row>
    <row r="145" spans="1:28" x14ac:dyDescent="0.15">
      <c r="A145" s="46" t="s">
        <v>341</v>
      </c>
      <c r="B145" s="52" t="s">
        <v>7361</v>
      </c>
      <c r="C145" s="53" t="s">
        <v>342</v>
      </c>
      <c r="D145" s="54" t="s">
        <v>7587</v>
      </c>
      <c r="E145" s="50">
        <f t="shared" si="4"/>
        <v>1.9315068500000001</v>
      </c>
      <c r="F145" s="51">
        <f t="shared" si="4"/>
        <v>3.8219317300000002</v>
      </c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</row>
    <row r="146" spans="1:28" x14ac:dyDescent="0.15">
      <c r="A146" s="46" t="s">
        <v>343</v>
      </c>
      <c r="B146" s="52" t="s">
        <v>7361</v>
      </c>
      <c r="C146" s="53" t="s">
        <v>344</v>
      </c>
      <c r="D146" s="54" t="s">
        <v>7588</v>
      </c>
      <c r="E146" s="50">
        <f t="shared" si="4"/>
        <v>1.94520548</v>
      </c>
      <c r="F146" s="51">
        <f t="shared" si="4"/>
        <v>3.82181332</v>
      </c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</row>
    <row r="147" spans="1:28" x14ac:dyDescent="0.15">
      <c r="A147" s="46" t="s">
        <v>345</v>
      </c>
      <c r="B147" s="52" t="s">
        <v>7361</v>
      </c>
      <c r="C147" s="53" t="s">
        <v>346</v>
      </c>
      <c r="D147" s="54" t="s">
        <v>7589</v>
      </c>
      <c r="E147" s="50">
        <f t="shared" ref="E147:F177" si="5">VALUE(C147)</f>
        <v>1.95890411</v>
      </c>
      <c r="F147" s="51">
        <f t="shared" si="5"/>
        <v>3.8216985399999999</v>
      </c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</row>
    <row r="148" spans="1:28" x14ac:dyDescent="0.15">
      <c r="A148" s="46" t="s">
        <v>347</v>
      </c>
      <c r="B148" s="52" t="s">
        <v>7361</v>
      </c>
      <c r="C148" s="53" t="s">
        <v>348</v>
      </c>
      <c r="D148" s="54" t="s">
        <v>7590</v>
      </c>
      <c r="E148" s="50">
        <f t="shared" si="5"/>
        <v>1.9726027399999999</v>
      </c>
      <c r="F148" s="51">
        <f t="shared" si="5"/>
        <v>3.8215878299999999</v>
      </c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</row>
    <row r="149" spans="1:28" x14ac:dyDescent="0.15">
      <c r="A149" s="46" t="s">
        <v>349</v>
      </c>
      <c r="B149" s="52" t="s">
        <v>7361</v>
      </c>
      <c r="C149" s="53" t="s">
        <v>350</v>
      </c>
      <c r="D149" s="54" t="s">
        <v>7591</v>
      </c>
      <c r="E149" s="50">
        <f t="shared" si="5"/>
        <v>1.9863013700000001</v>
      </c>
      <c r="F149" s="51">
        <f t="shared" si="5"/>
        <v>3.82148164</v>
      </c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</row>
    <row r="150" spans="1:28" x14ac:dyDescent="0.15">
      <c r="A150" s="46" t="s">
        <v>351</v>
      </c>
      <c r="B150" s="52" t="s">
        <v>7361</v>
      </c>
      <c r="C150" s="53" t="s">
        <v>352</v>
      </c>
      <c r="D150" s="54" t="s">
        <v>7592</v>
      </c>
      <c r="E150" s="50">
        <f t="shared" si="5"/>
        <v>2</v>
      </c>
      <c r="F150" s="51">
        <f t="shared" si="5"/>
        <v>3.8213803999999998</v>
      </c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</row>
    <row r="151" spans="1:28" x14ac:dyDescent="0.15">
      <c r="A151" s="46" t="s">
        <v>353</v>
      </c>
      <c r="B151" s="52" t="s">
        <v>7361</v>
      </c>
      <c r="C151" s="53" t="s">
        <v>354</v>
      </c>
      <c r="D151" s="54" t="s">
        <v>7593</v>
      </c>
      <c r="E151" s="50">
        <f t="shared" si="5"/>
        <v>2.0136986299999999</v>
      </c>
      <c r="F151" s="51">
        <f t="shared" si="5"/>
        <v>3.82128186</v>
      </c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</row>
    <row r="152" spans="1:28" x14ac:dyDescent="0.15">
      <c r="A152" s="46" t="s">
        <v>355</v>
      </c>
      <c r="B152" s="52" t="s">
        <v>7361</v>
      </c>
      <c r="C152" s="53" t="s">
        <v>356</v>
      </c>
      <c r="D152" s="54" t="s">
        <v>7594</v>
      </c>
      <c r="E152" s="50">
        <f t="shared" si="5"/>
        <v>2.0273972599999999</v>
      </c>
      <c r="F152" s="51">
        <f t="shared" si="5"/>
        <v>3.82118344</v>
      </c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</row>
    <row r="153" spans="1:28" x14ac:dyDescent="0.15">
      <c r="A153" s="46" t="s">
        <v>357</v>
      </c>
      <c r="B153" s="52" t="s">
        <v>7361</v>
      </c>
      <c r="C153" s="53" t="s">
        <v>358</v>
      </c>
      <c r="D153" s="54" t="s">
        <v>7595</v>
      </c>
      <c r="E153" s="50">
        <f t="shared" si="5"/>
        <v>2.0410958899999998</v>
      </c>
      <c r="F153" s="51">
        <f t="shared" si="5"/>
        <v>3.82108515</v>
      </c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</row>
    <row r="154" spans="1:28" x14ac:dyDescent="0.15">
      <c r="A154" s="46" t="s">
        <v>359</v>
      </c>
      <c r="B154" s="52" t="s">
        <v>7361</v>
      </c>
      <c r="C154" s="53" t="s">
        <v>360</v>
      </c>
      <c r="D154" s="54" t="s">
        <v>7596</v>
      </c>
      <c r="E154" s="50">
        <f t="shared" si="5"/>
        <v>2.0547945200000002</v>
      </c>
      <c r="F154" s="51">
        <f t="shared" si="5"/>
        <v>3.8209869699999999</v>
      </c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</row>
    <row r="155" spans="1:28" x14ac:dyDescent="0.15">
      <c r="A155" s="46" t="s">
        <v>361</v>
      </c>
      <c r="B155" s="52" t="s">
        <v>7361</v>
      </c>
      <c r="C155" s="53" t="s">
        <v>362</v>
      </c>
      <c r="D155" s="54" t="s">
        <v>7597</v>
      </c>
      <c r="E155" s="50">
        <f t="shared" si="5"/>
        <v>2.0684931500000001</v>
      </c>
      <c r="F155" s="51">
        <f t="shared" si="5"/>
        <v>3.8208889099999999</v>
      </c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</row>
    <row r="156" spans="1:28" x14ac:dyDescent="0.15">
      <c r="A156" s="46" t="s">
        <v>363</v>
      </c>
      <c r="B156" s="52" t="s">
        <v>7361</v>
      </c>
      <c r="C156" s="53" t="s">
        <v>364</v>
      </c>
      <c r="D156" s="54" t="s">
        <v>7598</v>
      </c>
      <c r="E156" s="50">
        <f t="shared" si="5"/>
        <v>2.08219178</v>
      </c>
      <c r="F156" s="51">
        <f t="shared" si="5"/>
        <v>3.8207909500000001</v>
      </c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</row>
    <row r="157" spans="1:28" x14ac:dyDescent="0.15">
      <c r="A157" s="46" t="s">
        <v>365</v>
      </c>
      <c r="B157" s="52" t="s">
        <v>7361</v>
      </c>
      <c r="C157" s="53" t="s">
        <v>366</v>
      </c>
      <c r="D157" s="54" t="s">
        <v>7599</v>
      </c>
      <c r="E157" s="50">
        <f t="shared" si="5"/>
        <v>2.09589041</v>
      </c>
      <c r="F157" s="51">
        <f t="shared" si="5"/>
        <v>3.8206930899999998</v>
      </c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</row>
    <row r="158" spans="1:28" x14ac:dyDescent="0.15">
      <c r="A158" s="46" t="s">
        <v>367</v>
      </c>
      <c r="B158" s="52" t="s">
        <v>7361</v>
      </c>
      <c r="C158" s="53" t="s">
        <v>368</v>
      </c>
      <c r="D158" s="54" t="s">
        <v>7600</v>
      </c>
      <c r="E158" s="50">
        <f t="shared" si="5"/>
        <v>2.1095890399999999</v>
      </c>
      <c r="F158" s="51">
        <f t="shared" si="5"/>
        <v>3.8205953199999998</v>
      </c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</row>
    <row r="159" spans="1:28" x14ac:dyDescent="0.15">
      <c r="A159" s="46" t="s">
        <v>369</v>
      </c>
      <c r="B159" s="52" t="s">
        <v>7361</v>
      </c>
      <c r="C159" s="53" t="s">
        <v>370</v>
      </c>
      <c r="D159" s="54" t="s">
        <v>7601</v>
      </c>
      <c r="E159" s="50">
        <f t="shared" si="5"/>
        <v>2.1232876699999998</v>
      </c>
      <c r="F159" s="51">
        <f t="shared" si="5"/>
        <v>3.8204976400000001</v>
      </c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</row>
    <row r="160" spans="1:28" x14ac:dyDescent="0.15">
      <c r="A160" s="46" t="s">
        <v>371</v>
      </c>
      <c r="B160" s="52" t="s">
        <v>7361</v>
      </c>
      <c r="C160" s="53" t="s">
        <v>372</v>
      </c>
      <c r="D160" s="54" t="s">
        <v>7602</v>
      </c>
      <c r="E160" s="50">
        <f t="shared" si="5"/>
        <v>2.1369862999999998</v>
      </c>
      <c r="F160" s="51">
        <f t="shared" si="5"/>
        <v>3.8204000499999999</v>
      </c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</row>
    <row r="161" spans="1:28" x14ac:dyDescent="0.15">
      <c r="A161" s="46" t="s">
        <v>373</v>
      </c>
      <c r="B161" s="52" t="s">
        <v>7361</v>
      </c>
      <c r="C161" s="53" t="s">
        <v>374</v>
      </c>
      <c r="D161" s="54" t="s">
        <v>7603</v>
      </c>
      <c r="E161" s="50">
        <f t="shared" si="5"/>
        <v>2.1506849300000002</v>
      </c>
      <c r="F161" s="51">
        <f t="shared" si="5"/>
        <v>3.8203025300000002</v>
      </c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</row>
    <row r="162" spans="1:28" x14ac:dyDescent="0.15">
      <c r="A162" s="46" t="s">
        <v>375</v>
      </c>
      <c r="B162" s="52" t="s">
        <v>7361</v>
      </c>
      <c r="C162" s="53" t="s">
        <v>376</v>
      </c>
      <c r="D162" s="54" t="s">
        <v>7604</v>
      </c>
      <c r="E162" s="50">
        <f t="shared" si="5"/>
        <v>2.1643835600000001</v>
      </c>
      <c r="F162" s="51">
        <f t="shared" si="5"/>
        <v>3.82020509</v>
      </c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</row>
    <row r="163" spans="1:28" x14ac:dyDescent="0.15">
      <c r="A163" s="46" t="s">
        <v>377</v>
      </c>
      <c r="B163" s="52" t="s">
        <v>7361</v>
      </c>
      <c r="C163" s="53" t="s">
        <v>378</v>
      </c>
      <c r="D163" s="54" t="s">
        <v>7605</v>
      </c>
      <c r="E163" s="50">
        <f t="shared" si="5"/>
        <v>2.17808219</v>
      </c>
      <c r="F163" s="51">
        <f t="shared" si="5"/>
        <v>3.8201077200000002</v>
      </c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</row>
    <row r="164" spans="1:28" x14ac:dyDescent="0.15">
      <c r="A164" s="46" t="s">
        <v>379</v>
      </c>
      <c r="B164" s="52" t="s">
        <v>7361</v>
      </c>
      <c r="C164" s="53" t="s">
        <v>380</v>
      </c>
      <c r="D164" s="54" t="s">
        <v>7606</v>
      </c>
      <c r="E164" s="50">
        <f t="shared" si="5"/>
        <v>2.19178082</v>
      </c>
      <c r="F164" s="51">
        <f t="shared" si="5"/>
        <v>3.8200104000000001</v>
      </c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</row>
    <row r="165" spans="1:28" x14ac:dyDescent="0.15">
      <c r="A165" s="46" t="s">
        <v>381</v>
      </c>
      <c r="B165" s="52" t="s">
        <v>7361</v>
      </c>
      <c r="C165" s="53" t="s">
        <v>382</v>
      </c>
      <c r="D165" s="54" t="s">
        <v>7607</v>
      </c>
      <c r="E165" s="50">
        <f t="shared" si="5"/>
        <v>2.2054794499999999</v>
      </c>
      <c r="F165" s="51">
        <f t="shared" si="5"/>
        <v>3.8199131400000002</v>
      </c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</row>
    <row r="166" spans="1:28" x14ac:dyDescent="0.15">
      <c r="A166" s="46" t="s">
        <v>383</v>
      </c>
      <c r="B166" s="52" t="s">
        <v>7361</v>
      </c>
      <c r="C166" s="53" t="s">
        <v>384</v>
      </c>
      <c r="D166" s="54" t="s">
        <v>7608</v>
      </c>
      <c r="E166" s="50">
        <f t="shared" si="5"/>
        <v>2.2191780799999998</v>
      </c>
      <c r="F166" s="51">
        <f t="shared" si="5"/>
        <v>3.8198159399999998</v>
      </c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</row>
    <row r="167" spans="1:28" x14ac:dyDescent="0.15">
      <c r="A167" s="46" t="s">
        <v>385</v>
      </c>
      <c r="B167" s="52" t="s">
        <v>7361</v>
      </c>
      <c r="C167" s="53" t="s">
        <v>386</v>
      </c>
      <c r="D167" s="54" t="s">
        <v>7609</v>
      </c>
      <c r="E167" s="50">
        <f t="shared" si="5"/>
        <v>2.2328767100000002</v>
      </c>
      <c r="F167" s="51">
        <f t="shared" si="5"/>
        <v>3.8197187800000001</v>
      </c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</row>
    <row r="168" spans="1:28" x14ac:dyDescent="0.15">
      <c r="A168" s="46" t="s">
        <v>387</v>
      </c>
      <c r="B168" s="52" t="s">
        <v>7361</v>
      </c>
      <c r="C168" s="53" t="s">
        <v>388</v>
      </c>
      <c r="D168" s="54" t="s">
        <v>7610</v>
      </c>
      <c r="E168" s="50">
        <f t="shared" si="5"/>
        <v>2.2465753400000001</v>
      </c>
      <c r="F168" s="51">
        <f t="shared" si="5"/>
        <v>3.8196216600000001</v>
      </c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</row>
    <row r="169" spans="1:28" x14ac:dyDescent="0.15">
      <c r="A169" s="46" t="s">
        <v>389</v>
      </c>
      <c r="B169" s="52" t="s">
        <v>7361</v>
      </c>
      <c r="C169" s="53" t="s">
        <v>390</v>
      </c>
      <c r="D169" s="54" t="s">
        <v>7611</v>
      </c>
      <c r="E169" s="50">
        <f t="shared" si="5"/>
        <v>2.2602739700000001</v>
      </c>
      <c r="F169" s="51">
        <f t="shared" si="5"/>
        <v>3.81952457</v>
      </c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</row>
    <row r="170" spans="1:28" x14ac:dyDescent="0.15">
      <c r="A170" s="46" t="s">
        <v>391</v>
      </c>
      <c r="B170" s="52" t="s">
        <v>7361</v>
      </c>
      <c r="C170" s="53" t="s">
        <v>392</v>
      </c>
      <c r="D170" s="54" t="s">
        <v>7612</v>
      </c>
      <c r="E170" s="50">
        <f t="shared" si="5"/>
        <v>2.2739726</v>
      </c>
      <c r="F170" s="51">
        <f t="shared" si="5"/>
        <v>3.8194275100000001</v>
      </c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</row>
    <row r="171" spans="1:28" x14ac:dyDescent="0.15">
      <c r="A171" s="46" t="s">
        <v>393</v>
      </c>
      <c r="B171" s="52" t="s">
        <v>7361</v>
      </c>
      <c r="C171" s="53" t="s">
        <v>394</v>
      </c>
      <c r="D171" s="54" t="s">
        <v>7613</v>
      </c>
      <c r="E171" s="50">
        <f t="shared" si="5"/>
        <v>2.2876712299999999</v>
      </c>
      <c r="F171" s="51">
        <f t="shared" si="5"/>
        <v>3.8193304800000001</v>
      </c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</row>
    <row r="172" spans="1:28" x14ac:dyDescent="0.15">
      <c r="A172" s="46" t="s">
        <v>395</v>
      </c>
      <c r="B172" s="52" t="s">
        <v>7361</v>
      </c>
      <c r="C172" s="53" t="s">
        <v>396</v>
      </c>
      <c r="D172" s="54" t="s">
        <v>7614</v>
      </c>
      <c r="E172" s="50">
        <f t="shared" si="5"/>
        <v>2.3013698599999999</v>
      </c>
      <c r="F172" s="51">
        <f t="shared" si="5"/>
        <v>3.81923346</v>
      </c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</row>
    <row r="173" spans="1:28" x14ac:dyDescent="0.15">
      <c r="A173" s="46" t="s">
        <v>397</v>
      </c>
      <c r="B173" s="52" t="s">
        <v>7361</v>
      </c>
      <c r="C173" s="53" t="s">
        <v>398</v>
      </c>
      <c r="D173" s="54" t="s">
        <v>7615</v>
      </c>
      <c r="E173" s="50">
        <f t="shared" si="5"/>
        <v>2.3150684899999998</v>
      </c>
      <c r="F173" s="51">
        <f t="shared" si="5"/>
        <v>3.8191364600000002</v>
      </c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</row>
    <row r="174" spans="1:28" x14ac:dyDescent="0.15">
      <c r="A174" s="46" t="s">
        <v>399</v>
      </c>
      <c r="B174" s="52" t="s">
        <v>7361</v>
      </c>
      <c r="C174" s="53" t="s">
        <v>400</v>
      </c>
      <c r="D174" s="54" t="s">
        <v>7616</v>
      </c>
      <c r="E174" s="50">
        <f t="shared" si="5"/>
        <v>2.3287671200000002</v>
      </c>
      <c r="F174" s="51">
        <f t="shared" si="5"/>
        <v>3.8190394699999999</v>
      </c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</row>
    <row r="175" spans="1:28" x14ac:dyDescent="0.15">
      <c r="A175" s="46" t="s">
        <v>401</v>
      </c>
      <c r="B175" s="52" t="s">
        <v>7361</v>
      </c>
      <c r="C175" s="53" t="s">
        <v>402</v>
      </c>
      <c r="D175" s="54" t="s">
        <v>7617</v>
      </c>
      <c r="E175" s="50">
        <f t="shared" si="5"/>
        <v>2.3424657500000001</v>
      </c>
      <c r="F175" s="51">
        <f t="shared" si="5"/>
        <v>3.8189424700000001</v>
      </c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</row>
    <row r="176" spans="1:28" x14ac:dyDescent="0.15">
      <c r="A176" s="46" t="s">
        <v>403</v>
      </c>
      <c r="B176" s="52" t="s">
        <v>7361</v>
      </c>
      <c r="C176" s="53" t="s">
        <v>404</v>
      </c>
      <c r="D176" s="54" t="s">
        <v>7618</v>
      </c>
      <c r="E176" s="50">
        <f t="shared" si="5"/>
        <v>2.3561643800000001</v>
      </c>
      <c r="F176" s="51">
        <f t="shared" si="5"/>
        <v>3.8188454699999999</v>
      </c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</row>
    <row r="177" spans="1:28" x14ac:dyDescent="0.15">
      <c r="A177" s="46" t="s">
        <v>405</v>
      </c>
      <c r="B177" s="52" t="s">
        <v>7361</v>
      </c>
      <c r="C177" s="53" t="s">
        <v>406</v>
      </c>
      <c r="D177" s="54" t="s">
        <v>7619</v>
      </c>
      <c r="E177" s="50">
        <f t="shared" si="5"/>
        <v>2.36986301</v>
      </c>
      <c r="F177" s="51">
        <f t="shared" si="5"/>
        <v>3.8187484700000001</v>
      </c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</row>
    <row r="178" spans="1:28" x14ac:dyDescent="0.15">
      <c r="A178" s="46" t="s">
        <v>407</v>
      </c>
      <c r="B178" s="52" t="s">
        <v>7361</v>
      </c>
      <c r="C178" s="53" t="s">
        <v>408</v>
      </c>
      <c r="D178" s="54" t="s">
        <v>7620</v>
      </c>
      <c r="E178" s="50">
        <f t="shared" ref="E178:F207" si="6">VALUE(C178)</f>
        <v>2.3835616399999999</v>
      </c>
      <c r="F178" s="51">
        <f t="shared" si="6"/>
        <v>3.8186514499999999</v>
      </c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</row>
    <row r="179" spans="1:28" x14ac:dyDescent="0.15">
      <c r="A179" s="46" t="s">
        <v>409</v>
      </c>
      <c r="B179" s="52" t="s">
        <v>7361</v>
      </c>
      <c r="C179" s="53" t="s">
        <v>410</v>
      </c>
      <c r="D179" s="54" t="s">
        <v>7621</v>
      </c>
      <c r="E179" s="50">
        <f t="shared" si="6"/>
        <v>2.3972602699999999</v>
      </c>
      <c r="F179" s="51">
        <f t="shared" si="6"/>
        <v>3.81855441</v>
      </c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</row>
    <row r="180" spans="1:28" x14ac:dyDescent="0.15">
      <c r="A180" s="46" t="s">
        <v>411</v>
      </c>
      <c r="B180" s="52" t="s">
        <v>7361</v>
      </c>
      <c r="C180" s="53" t="s">
        <v>412</v>
      </c>
      <c r="D180" s="54" t="s">
        <v>7622</v>
      </c>
      <c r="E180" s="50">
        <f t="shared" si="6"/>
        <v>2.4109588999999998</v>
      </c>
      <c r="F180" s="51">
        <f t="shared" si="6"/>
        <v>3.8184573400000001</v>
      </c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</row>
    <row r="181" spans="1:28" x14ac:dyDescent="0.15">
      <c r="A181" s="46" t="s">
        <v>413</v>
      </c>
      <c r="B181" s="52" t="s">
        <v>7361</v>
      </c>
      <c r="C181" s="53" t="s">
        <v>414</v>
      </c>
      <c r="D181" s="54" t="s">
        <v>7623</v>
      </c>
      <c r="E181" s="50">
        <f t="shared" si="6"/>
        <v>2.4246575300000002</v>
      </c>
      <c r="F181" s="51">
        <f t="shared" si="6"/>
        <v>3.8183602400000001</v>
      </c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</row>
    <row r="182" spans="1:28" x14ac:dyDescent="0.15">
      <c r="A182" s="46" t="s">
        <v>415</v>
      </c>
      <c r="B182" s="52" t="s">
        <v>7361</v>
      </c>
      <c r="C182" s="53" t="s">
        <v>416</v>
      </c>
      <c r="D182" s="54" t="s">
        <v>7624</v>
      </c>
      <c r="E182" s="50">
        <f t="shared" si="6"/>
        <v>2.4383561600000001</v>
      </c>
      <c r="F182" s="51">
        <f t="shared" si="6"/>
        <v>3.8182631100000002</v>
      </c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</row>
    <row r="183" spans="1:28" x14ac:dyDescent="0.15">
      <c r="A183" s="46" t="s">
        <v>417</v>
      </c>
      <c r="B183" s="52" t="s">
        <v>7361</v>
      </c>
      <c r="C183" s="53" t="s">
        <v>418</v>
      </c>
      <c r="D183" s="54" t="s">
        <v>7625</v>
      </c>
      <c r="E183" s="50">
        <f t="shared" si="6"/>
        <v>2.45205479</v>
      </c>
      <c r="F183" s="51">
        <f t="shared" si="6"/>
        <v>3.8181659300000002</v>
      </c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</row>
    <row r="184" spans="1:28" x14ac:dyDescent="0.15">
      <c r="A184" s="46" t="s">
        <v>419</v>
      </c>
      <c r="B184" s="52" t="s">
        <v>7361</v>
      </c>
      <c r="C184" s="53" t="s">
        <v>420</v>
      </c>
      <c r="D184" s="54" t="s">
        <v>7626</v>
      </c>
      <c r="E184" s="50">
        <f t="shared" si="6"/>
        <v>2.46575342</v>
      </c>
      <c r="F184" s="51">
        <f t="shared" si="6"/>
        <v>3.8180687099999999</v>
      </c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</row>
    <row r="185" spans="1:28" x14ac:dyDescent="0.15">
      <c r="A185" s="46" t="s">
        <v>421</v>
      </c>
      <c r="B185" s="52" t="s">
        <v>7361</v>
      </c>
      <c r="C185" s="53" t="s">
        <v>422</v>
      </c>
      <c r="D185" s="54" t="s">
        <v>7627</v>
      </c>
      <c r="E185" s="50">
        <f t="shared" si="6"/>
        <v>2.4794520499999999</v>
      </c>
      <c r="F185" s="51">
        <f t="shared" si="6"/>
        <v>3.8179714300000001</v>
      </c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</row>
    <row r="186" spans="1:28" x14ac:dyDescent="0.15">
      <c r="A186" s="46" t="s">
        <v>423</v>
      </c>
      <c r="B186" s="52" t="s">
        <v>7361</v>
      </c>
      <c r="C186" s="53" t="s">
        <v>424</v>
      </c>
      <c r="D186" s="54" t="s">
        <v>7628</v>
      </c>
      <c r="E186" s="50">
        <f t="shared" si="6"/>
        <v>2.4931506799999998</v>
      </c>
      <c r="F186" s="51">
        <f t="shared" si="6"/>
        <v>3.8178741</v>
      </c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</row>
    <row r="187" spans="1:28" x14ac:dyDescent="0.15">
      <c r="A187" s="46" t="s">
        <v>425</v>
      </c>
      <c r="B187" s="52" t="s">
        <v>7361</v>
      </c>
      <c r="C187" s="53" t="s">
        <v>426</v>
      </c>
      <c r="D187" s="54" t="s">
        <v>7629</v>
      </c>
      <c r="E187" s="50">
        <f t="shared" si="6"/>
        <v>2.5068493200000002</v>
      </c>
      <c r="F187" s="51">
        <f t="shared" si="6"/>
        <v>3.81777715</v>
      </c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</row>
    <row r="188" spans="1:28" x14ac:dyDescent="0.15">
      <c r="A188" s="46" t="s">
        <v>427</v>
      </c>
      <c r="B188" s="52" t="s">
        <v>7361</v>
      </c>
      <c r="C188" s="53" t="s">
        <v>428</v>
      </c>
      <c r="D188" s="54" t="s">
        <v>7630</v>
      </c>
      <c r="E188" s="50">
        <f t="shared" si="6"/>
        <v>2.5205479500000001</v>
      </c>
      <c r="F188" s="51">
        <f t="shared" si="6"/>
        <v>3.81768324</v>
      </c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</row>
    <row r="189" spans="1:28" x14ac:dyDescent="0.15">
      <c r="A189" s="46" t="s">
        <v>429</v>
      </c>
      <c r="B189" s="52" t="s">
        <v>7361</v>
      </c>
      <c r="C189" s="53" t="s">
        <v>430</v>
      </c>
      <c r="D189" s="54" t="s">
        <v>7631</v>
      </c>
      <c r="E189" s="50">
        <f t="shared" si="6"/>
        <v>2.53424658</v>
      </c>
      <c r="F189" s="51">
        <f t="shared" si="6"/>
        <v>3.81759278</v>
      </c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</row>
    <row r="190" spans="1:28" x14ac:dyDescent="0.15">
      <c r="A190" s="46" t="s">
        <v>431</v>
      </c>
      <c r="B190" s="52" t="s">
        <v>7361</v>
      </c>
      <c r="C190" s="53" t="s">
        <v>432</v>
      </c>
      <c r="D190" s="54" t="s">
        <v>7632</v>
      </c>
      <c r="E190" s="50">
        <f t="shared" si="6"/>
        <v>2.54794521</v>
      </c>
      <c r="F190" s="51">
        <f t="shared" si="6"/>
        <v>3.8175057200000002</v>
      </c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</row>
    <row r="191" spans="1:28" x14ac:dyDescent="0.15">
      <c r="A191" s="46" t="s">
        <v>433</v>
      </c>
      <c r="B191" s="52" t="s">
        <v>7361</v>
      </c>
      <c r="C191" s="53" t="s">
        <v>434</v>
      </c>
      <c r="D191" s="54" t="s">
        <v>7633</v>
      </c>
      <c r="E191" s="50">
        <f t="shared" si="6"/>
        <v>2.5616438399999999</v>
      </c>
      <c r="F191" s="51">
        <f t="shared" si="6"/>
        <v>3.8174220000000001</v>
      </c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</row>
    <row r="192" spans="1:28" x14ac:dyDescent="0.15">
      <c r="A192" s="46" t="s">
        <v>435</v>
      </c>
      <c r="B192" s="52" t="s">
        <v>7361</v>
      </c>
      <c r="C192" s="53" t="s">
        <v>436</v>
      </c>
      <c r="D192" s="54" t="s">
        <v>7634</v>
      </c>
      <c r="E192" s="50">
        <f t="shared" si="6"/>
        <v>2.5753424699999998</v>
      </c>
      <c r="F192" s="51">
        <f t="shared" si="6"/>
        <v>3.8173415999999998</v>
      </c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</row>
    <row r="193" spans="1:28" x14ac:dyDescent="0.15">
      <c r="A193" s="46" t="s">
        <v>437</v>
      </c>
      <c r="B193" s="52" t="s">
        <v>7361</v>
      </c>
      <c r="C193" s="53" t="s">
        <v>438</v>
      </c>
      <c r="D193" s="54" t="s">
        <v>7635</v>
      </c>
      <c r="E193" s="50">
        <f t="shared" si="6"/>
        <v>2.5890411000000002</v>
      </c>
      <c r="F193" s="51">
        <f t="shared" si="6"/>
        <v>3.8172644500000001</v>
      </c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</row>
    <row r="194" spans="1:28" x14ac:dyDescent="0.15">
      <c r="A194" s="46" t="s">
        <v>439</v>
      </c>
      <c r="B194" s="52" t="s">
        <v>7361</v>
      </c>
      <c r="C194" s="53" t="s">
        <v>440</v>
      </c>
      <c r="D194" s="54" t="s">
        <v>7636</v>
      </c>
      <c r="E194" s="50">
        <f t="shared" si="6"/>
        <v>2.6027397300000001</v>
      </c>
      <c r="F194" s="51">
        <f t="shared" si="6"/>
        <v>3.81719052</v>
      </c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</row>
    <row r="195" spans="1:28" x14ac:dyDescent="0.15">
      <c r="A195" s="46" t="s">
        <v>441</v>
      </c>
      <c r="B195" s="52" t="s">
        <v>7361</v>
      </c>
      <c r="C195" s="53" t="s">
        <v>442</v>
      </c>
      <c r="D195" s="54" t="s">
        <v>7637</v>
      </c>
      <c r="E195" s="50">
        <f t="shared" si="6"/>
        <v>2.6164383600000001</v>
      </c>
      <c r="F195" s="51">
        <f t="shared" si="6"/>
        <v>3.8171197600000002</v>
      </c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</row>
    <row r="196" spans="1:28" x14ac:dyDescent="0.15">
      <c r="A196" s="46" t="s">
        <v>443</v>
      </c>
      <c r="B196" s="52" t="s">
        <v>7361</v>
      </c>
      <c r="C196" s="53" t="s">
        <v>444</v>
      </c>
      <c r="D196" s="54" t="s">
        <v>7638</v>
      </c>
      <c r="E196" s="50">
        <f t="shared" si="6"/>
        <v>2.63013699</v>
      </c>
      <c r="F196" s="51">
        <f t="shared" si="6"/>
        <v>3.8170521100000001</v>
      </c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</row>
    <row r="197" spans="1:28" x14ac:dyDescent="0.15">
      <c r="A197" s="46" t="s">
        <v>445</v>
      </c>
      <c r="B197" s="52" t="s">
        <v>7361</v>
      </c>
      <c r="C197" s="53" t="s">
        <v>446</v>
      </c>
      <c r="D197" s="54" t="s">
        <v>7639</v>
      </c>
      <c r="E197" s="50">
        <f t="shared" si="6"/>
        <v>2.6438356199999999</v>
      </c>
      <c r="F197" s="51">
        <f t="shared" si="6"/>
        <v>3.81698754</v>
      </c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</row>
    <row r="198" spans="1:28" x14ac:dyDescent="0.15">
      <c r="A198" s="46" t="s">
        <v>447</v>
      </c>
      <c r="B198" s="52" t="s">
        <v>7361</v>
      </c>
      <c r="C198" s="53" t="s">
        <v>448</v>
      </c>
      <c r="D198" s="54" t="s">
        <v>7640</v>
      </c>
      <c r="E198" s="50">
        <f t="shared" si="6"/>
        <v>2.6575342499999999</v>
      </c>
      <c r="F198" s="51">
        <f t="shared" si="6"/>
        <v>3.816926</v>
      </c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</row>
    <row r="199" spans="1:28" x14ac:dyDescent="0.15">
      <c r="A199" s="46" t="s">
        <v>449</v>
      </c>
      <c r="B199" s="52" t="s">
        <v>7361</v>
      </c>
      <c r="C199" s="53" t="s">
        <v>450</v>
      </c>
      <c r="D199" s="54" t="s">
        <v>7641</v>
      </c>
      <c r="E199" s="50">
        <f t="shared" si="6"/>
        <v>2.6712328799999998</v>
      </c>
      <c r="F199" s="51">
        <f t="shared" si="6"/>
        <v>3.8168674399999998</v>
      </c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</row>
    <row r="200" spans="1:28" x14ac:dyDescent="0.15">
      <c r="A200" s="46" t="s">
        <v>451</v>
      </c>
      <c r="B200" s="52" t="s">
        <v>7361</v>
      </c>
      <c r="C200" s="53" t="s">
        <v>452</v>
      </c>
      <c r="D200" s="54" t="s">
        <v>7642</v>
      </c>
      <c r="E200" s="50">
        <f t="shared" si="6"/>
        <v>2.6849315100000002</v>
      </c>
      <c r="F200" s="51">
        <f t="shared" si="6"/>
        <v>3.8168118099999999</v>
      </c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</row>
    <row r="201" spans="1:28" x14ac:dyDescent="0.15">
      <c r="A201" s="46" t="s">
        <v>453</v>
      </c>
      <c r="B201" s="52" t="s">
        <v>7361</v>
      </c>
      <c r="C201" s="53" t="s">
        <v>454</v>
      </c>
      <c r="D201" s="54" t="s">
        <v>7643</v>
      </c>
      <c r="E201" s="50">
        <f t="shared" si="6"/>
        <v>2.6986301400000001</v>
      </c>
      <c r="F201" s="51">
        <f t="shared" si="6"/>
        <v>3.8167590699999998</v>
      </c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</row>
    <row r="202" spans="1:28" x14ac:dyDescent="0.15">
      <c r="A202" s="46" t="s">
        <v>455</v>
      </c>
      <c r="B202" s="52" t="s">
        <v>7361</v>
      </c>
      <c r="C202" s="53" t="s">
        <v>456</v>
      </c>
      <c r="D202" s="54" t="s">
        <v>7644</v>
      </c>
      <c r="E202" s="50">
        <f t="shared" si="6"/>
        <v>2.7123287700000001</v>
      </c>
      <c r="F202" s="51">
        <f t="shared" si="6"/>
        <v>3.8167091800000001</v>
      </c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</row>
    <row r="203" spans="1:28" x14ac:dyDescent="0.15">
      <c r="A203" s="46" t="s">
        <v>457</v>
      </c>
      <c r="B203" s="52" t="s">
        <v>7361</v>
      </c>
      <c r="C203" s="53" t="s">
        <v>458</v>
      </c>
      <c r="D203" s="54" t="s">
        <v>7645</v>
      </c>
      <c r="E203" s="50">
        <f t="shared" si="6"/>
        <v>2.7260274</v>
      </c>
      <c r="F203" s="51">
        <f t="shared" si="6"/>
        <v>3.81666208</v>
      </c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</row>
    <row r="204" spans="1:28" x14ac:dyDescent="0.15">
      <c r="A204" s="46" t="s">
        <v>459</v>
      </c>
      <c r="B204" s="52" t="s">
        <v>7361</v>
      </c>
      <c r="C204" s="53" t="s">
        <v>460</v>
      </c>
      <c r="D204" s="54" t="s">
        <v>7646</v>
      </c>
      <c r="E204" s="50">
        <f t="shared" si="6"/>
        <v>2.7397260299999999</v>
      </c>
      <c r="F204" s="51">
        <f t="shared" si="6"/>
        <v>3.8166177299999999</v>
      </c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</row>
    <row r="205" spans="1:28" x14ac:dyDescent="0.15">
      <c r="A205" s="46" t="s">
        <v>461</v>
      </c>
      <c r="B205" s="52" t="s">
        <v>7361</v>
      </c>
      <c r="C205" s="53" t="s">
        <v>462</v>
      </c>
      <c r="D205" s="54" t="s">
        <v>7647</v>
      </c>
      <c r="E205" s="50">
        <f t="shared" si="6"/>
        <v>2.7534246599999999</v>
      </c>
      <c r="F205" s="51">
        <f t="shared" si="6"/>
        <v>3.8165760799999999</v>
      </c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</row>
    <row r="206" spans="1:28" x14ac:dyDescent="0.15">
      <c r="A206" s="46" t="s">
        <v>463</v>
      </c>
      <c r="B206" s="52" t="s">
        <v>7361</v>
      </c>
      <c r="C206" s="53" t="s">
        <v>464</v>
      </c>
      <c r="D206" s="54" t="s">
        <v>7648</v>
      </c>
      <c r="E206" s="50">
        <f t="shared" si="6"/>
        <v>2.7671232899999998</v>
      </c>
      <c r="F206" s="51">
        <f t="shared" si="6"/>
        <v>3.8165370900000002</v>
      </c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</row>
    <row r="207" spans="1:28" x14ac:dyDescent="0.15">
      <c r="A207" s="46" t="s">
        <v>465</v>
      </c>
      <c r="B207" s="52" t="s">
        <v>7361</v>
      </c>
      <c r="C207" s="53" t="s">
        <v>466</v>
      </c>
      <c r="D207" s="54" t="s">
        <v>7649</v>
      </c>
      <c r="E207" s="50">
        <f t="shared" si="6"/>
        <v>2.7808219200000002</v>
      </c>
      <c r="F207" s="51">
        <f t="shared" si="6"/>
        <v>3.8165007100000001</v>
      </c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</row>
    <row r="208" spans="1:28" x14ac:dyDescent="0.15">
      <c r="A208" s="46" t="s">
        <v>467</v>
      </c>
      <c r="B208" s="52" t="s">
        <v>7361</v>
      </c>
      <c r="C208" s="53" t="s">
        <v>468</v>
      </c>
      <c r="D208" s="54" t="s">
        <v>7650</v>
      </c>
      <c r="E208" s="50">
        <f t="shared" ref="E208:F238" si="7">VALUE(C208)</f>
        <v>2.7945205500000001</v>
      </c>
      <c r="F208" s="51">
        <f t="shared" si="7"/>
        <v>3.8164668900000001</v>
      </c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</row>
    <row r="209" spans="1:28" x14ac:dyDescent="0.15">
      <c r="A209" s="46" t="s">
        <v>469</v>
      </c>
      <c r="B209" s="52" t="s">
        <v>7361</v>
      </c>
      <c r="C209" s="53" t="s">
        <v>470</v>
      </c>
      <c r="D209" s="54" t="s">
        <v>7651</v>
      </c>
      <c r="E209" s="50">
        <f t="shared" si="7"/>
        <v>2.80821918</v>
      </c>
      <c r="F209" s="51">
        <f t="shared" si="7"/>
        <v>3.8164356000000002</v>
      </c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</row>
    <row r="210" spans="1:28" x14ac:dyDescent="0.15">
      <c r="A210" s="46" t="s">
        <v>471</v>
      </c>
      <c r="B210" s="52" t="s">
        <v>7361</v>
      </c>
      <c r="C210" s="53" t="s">
        <v>472</v>
      </c>
      <c r="D210" s="54" t="s">
        <v>7652</v>
      </c>
      <c r="E210" s="50">
        <f t="shared" si="7"/>
        <v>2.82191781</v>
      </c>
      <c r="F210" s="51">
        <f t="shared" si="7"/>
        <v>3.8164067699999999</v>
      </c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</row>
    <row r="211" spans="1:28" x14ac:dyDescent="0.15">
      <c r="A211" s="46" t="s">
        <v>473</v>
      </c>
      <c r="B211" s="52" t="s">
        <v>7361</v>
      </c>
      <c r="C211" s="53" t="s">
        <v>474</v>
      </c>
      <c r="D211" s="54" t="s">
        <v>7653</v>
      </c>
      <c r="E211" s="50">
        <f t="shared" si="7"/>
        <v>2.8356164399999999</v>
      </c>
      <c r="F211" s="51">
        <f t="shared" si="7"/>
        <v>3.8163803700000001</v>
      </c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</row>
    <row r="212" spans="1:28" x14ac:dyDescent="0.15">
      <c r="A212" s="46" t="s">
        <v>475</v>
      </c>
      <c r="B212" s="52" t="s">
        <v>7361</v>
      </c>
      <c r="C212" s="53" t="s">
        <v>476</v>
      </c>
      <c r="D212" s="54" t="s">
        <v>7654</v>
      </c>
      <c r="E212" s="50">
        <f t="shared" si="7"/>
        <v>2.8493150699999998</v>
      </c>
      <c r="F212" s="51">
        <f t="shared" si="7"/>
        <v>3.81635635</v>
      </c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</row>
    <row r="213" spans="1:28" x14ac:dyDescent="0.15">
      <c r="A213" s="46" t="s">
        <v>477</v>
      </c>
      <c r="B213" s="52" t="s">
        <v>7361</v>
      </c>
      <c r="C213" s="53" t="s">
        <v>478</v>
      </c>
      <c r="D213" s="54" t="s">
        <v>7655</v>
      </c>
      <c r="E213" s="50">
        <f t="shared" si="7"/>
        <v>2.8630137000000002</v>
      </c>
      <c r="F213" s="51">
        <f t="shared" si="7"/>
        <v>3.8163346599999999</v>
      </c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</row>
    <row r="214" spans="1:28" x14ac:dyDescent="0.15">
      <c r="A214" s="46" t="s">
        <v>479</v>
      </c>
      <c r="B214" s="52" t="s">
        <v>7361</v>
      </c>
      <c r="C214" s="53" t="s">
        <v>480</v>
      </c>
      <c r="D214" s="54" t="s">
        <v>7656</v>
      </c>
      <c r="E214" s="50">
        <f t="shared" si="7"/>
        <v>2.8767123300000002</v>
      </c>
      <c r="F214" s="51">
        <f t="shared" si="7"/>
        <v>3.8163152500000002</v>
      </c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</row>
    <row r="215" spans="1:28" x14ac:dyDescent="0.15">
      <c r="A215" s="46" t="s">
        <v>481</v>
      </c>
      <c r="B215" s="52" t="s">
        <v>7361</v>
      </c>
      <c r="C215" s="53" t="s">
        <v>482</v>
      </c>
      <c r="D215" s="54" t="s">
        <v>7657</v>
      </c>
      <c r="E215" s="50">
        <f t="shared" si="7"/>
        <v>2.8904109600000001</v>
      </c>
      <c r="F215" s="51">
        <f t="shared" si="7"/>
        <v>3.8162980900000001</v>
      </c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</row>
    <row r="216" spans="1:28" x14ac:dyDescent="0.15">
      <c r="A216" s="46" t="s">
        <v>483</v>
      </c>
      <c r="B216" s="52" t="s">
        <v>7361</v>
      </c>
      <c r="C216" s="53" t="s">
        <v>484</v>
      </c>
      <c r="D216" s="54" t="s">
        <v>7658</v>
      </c>
      <c r="E216" s="50">
        <f t="shared" si="7"/>
        <v>2.90410959</v>
      </c>
      <c r="F216" s="51">
        <f t="shared" si="7"/>
        <v>3.8162831100000001</v>
      </c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</row>
    <row r="217" spans="1:28" x14ac:dyDescent="0.15">
      <c r="A217" s="46" t="s">
        <v>485</v>
      </c>
      <c r="B217" s="52" t="s">
        <v>7361</v>
      </c>
      <c r="C217" s="53" t="s">
        <v>486</v>
      </c>
      <c r="D217" s="54" t="s">
        <v>7659</v>
      </c>
      <c r="E217" s="50">
        <f t="shared" si="7"/>
        <v>2.91780822</v>
      </c>
      <c r="F217" s="51">
        <f t="shared" si="7"/>
        <v>3.8162702899999998</v>
      </c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</row>
    <row r="218" spans="1:28" x14ac:dyDescent="0.15">
      <c r="A218" s="46" t="s">
        <v>487</v>
      </c>
      <c r="B218" s="52" t="s">
        <v>7361</v>
      </c>
      <c r="C218" s="53" t="s">
        <v>488</v>
      </c>
      <c r="D218" s="54" t="s">
        <v>7660</v>
      </c>
      <c r="E218" s="50">
        <f t="shared" si="7"/>
        <v>2.9315068499999999</v>
      </c>
      <c r="F218" s="51">
        <f t="shared" si="7"/>
        <v>3.8162595600000002</v>
      </c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</row>
    <row r="219" spans="1:28" x14ac:dyDescent="0.15">
      <c r="A219" s="46" t="s">
        <v>489</v>
      </c>
      <c r="B219" s="52" t="s">
        <v>7361</v>
      </c>
      <c r="C219" s="53" t="s">
        <v>490</v>
      </c>
      <c r="D219" s="54" t="s">
        <v>7661</v>
      </c>
      <c r="E219" s="50">
        <f t="shared" si="7"/>
        <v>2.9452054799999998</v>
      </c>
      <c r="F219" s="51">
        <f t="shared" si="7"/>
        <v>3.8162508900000001</v>
      </c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</row>
    <row r="220" spans="1:28" x14ac:dyDescent="0.15">
      <c r="A220" s="46" t="s">
        <v>491</v>
      </c>
      <c r="B220" s="52" t="s">
        <v>7361</v>
      </c>
      <c r="C220" s="53" t="s">
        <v>492</v>
      </c>
      <c r="D220" s="54" t="s">
        <v>7662</v>
      </c>
      <c r="E220" s="50">
        <f t="shared" si="7"/>
        <v>2.9589041100000002</v>
      </c>
      <c r="F220" s="51">
        <f t="shared" si="7"/>
        <v>3.8162442300000001</v>
      </c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</row>
    <row r="221" spans="1:28" x14ac:dyDescent="0.15">
      <c r="A221" s="46" t="s">
        <v>493</v>
      </c>
      <c r="B221" s="52" t="s">
        <v>7361</v>
      </c>
      <c r="C221" s="53" t="s">
        <v>494</v>
      </c>
      <c r="D221" s="54" t="s">
        <v>7663</v>
      </c>
      <c r="E221" s="50">
        <f t="shared" si="7"/>
        <v>2.9726027400000001</v>
      </c>
      <c r="F221" s="51">
        <f t="shared" si="7"/>
        <v>3.8162395299999998</v>
      </c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</row>
    <row r="222" spans="1:28" x14ac:dyDescent="0.15">
      <c r="A222" s="46" t="s">
        <v>495</v>
      </c>
      <c r="B222" s="52" t="s">
        <v>7361</v>
      </c>
      <c r="C222" s="53" t="s">
        <v>496</v>
      </c>
      <c r="D222" s="54" t="s">
        <v>7664</v>
      </c>
      <c r="E222" s="50">
        <f t="shared" si="7"/>
        <v>2.9863013700000001</v>
      </c>
      <c r="F222" s="51">
        <f t="shared" si="7"/>
        <v>3.8162367399999999</v>
      </c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</row>
    <row r="223" spans="1:28" x14ac:dyDescent="0.15">
      <c r="A223" s="46" t="s">
        <v>497</v>
      </c>
      <c r="B223" s="52" t="s">
        <v>7361</v>
      </c>
      <c r="C223" s="53" t="s">
        <v>498</v>
      </c>
      <c r="D223" s="54" t="s">
        <v>7665</v>
      </c>
      <c r="E223" s="50">
        <f t="shared" si="7"/>
        <v>3</v>
      </c>
      <c r="F223" s="51">
        <f t="shared" si="7"/>
        <v>3.8162358200000002</v>
      </c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</row>
    <row r="224" spans="1:28" x14ac:dyDescent="0.15">
      <c r="A224" s="46" t="s">
        <v>499</v>
      </c>
      <c r="B224" s="52" t="s">
        <v>7361</v>
      </c>
      <c r="C224" s="53" t="s">
        <v>500</v>
      </c>
      <c r="D224" s="54" t="s">
        <v>7666</v>
      </c>
      <c r="E224" s="50">
        <f t="shared" si="7"/>
        <v>3.0136986299999999</v>
      </c>
      <c r="F224" s="51">
        <f t="shared" si="7"/>
        <v>3.8162470100000001</v>
      </c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</row>
    <row r="225" spans="1:28" x14ac:dyDescent="0.15">
      <c r="A225" s="46" t="s">
        <v>501</v>
      </c>
      <c r="B225" s="52" t="s">
        <v>7361</v>
      </c>
      <c r="C225" s="53" t="s">
        <v>502</v>
      </c>
      <c r="D225" s="54" t="s">
        <v>7667</v>
      </c>
      <c r="E225" s="50">
        <f t="shared" si="7"/>
        <v>3.0273972599999999</v>
      </c>
      <c r="F225" s="51">
        <f t="shared" si="7"/>
        <v>3.8162799600000001</v>
      </c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</row>
    <row r="226" spans="1:28" x14ac:dyDescent="0.15">
      <c r="A226" s="46" t="s">
        <v>503</v>
      </c>
      <c r="B226" s="52" t="s">
        <v>7361</v>
      </c>
      <c r="C226" s="53" t="s">
        <v>504</v>
      </c>
      <c r="D226" s="54" t="s">
        <v>7668</v>
      </c>
      <c r="E226" s="50">
        <f t="shared" si="7"/>
        <v>3.0410958899999998</v>
      </c>
      <c r="F226" s="51">
        <f t="shared" si="7"/>
        <v>3.8163337400000001</v>
      </c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</row>
    <row r="227" spans="1:28" x14ac:dyDescent="0.15">
      <c r="A227" s="46" t="s">
        <v>505</v>
      </c>
      <c r="B227" s="52" t="s">
        <v>7361</v>
      </c>
      <c r="C227" s="53" t="s">
        <v>506</v>
      </c>
      <c r="D227" s="54" t="s">
        <v>7669</v>
      </c>
      <c r="E227" s="50">
        <f t="shared" si="7"/>
        <v>3.0547945200000002</v>
      </c>
      <c r="F227" s="51">
        <f t="shared" si="7"/>
        <v>3.8164074100000001</v>
      </c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</row>
    <row r="228" spans="1:28" x14ac:dyDescent="0.15">
      <c r="A228" s="46" t="s">
        <v>507</v>
      </c>
      <c r="B228" s="52" t="s">
        <v>7361</v>
      </c>
      <c r="C228" s="53" t="s">
        <v>508</v>
      </c>
      <c r="D228" s="54" t="s">
        <v>7670</v>
      </c>
      <c r="E228" s="50">
        <f t="shared" si="7"/>
        <v>3.0684931500000001</v>
      </c>
      <c r="F228" s="51">
        <f t="shared" si="7"/>
        <v>3.8165000400000002</v>
      </c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</row>
    <row r="229" spans="1:28" x14ac:dyDescent="0.15">
      <c r="A229" s="46" t="s">
        <v>509</v>
      </c>
      <c r="B229" s="52" t="s">
        <v>7361</v>
      </c>
      <c r="C229" s="53" t="s">
        <v>510</v>
      </c>
      <c r="D229" s="54" t="s">
        <v>7671</v>
      </c>
      <c r="E229" s="50">
        <f t="shared" si="7"/>
        <v>3.08219178</v>
      </c>
      <c r="F229" s="51">
        <f t="shared" si="7"/>
        <v>3.8166107</v>
      </c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</row>
    <row r="230" spans="1:28" x14ac:dyDescent="0.15">
      <c r="A230" s="46" t="s">
        <v>511</v>
      </c>
      <c r="B230" s="52" t="s">
        <v>7361</v>
      </c>
      <c r="C230" s="53" t="s">
        <v>512</v>
      </c>
      <c r="D230" s="54" t="s">
        <v>7672</v>
      </c>
      <c r="E230" s="50">
        <f t="shared" si="7"/>
        <v>3.09589041</v>
      </c>
      <c r="F230" s="51">
        <f t="shared" si="7"/>
        <v>3.8167384599999998</v>
      </c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</row>
    <row r="231" spans="1:28" x14ac:dyDescent="0.15">
      <c r="A231" s="46" t="s">
        <v>513</v>
      </c>
      <c r="B231" s="52" t="s">
        <v>7361</v>
      </c>
      <c r="C231" s="53" t="s">
        <v>514</v>
      </c>
      <c r="D231" s="54" t="s">
        <v>7673</v>
      </c>
      <c r="E231" s="50">
        <f t="shared" si="7"/>
        <v>3.1095890399999999</v>
      </c>
      <c r="F231" s="51">
        <f t="shared" si="7"/>
        <v>3.81688238</v>
      </c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</row>
    <row r="232" spans="1:28" x14ac:dyDescent="0.15">
      <c r="A232" s="46" t="s">
        <v>515</v>
      </c>
      <c r="B232" s="52" t="s">
        <v>7361</v>
      </c>
      <c r="C232" s="53" t="s">
        <v>516</v>
      </c>
      <c r="D232" s="54" t="s">
        <v>7674</v>
      </c>
      <c r="E232" s="50">
        <f t="shared" si="7"/>
        <v>3.1232876699999998</v>
      </c>
      <c r="F232" s="51">
        <f t="shared" si="7"/>
        <v>3.81704153</v>
      </c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</row>
    <row r="233" spans="1:28" x14ac:dyDescent="0.15">
      <c r="A233" s="46" t="s">
        <v>517</v>
      </c>
      <c r="B233" s="52" t="s">
        <v>7361</v>
      </c>
      <c r="C233" s="53" t="s">
        <v>518</v>
      </c>
      <c r="D233" s="54" t="s">
        <v>7675</v>
      </c>
      <c r="E233" s="50">
        <f t="shared" si="7"/>
        <v>3.1369862999999998</v>
      </c>
      <c r="F233" s="51">
        <f t="shared" si="7"/>
        <v>3.8172149800000001</v>
      </c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</row>
    <row r="234" spans="1:28" x14ac:dyDescent="0.15">
      <c r="A234" s="46" t="s">
        <v>519</v>
      </c>
      <c r="B234" s="52" t="s">
        <v>7361</v>
      </c>
      <c r="C234" s="53" t="s">
        <v>520</v>
      </c>
      <c r="D234" s="54" t="s">
        <v>7676</v>
      </c>
      <c r="E234" s="50">
        <f t="shared" si="7"/>
        <v>3.1506849300000002</v>
      </c>
      <c r="F234" s="51">
        <f t="shared" si="7"/>
        <v>3.8174017999999998</v>
      </c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</row>
    <row r="235" spans="1:28" x14ac:dyDescent="0.15">
      <c r="A235" s="46" t="s">
        <v>521</v>
      </c>
      <c r="B235" s="52" t="s">
        <v>7361</v>
      </c>
      <c r="C235" s="53" t="s">
        <v>522</v>
      </c>
      <c r="D235" s="54" t="s">
        <v>7677</v>
      </c>
      <c r="E235" s="50">
        <f t="shared" si="7"/>
        <v>3.1643835600000001</v>
      </c>
      <c r="F235" s="51">
        <f t="shared" si="7"/>
        <v>3.8176010499999999</v>
      </c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</row>
    <row r="236" spans="1:28" x14ac:dyDescent="0.15">
      <c r="A236" s="46" t="s">
        <v>523</v>
      </c>
      <c r="B236" s="52" t="s">
        <v>7361</v>
      </c>
      <c r="C236" s="53" t="s">
        <v>524</v>
      </c>
      <c r="D236" s="54" t="s">
        <v>7678</v>
      </c>
      <c r="E236" s="50">
        <f t="shared" si="7"/>
        <v>3.17808219</v>
      </c>
      <c r="F236" s="51">
        <f t="shared" si="7"/>
        <v>3.8178117999999999</v>
      </c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</row>
    <row r="237" spans="1:28" x14ac:dyDescent="0.15">
      <c r="A237" s="46" t="s">
        <v>525</v>
      </c>
      <c r="B237" s="52" t="s">
        <v>7361</v>
      </c>
      <c r="C237" s="53" t="s">
        <v>526</v>
      </c>
      <c r="D237" s="54" t="s">
        <v>7679</v>
      </c>
      <c r="E237" s="50">
        <f t="shared" si="7"/>
        <v>3.19178082</v>
      </c>
      <c r="F237" s="51">
        <f t="shared" si="7"/>
        <v>3.8180331199999999</v>
      </c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</row>
    <row r="238" spans="1:28" x14ac:dyDescent="0.15">
      <c r="A238" s="46" t="s">
        <v>527</v>
      </c>
      <c r="B238" s="52" t="s">
        <v>7361</v>
      </c>
      <c r="C238" s="53" t="s">
        <v>528</v>
      </c>
      <c r="D238" s="54" t="s">
        <v>7680</v>
      </c>
      <c r="E238" s="50">
        <f t="shared" si="7"/>
        <v>3.2054794499999999</v>
      </c>
      <c r="F238" s="51">
        <f t="shared" si="7"/>
        <v>3.8182640800000001</v>
      </c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</row>
    <row r="239" spans="1:28" x14ac:dyDescent="0.15">
      <c r="A239" s="46" t="s">
        <v>529</v>
      </c>
      <c r="B239" s="52" t="s">
        <v>7361</v>
      </c>
      <c r="C239" s="53" t="s">
        <v>530</v>
      </c>
      <c r="D239" s="54" t="s">
        <v>7681</v>
      </c>
      <c r="E239" s="50">
        <f t="shared" ref="E239:F268" si="8">VALUE(C239)</f>
        <v>3.2191780799999998</v>
      </c>
      <c r="F239" s="51">
        <f t="shared" si="8"/>
        <v>3.8185037400000001</v>
      </c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</row>
    <row r="240" spans="1:28" x14ac:dyDescent="0.15">
      <c r="A240" s="46" t="s">
        <v>531</v>
      </c>
      <c r="B240" s="52" t="s">
        <v>7361</v>
      </c>
      <c r="C240" s="53" t="s">
        <v>532</v>
      </c>
      <c r="D240" s="54" t="s">
        <v>7682</v>
      </c>
      <c r="E240" s="50">
        <f t="shared" si="8"/>
        <v>3.2328767100000002</v>
      </c>
      <c r="F240" s="51">
        <f t="shared" si="8"/>
        <v>3.8187511700000001</v>
      </c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</row>
    <row r="241" spans="1:28" x14ac:dyDescent="0.15">
      <c r="A241" s="46" t="s">
        <v>533</v>
      </c>
      <c r="B241" s="52" t="s">
        <v>7361</v>
      </c>
      <c r="C241" s="53" t="s">
        <v>534</v>
      </c>
      <c r="D241" s="54" t="s">
        <v>7683</v>
      </c>
      <c r="E241" s="50">
        <f t="shared" si="8"/>
        <v>3.2465753400000001</v>
      </c>
      <c r="F241" s="51">
        <f t="shared" si="8"/>
        <v>3.8190054500000001</v>
      </c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</row>
    <row r="242" spans="1:28" x14ac:dyDescent="0.15">
      <c r="A242" s="46" t="s">
        <v>535</v>
      </c>
      <c r="B242" s="52" t="s">
        <v>7361</v>
      </c>
      <c r="C242" s="53" t="s">
        <v>536</v>
      </c>
      <c r="D242" s="54" t="s">
        <v>7684</v>
      </c>
      <c r="E242" s="50">
        <f t="shared" si="8"/>
        <v>3.2602739700000001</v>
      </c>
      <c r="F242" s="51">
        <f t="shared" si="8"/>
        <v>3.8192656199999999</v>
      </c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</row>
    <row r="243" spans="1:28" x14ac:dyDescent="0.15">
      <c r="A243" s="46" t="s">
        <v>537</v>
      </c>
      <c r="B243" s="52" t="s">
        <v>7361</v>
      </c>
      <c r="C243" s="53" t="s">
        <v>538</v>
      </c>
      <c r="D243" s="54" t="s">
        <v>7685</v>
      </c>
      <c r="E243" s="50">
        <f t="shared" si="8"/>
        <v>3.2739726</v>
      </c>
      <c r="F243" s="51">
        <f t="shared" si="8"/>
        <v>3.8195307700000001</v>
      </c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</row>
    <row r="244" spans="1:28" x14ac:dyDescent="0.15">
      <c r="A244" s="46" t="s">
        <v>539</v>
      </c>
      <c r="B244" s="52" t="s">
        <v>7361</v>
      </c>
      <c r="C244" s="53" t="s">
        <v>540</v>
      </c>
      <c r="D244" s="54" t="s">
        <v>7686</v>
      </c>
      <c r="E244" s="50">
        <f t="shared" si="8"/>
        <v>3.2876712299999999</v>
      </c>
      <c r="F244" s="51">
        <f t="shared" si="8"/>
        <v>3.8197999600000001</v>
      </c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</row>
    <row r="245" spans="1:28" x14ac:dyDescent="0.15">
      <c r="A245" s="46" t="s">
        <v>541</v>
      </c>
      <c r="B245" s="52" t="s">
        <v>7361</v>
      </c>
      <c r="C245" s="53" t="s">
        <v>542</v>
      </c>
      <c r="D245" s="54" t="s">
        <v>7687</v>
      </c>
      <c r="E245" s="50">
        <f t="shared" si="8"/>
        <v>3.3013698599999999</v>
      </c>
      <c r="F245" s="51">
        <f t="shared" si="8"/>
        <v>3.8200722599999999</v>
      </c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</row>
    <row r="246" spans="1:28" x14ac:dyDescent="0.15">
      <c r="A246" s="46" t="s">
        <v>543</v>
      </c>
      <c r="B246" s="52" t="s">
        <v>7361</v>
      </c>
      <c r="C246" s="53" t="s">
        <v>544</v>
      </c>
      <c r="D246" s="54" t="s">
        <v>7688</v>
      </c>
      <c r="E246" s="50">
        <f t="shared" si="8"/>
        <v>3.3150684899999998</v>
      </c>
      <c r="F246" s="51">
        <f t="shared" si="8"/>
        <v>3.8203467400000002</v>
      </c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</row>
    <row r="247" spans="1:28" x14ac:dyDescent="0.15">
      <c r="A247" s="46" t="s">
        <v>545</v>
      </c>
      <c r="B247" s="52" t="s">
        <v>7361</v>
      </c>
      <c r="C247" s="53" t="s">
        <v>546</v>
      </c>
      <c r="D247" s="54" t="s">
        <v>7689</v>
      </c>
      <c r="E247" s="50">
        <f t="shared" si="8"/>
        <v>3.3287671200000002</v>
      </c>
      <c r="F247" s="51">
        <f t="shared" si="8"/>
        <v>3.8206224600000001</v>
      </c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</row>
    <row r="248" spans="1:28" x14ac:dyDescent="0.15">
      <c r="A248" s="46" t="s">
        <v>547</v>
      </c>
      <c r="B248" s="52" t="s">
        <v>7361</v>
      </c>
      <c r="C248" s="53" t="s">
        <v>548</v>
      </c>
      <c r="D248" s="54" t="s">
        <v>7690</v>
      </c>
      <c r="E248" s="50">
        <f t="shared" si="8"/>
        <v>3.3424657500000001</v>
      </c>
      <c r="F248" s="51">
        <f t="shared" si="8"/>
        <v>3.8208984899999998</v>
      </c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</row>
    <row r="249" spans="1:28" x14ac:dyDescent="0.15">
      <c r="A249" s="46" t="s">
        <v>549</v>
      </c>
      <c r="B249" s="52" t="s">
        <v>7361</v>
      </c>
      <c r="C249" s="53" t="s">
        <v>550</v>
      </c>
      <c r="D249" s="54" t="s">
        <v>7691</v>
      </c>
      <c r="E249" s="50">
        <f t="shared" si="8"/>
        <v>3.3561643800000001</v>
      </c>
      <c r="F249" s="51">
        <f t="shared" si="8"/>
        <v>3.8211738999999998</v>
      </c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</row>
    <row r="250" spans="1:28" x14ac:dyDescent="0.15">
      <c r="A250" s="46" t="s">
        <v>551</v>
      </c>
      <c r="B250" s="52" t="s">
        <v>7361</v>
      </c>
      <c r="C250" s="53" t="s">
        <v>552</v>
      </c>
      <c r="D250" s="54" t="s">
        <v>7692</v>
      </c>
      <c r="E250" s="50">
        <f t="shared" si="8"/>
        <v>3.36986301</v>
      </c>
      <c r="F250" s="51">
        <f t="shared" si="8"/>
        <v>3.8214477499999999</v>
      </c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</row>
    <row r="251" spans="1:28" x14ac:dyDescent="0.15">
      <c r="A251" s="46" t="s">
        <v>553</v>
      </c>
      <c r="B251" s="52" t="s">
        <v>7361</v>
      </c>
      <c r="C251" s="53" t="s">
        <v>554</v>
      </c>
      <c r="D251" s="54" t="s">
        <v>7693</v>
      </c>
      <c r="E251" s="50">
        <f t="shared" si="8"/>
        <v>3.3835616399999999</v>
      </c>
      <c r="F251" s="51">
        <f t="shared" si="8"/>
        <v>3.82171912</v>
      </c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</row>
    <row r="252" spans="1:28" x14ac:dyDescent="0.15">
      <c r="A252" s="46" t="s">
        <v>555</v>
      </c>
      <c r="B252" s="52" t="s">
        <v>7361</v>
      </c>
      <c r="C252" s="53" t="s">
        <v>556</v>
      </c>
      <c r="D252" s="54" t="s">
        <v>7694</v>
      </c>
      <c r="E252" s="50">
        <f t="shared" si="8"/>
        <v>3.3972602699999999</v>
      </c>
      <c r="F252" s="51">
        <f t="shared" si="8"/>
        <v>3.82198707</v>
      </c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</row>
    <row r="253" spans="1:28" x14ac:dyDescent="0.15">
      <c r="A253" s="46" t="s">
        <v>557</v>
      </c>
      <c r="B253" s="52" t="s">
        <v>7361</v>
      </c>
      <c r="C253" s="53" t="s">
        <v>558</v>
      </c>
      <c r="D253" s="54" t="s">
        <v>7695</v>
      </c>
      <c r="E253" s="50">
        <f t="shared" si="8"/>
        <v>3.4109588999999998</v>
      </c>
      <c r="F253" s="51">
        <f t="shared" si="8"/>
        <v>3.8222506599999999</v>
      </c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</row>
    <row r="254" spans="1:28" x14ac:dyDescent="0.15">
      <c r="A254" s="46" t="s">
        <v>559</v>
      </c>
      <c r="B254" s="52" t="s">
        <v>7361</v>
      </c>
      <c r="C254" s="53" t="s">
        <v>560</v>
      </c>
      <c r="D254" s="54" t="s">
        <v>7696</v>
      </c>
      <c r="E254" s="50">
        <f t="shared" si="8"/>
        <v>3.4246575300000002</v>
      </c>
      <c r="F254" s="51">
        <f t="shared" si="8"/>
        <v>3.8225089799999998</v>
      </c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</row>
    <row r="255" spans="1:28" x14ac:dyDescent="0.15">
      <c r="A255" s="46" t="s">
        <v>561</v>
      </c>
      <c r="B255" s="52" t="s">
        <v>7361</v>
      </c>
      <c r="C255" s="53" t="s">
        <v>562</v>
      </c>
      <c r="D255" s="54" t="s">
        <v>7697</v>
      </c>
      <c r="E255" s="50">
        <f t="shared" si="8"/>
        <v>3.4383561600000001</v>
      </c>
      <c r="F255" s="51">
        <f t="shared" si="8"/>
        <v>3.8227610699999999</v>
      </c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</row>
    <row r="256" spans="1:28" x14ac:dyDescent="0.15">
      <c r="A256" s="46" t="s">
        <v>563</v>
      </c>
      <c r="B256" s="52" t="s">
        <v>7361</v>
      </c>
      <c r="C256" s="53" t="s">
        <v>564</v>
      </c>
      <c r="D256" s="54" t="s">
        <v>7698</v>
      </c>
      <c r="E256" s="50">
        <f t="shared" si="8"/>
        <v>3.45205479</v>
      </c>
      <c r="F256" s="51">
        <f t="shared" si="8"/>
        <v>3.8230060199999998</v>
      </c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</row>
    <row r="257" spans="1:28" x14ac:dyDescent="0.15">
      <c r="A257" s="46" t="s">
        <v>565</v>
      </c>
      <c r="B257" s="52" t="s">
        <v>7361</v>
      </c>
      <c r="C257" s="53" t="s">
        <v>566</v>
      </c>
      <c r="D257" s="54" t="s">
        <v>7699</v>
      </c>
      <c r="E257" s="50">
        <f t="shared" si="8"/>
        <v>3.46575342</v>
      </c>
      <c r="F257" s="51">
        <f t="shared" si="8"/>
        <v>3.82324288</v>
      </c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</row>
    <row r="258" spans="1:28" x14ac:dyDescent="0.15">
      <c r="A258" s="46" t="s">
        <v>567</v>
      </c>
      <c r="B258" s="52" t="s">
        <v>7361</v>
      </c>
      <c r="C258" s="53" t="s">
        <v>568</v>
      </c>
      <c r="D258" s="54" t="s">
        <v>7700</v>
      </c>
      <c r="E258" s="50">
        <f t="shared" si="8"/>
        <v>3.4794520499999999</v>
      </c>
      <c r="F258" s="51">
        <f t="shared" si="8"/>
        <v>3.8234707299999999</v>
      </c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</row>
    <row r="259" spans="1:28" x14ac:dyDescent="0.15">
      <c r="A259" s="46" t="s">
        <v>569</v>
      </c>
      <c r="B259" s="52" t="s">
        <v>7361</v>
      </c>
      <c r="C259" s="53" t="s">
        <v>570</v>
      </c>
      <c r="D259" s="54" t="s">
        <v>7701</v>
      </c>
      <c r="E259" s="50">
        <f t="shared" si="8"/>
        <v>3.4931506799999998</v>
      </c>
      <c r="F259" s="51">
        <f t="shared" si="8"/>
        <v>3.8236886299999999</v>
      </c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</row>
    <row r="260" spans="1:28" x14ac:dyDescent="0.15">
      <c r="A260" s="46" t="s">
        <v>571</v>
      </c>
      <c r="B260" s="52" t="s">
        <v>7361</v>
      </c>
      <c r="C260" s="53" t="s">
        <v>572</v>
      </c>
      <c r="D260" s="54" t="s">
        <v>7702</v>
      </c>
      <c r="E260" s="50">
        <f t="shared" si="8"/>
        <v>3.5068493200000002</v>
      </c>
      <c r="F260" s="51">
        <f t="shared" si="8"/>
        <v>3.8239011399999998</v>
      </c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</row>
    <row r="261" spans="1:28" x14ac:dyDescent="0.15">
      <c r="A261" s="46" t="s">
        <v>573</v>
      </c>
      <c r="B261" s="52" t="s">
        <v>7361</v>
      </c>
      <c r="C261" s="53" t="s">
        <v>574</v>
      </c>
      <c r="D261" s="54" t="s">
        <v>7703</v>
      </c>
      <c r="E261" s="50">
        <f t="shared" si="8"/>
        <v>3.5205479500000001</v>
      </c>
      <c r="F261" s="51">
        <f t="shared" si="8"/>
        <v>3.8241400699999999</v>
      </c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</row>
    <row r="262" spans="1:28" x14ac:dyDescent="0.15">
      <c r="A262" s="46" t="s">
        <v>575</v>
      </c>
      <c r="B262" s="52" t="s">
        <v>7361</v>
      </c>
      <c r="C262" s="53" t="s">
        <v>576</v>
      </c>
      <c r="D262" s="54" t="s">
        <v>7704</v>
      </c>
      <c r="E262" s="50">
        <f t="shared" si="8"/>
        <v>3.53424658</v>
      </c>
      <c r="F262" s="51">
        <f t="shared" si="8"/>
        <v>3.8244096000000001</v>
      </c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</row>
    <row r="263" spans="1:28" x14ac:dyDescent="0.15">
      <c r="A263" s="46" t="s">
        <v>577</v>
      </c>
      <c r="B263" s="52" t="s">
        <v>7361</v>
      </c>
      <c r="C263" s="53" t="s">
        <v>578</v>
      </c>
      <c r="D263" s="54" t="s">
        <v>7705</v>
      </c>
      <c r="E263" s="50">
        <f t="shared" si="8"/>
        <v>3.54794521</v>
      </c>
      <c r="F263" s="51">
        <f t="shared" si="8"/>
        <v>3.8247083700000002</v>
      </c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</row>
    <row r="264" spans="1:28" x14ac:dyDescent="0.15">
      <c r="A264" s="46" t="s">
        <v>579</v>
      </c>
      <c r="B264" s="52" t="s">
        <v>7361</v>
      </c>
      <c r="C264" s="53" t="s">
        <v>580</v>
      </c>
      <c r="D264" s="54" t="s">
        <v>7706</v>
      </c>
      <c r="E264" s="50">
        <f t="shared" si="8"/>
        <v>3.5616438399999999</v>
      </c>
      <c r="F264" s="51">
        <f t="shared" si="8"/>
        <v>3.8250350599999998</v>
      </c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</row>
    <row r="265" spans="1:28" x14ac:dyDescent="0.15">
      <c r="A265" s="46" t="s">
        <v>581</v>
      </c>
      <c r="B265" s="52" t="s">
        <v>7361</v>
      </c>
      <c r="C265" s="53" t="s">
        <v>582</v>
      </c>
      <c r="D265" s="54" t="s">
        <v>7707</v>
      </c>
      <c r="E265" s="50">
        <f t="shared" si="8"/>
        <v>3.5753424699999998</v>
      </c>
      <c r="F265" s="51">
        <f t="shared" si="8"/>
        <v>3.8253883200000001</v>
      </c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</row>
    <row r="266" spans="1:28" x14ac:dyDescent="0.15">
      <c r="A266" s="46" t="s">
        <v>583</v>
      </c>
      <c r="B266" s="52" t="s">
        <v>7361</v>
      </c>
      <c r="C266" s="53" t="s">
        <v>584</v>
      </c>
      <c r="D266" s="54" t="s">
        <v>7708</v>
      </c>
      <c r="E266" s="50">
        <f t="shared" si="8"/>
        <v>3.5890411000000002</v>
      </c>
      <c r="F266" s="51">
        <f t="shared" si="8"/>
        <v>3.8257668100000002</v>
      </c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</row>
    <row r="267" spans="1:28" x14ac:dyDescent="0.15">
      <c r="A267" s="46" t="s">
        <v>585</v>
      </c>
      <c r="B267" s="52" t="s">
        <v>7361</v>
      </c>
      <c r="C267" s="53" t="s">
        <v>586</v>
      </c>
      <c r="D267" s="54" t="s">
        <v>7709</v>
      </c>
      <c r="E267" s="50">
        <f t="shared" si="8"/>
        <v>3.6027397300000001</v>
      </c>
      <c r="F267" s="51">
        <f t="shared" si="8"/>
        <v>3.8261691899999999</v>
      </c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</row>
    <row r="268" spans="1:28" x14ac:dyDescent="0.15">
      <c r="A268" s="46" t="s">
        <v>587</v>
      </c>
      <c r="B268" s="52" t="s">
        <v>7361</v>
      </c>
      <c r="C268" s="53" t="s">
        <v>588</v>
      </c>
      <c r="D268" s="54" t="s">
        <v>7710</v>
      </c>
      <c r="E268" s="50">
        <f t="shared" si="8"/>
        <v>3.6164383600000001</v>
      </c>
      <c r="F268" s="51">
        <f t="shared" si="8"/>
        <v>3.8265941200000002</v>
      </c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</row>
    <row r="269" spans="1:28" x14ac:dyDescent="0.15">
      <c r="A269" s="46" t="s">
        <v>589</v>
      </c>
      <c r="B269" s="52" t="s">
        <v>7361</v>
      </c>
      <c r="C269" s="53" t="s">
        <v>590</v>
      </c>
      <c r="D269" s="54" t="s">
        <v>7711</v>
      </c>
      <c r="E269" s="50">
        <f t="shared" ref="E269:F299" si="9">VALUE(C269)</f>
        <v>3.63013699</v>
      </c>
      <c r="F269" s="51">
        <f t="shared" si="9"/>
        <v>3.8270402699999999</v>
      </c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</row>
    <row r="270" spans="1:28" x14ac:dyDescent="0.15">
      <c r="A270" s="46" t="s">
        <v>591</v>
      </c>
      <c r="B270" s="52" t="s">
        <v>7361</v>
      </c>
      <c r="C270" s="53" t="s">
        <v>592</v>
      </c>
      <c r="D270" s="54" t="s">
        <v>7712</v>
      </c>
      <c r="E270" s="50">
        <f t="shared" si="9"/>
        <v>3.6438356199999999</v>
      </c>
      <c r="F270" s="51">
        <f t="shared" si="9"/>
        <v>3.8275062800000001</v>
      </c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</row>
    <row r="271" spans="1:28" x14ac:dyDescent="0.15">
      <c r="A271" s="46" t="s">
        <v>593</v>
      </c>
      <c r="B271" s="52" t="s">
        <v>7361</v>
      </c>
      <c r="C271" s="53" t="s">
        <v>594</v>
      </c>
      <c r="D271" s="54" t="s">
        <v>7713</v>
      </c>
      <c r="E271" s="50">
        <f t="shared" si="9"/>
        <v>3.6575342499999999</v>
      </c>
      <c r="F271" s="51">
        <f t="shared" si="9"/>
        <v>3.8279908300000001</v>
      </c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</row>
    <row r="272" spans="1:28" x14ac:dyDescent="0.15">
      <c r="A272" s="46" t="s">
        <v>595</v>
      </c>
      <c r="B272" s="52" t="s">
        <v>7361</v>
      </c>
      <c r="C272" s="53" t="s">
        <v>596</v>
      </c>
      <c r="D272" s="54" t="s">
        <v>7714</v>
      </c>
      <c r="E272" s="50">
        <f t="shared" si="9"/>
        <v>3.6712328799999998</v>
      </c>
      <c r="F272" s="51">
        <f t="shared" si="9"/>
        <v>3.8284925799999998</v>
      </c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</row>
    <row r="273" spans="1:28" x14ac:dyDescent="0.15">
      <c r="A273" s="46" t="s">
        <v>597</v>
      </c>
      <c r="B273" s="52" t="s">
        <v>7361</v>
      </c>
      <c r="C273" s="53" t="s">
        <v>598</v>
      </c>
      <c r="D273" s="54" t="s">
        <v>7715</v>
      </c>
      <c r="E273" s="50">
        <f t="shared" si="9"/>
        <v>3.6849315100000002</v>
      </c>
      <c r="F273" s="51">
        <f t="shared" si="9"/>
        <v>3.8290101700000001</v>
      </c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</row>
    <row r="274" spans="1:28" x14ac:dyDescent="0.15">
      <c r="A274" s="46" t="s">
        <v>599</v>
      </c>
      <c r="B274" s="52" t="s">
        <v>7361</v>
      </c>
      <c r="C274" s="53" t="s">
        <v>600</v>
      </c>
      <c r="D274" s="54" t="s">
        <v>7716</v>
      </c>
      <c r="E274" s="50">
        <f t="shared" si="9"/>
        <v>3.6986301400000001</v>
      </c>
      <c r="F274" s="51">
        <f t="shared" si="9"/>
        <v>3.8295422800000001</v>
      </c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</row>
    <row r="275" spans="1:28" x14ac:dyDescent="0.15">
      <c r="A275" s="46" t="s">
        <v>601</v>
      </c>
      <c r="B275" s="52" t="s">
        <v>7361</v>
      </c>
      <c r="C275" s="53" t="s">
        <v>602</v>
      </c>
      <c r="D275" s="54" t="s">
        <v>7717</v>
      </c>
      <c r="E275" s="50">
        <f t="shared" si="9"/>
        <v>3.7123287700000001</v>
      </c>
      <c r="F275" s="51">
        <f t="shared" si="9"/>
        <v>3.8300875699999999</v>
      </c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</row>
    <row r="276" spans="1:28" x14ac:dyDescent="0.15">
      <c r="A276" s="46" t="s">
        <v>603</v>
      </c>
      <c r="B276" s="52" t="s">
        <v>7361</v>
      </c>
      <c r="C276" s="53" t="s">
        <v>604</v>
      </c>
      <c r="D276" s="54" t="s">
        <v>7718</v>
      </c>
      <c r="E276" s="50">
        <f t="shared" si="9"/>
        <v>3.7260274</v>
      </c>
      <c r="F276" s="51">
        <f t="shared" si="9"/>
        <v>3.8306446799999998</v>
      </c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</row>
    <row r="277" spans="1:28" x14ac:dyDescent="0.15">
      <c r="A277" s="46" t="s">
        <v>605</v>
      </c>
      <c r="B277" s="52" t="s">
        <v>7361</v>
      </c>
      <c r="C277" s="53" t="s">
        <v>606</v>
      </c>
      <c r="D277" s="54" t="s">
        <v>7719</v>
      </c>
      <c r="E277" s="50">
        <f t="shared" si="9"/>
        <v>3.7397260299999999</v>
      </c>
      <c r="F277" s="51">
        <f t="shared" si="9"/>
        <v>3.8312122999999998</v>
      </c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</row>
    <row r="278" spans="1:28" x14ac:dyDescent="0.15">
      <c r="A278" s="46" t="s">
        <v>607</v>
      </c>
      <c r="B278" s="52" t="s">
        <v>7361</v>
      </c>
      <c r="C278" s="53" t="s">
        <v>608</v>
      </c>
      <c r="D278" s="54" t="s">
        <v>7720</v>
      </c>
      <c r="E278" s="50">
        <f t="shared" si="9"/>
        <v>3.7534246599999999</v>
      </c>
      <c r="F278" s="51">
        <f t="shared" si="9"/>
        <v>3.8317890600000002</v>
      </c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</row>
    <row r="279" spans="1:28" x14ac:dyDescent="0.15">
      <c r="A279" s="46" t="s">
        <v>609</v>
      </c>
      <c r="B279" s="52" t="s">
        <v>7361</v>
      </c>
      <c r="C279" s="53" t="s">
        <v>610</v>
      </c>
      <c r="D279" s="54" t="s">
        <v>7721</v>
      </c>
      <c r="E279" s="50">
        <f t="shared" si="9"/>
        <v>3.7671232899999998</v>
      </c>
      <c r="F279" s="51">
        <f t="shared" si="9"/>
        <v>3.8323736400000001</v>
      </c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</row>
    <row r="280" spans="1:28" x14ac:dyDescent="0.15">
      <c r="A280" s="46" t="s">
        <v>611</v>
      </c>
      <c r="B280" s="52" t="s">
        <v>7361</v>
      </c>
      <c r="C280" s="53" t="s">
        <v>612</v>
      </c>
      <c r="D280" s="54" t="s">
        <v>7722</v>
      </c>
      <c r="E280" s="50">
        <f t="shared" si="9"/>
        <v>3.7808219200000002</v>
      </c>
      <c r="F280" s="51">
        <f t="shared" si="9"/>
        <v>3.8329646999999998</v>
      </c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</row>
    <row r="281" spans="1:28" x14ac:dyDescent="0.15">
      <c r="A281" s="46" t="s">
        <v>613</v>
      </c>
      <c r="B281" s="52" t="s">
        <v>7361</v>
      </c>
      <c r="C281" s="53" t="s">
        <v>614</v>
      </c>
      <c r="D281" s="54" t="s">
        <v>7723</v>
      </c>
      <c r="E281" s="50">
        <f t="shared" si="9"/>
        <v>3.7945205500000001</v>
      </c>
      <c r="F281" s="51">
        <f t="shared" si="9"/>
        <v>3.8335609000000002</v>
      </c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</row>
    <row r="282" spans="1:28" x14ac:dyDescent="0.15">
      <c r="A282" s="46" t="s">
        <v>615</v>
      </c>
      <c r="B282" s="52" t="s">
        <v>7361</v>
      </c>
      <c r="C282" s="53" t="s">
        <v>616</v>
      </c>
      <c r="D282" s="54" t="s">
        <v>7724</v>
      </c>
      <c r="E282" s="50">
        <f t="shared" si="9"/>
        <v>3.80821918</v>
      </c>
      <c r="F282" s="51">
        <f t="shared" si="9"/>
        <v>3.8341608800000002</v>
      </c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</row>
    <row r="283" spans="1:28" x14ac:dyDescent="0.15">
      <c r="A283" s="46" t="s">
        <v>617</v>
      </c>
      <c r="B283" s="52" t="s">
        <v>7361</v>
      </c>
      <c r="C283" s="53" t="s">
        <v>618</v>
      </c>
      <c r="D283" s="54" t="s">
        <v>7725</v>
      </c>
      <c r="E283" s="50">
        <f t="shared" si="9"/>
        <v>3.82191781</v>
      </c>
      <c r="F283" s="51">
        <f t="shared" si="9"/>
        <v>3.8347633299999999</v>
      </c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</row>
    <row r="284" spans="1:28" x14ac:dyDescent="0.15">
      <c r="A284" s="46" t="s">
        <v>619</v>
      </c>
      <c r="B284" s="52" t="s">
        <v>7361</v>
      </c>
      <c r="C284" s="53" t="s">
        <v>620</v>
      </c>
      <c r="D284" s="54" t="s">
        <v>7726</v>
      </c>
      <c r="E284" s="50">
        <f t="shared" si="9"/>
        <v>3.8356164399999999</v>
      </c>
      <c r="F284" s="51">
        <f t="shared" si="9"/>
        <v>3.83536689</v>
      </c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</row>
    <row r="285" spans="1:28" x14ac:dyDescent="0.15">
      <c r="A285" s="46" t="s">
        <v>621</v>
      </c>
      <c r="B285" s="52" t="s">
        <v>7361</v>
      </c>
      <c r="C285" s="53" t="s">
        <v>622</v>
      </c>
      <c r="D285" s="54" t="s">
        <v>7727</v>
      </c>
      <c r="E285" s="50">
        <f t="shared" si="9"/>
        <v>3.8493150699999998</v>
      </c>
      <c r="F285" s="51">
        <f t="shared" si="9"/>
        <v>3.83597023</v>
      </c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</row>
    <row r="286" spans="1:28" x14ac:dyDescent="0.15">
      <c r="A286" s="46" t="s">
        <v>623</v>
      </c>
      <c r="B286" s="52" t="s">
        <v>7361</v>
      </c>
      <c r="C286" s="53" t="s">
        <v>624</v>
      </c>
      <c r="D286" s="54" t="s">
        <v>7728</v>
      </c>
      <c r="E286" s="50">
        <f t="shared" si="9"/>
        <v>3.8630137000000002</v>
      </c>
      <c r="F286" s="51">
        <f t="shared" si="9"/>
        <v>3.8365719999999999</v>
      </c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</row>
    <row r="287" spans="1:28" x14ac:dyDescent="0.15">
      <c r="A287" s="46" t="s">
        <v>625</v>
      </c>
      <c r="B287" s="52" t="s">
        <v>7361</v>
      </c>
      <c r="C287" s="53" t="s">
        <v>626</v>
      </c>
      <c r="D287" s="54" t="s">
        <v>7729</v>
      </c>
      <c r="E287" s="50">
        <f t="shared" si="9"/>
        <v>3.8767123300000002</v>
      </c>
      <c r="F287" s="51">
        <f t="shared" si="9"/>
        <v>3.83717087</v>
      </c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</row>
    <row r="288" spans="1:28" x14ac:dyDescent="0.15">
      <c r="A288" s="46" t="s">
        <v>627</v>
      </c>
      <c r="B288" s="52" t="s">
        <v>7361</v>
      </c>
      <c r="C288" s="53" t="s">
        <v>628</v>
      </c>
      <c r="D288" s="54" t="s">
        <v>7730</v>
      </c>
      <c r="E288" s="50">
        <f t="shared" si="9"/>
        <v>3.8904109600000001</v>
      </c>
      <c r="F288" s="51">
        <f t="shared" si="9"/>
        <v>3.8377655000000002</v>
      </c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</row>
    <row r="289" spans="1:28" x14ac:dyDescent="0.15">
      <c r="A289" s="46" t="s">
        <v>629</v>
      </c>
      <c r="B289" s="52" t="s">
        <v>7361</v>
      </c>
      <c r="C289" s="53" t="s">
        <v>630</v>
      </c>
      <c r="D289" s="54" t="s">
        <v>7731</v>
      </c>
      <c r="E289" s="50">
        <f t="shared" si="9"/>
        <v>3.90410959</v>
      </c>
      <c r="F289" s="51">
        <f t="shared" si="9"/>
        <v>3.83835455</v>
      </c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</row>
    <row r="290" spans="1:28" x14ac:dyDescent="0.15">
      <c r="A290" s="46" t="s">
        <v>631</v>
      </c>
      <c r="B290" s="52" t="s">
        <v>7361</v>
      </c>
      <c r="C290" s="53" t="s">
        <v>632</v>
      </c>
      <c r="D290" s="54" t="s">
        <v>7732</v>
      </c>
      <c r="E290" s="50">
        <f t="shared" si="9"/>
        <v>3.91780822</v>
      </c>
      <c r="F290" s="51">
        <f t="shared" si="9"/>
        <v>3.8389366800000002</v>
      </c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</row>
    <row r="291" spans="1:28" x14ac:dyDescent="0.15">
      <c r="A291" s="46" t="s">
        <v>633</v>
      </c>
      <c r="B291" s="52" t="s">
        <v>7361</v>
      </c>
      <c r="C291" s="53" t="s">
        <v>634</v>
      </c>
      <c r="D291" s="54" t="s">
        <v>7733</v>
      </c>
      <c r="E291" s="50">
        <f t="shared" si="9"/>
        <v>3.9315068499999999</v>
      </c>
      <c r="F291" s="51">
        <f t="shared" si="9"/>
        <v>3.83951054</v>
      </c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</row>
    <row r="292" spans="1:28" x14ac:dyDescent="0.15">
      <c r="A292" s="46" t="s">
        <v>635</v>
      </c>
      <c r="B292" s="52" t="s">
        <v>7361</v>
      </c>
      <c r="C292" s="53" t="s">
        <v>636</v>
      </c>
      <c r="D292" s="54" t="s">
        <v>7734</v>
      </c>
      <c r="E292" s="50">
        <f t="shared" si="9"/>
        <v>3.9452054799999998</v>
      </c>
      <c r="F292" s="51">
        <f t="shared" si="9"/>
        <v>3.8400748099999999</v>
      </c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</row>
    <row r="293" spans="1:28" x14ac:dyDescent="0.15">
      <c r="A293" s="46" t="s">
        <v>637</v>
      </c>
      <c r="B293" s="52" t="s">
        <v>7361</v>
      </c>
      <c r="C293" s="53" t="s">
        <v>638</v>
      </c>
      <c r="D293" s="54" t="s">
        <v>7735</v>
      </c>
      <c r="E293" s="50">
        <f t="shared" si="9"/>
        <v>3.9589041100000002</v>
      </c>
      <c r="F293" s="51">
        <f t="shared" si="9"/>
        <v>3.8406281299999998</v>
      </c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</row>
    <row r="294" spans="1:28" x14ac:dyDescent="0.15">
      <c r="A294" s="46" t="s">
        <v>639</v>
      </c>
      <c r="B294" s="52" t="s">
        <v>7361</v>
      </c>
      <c r="C294" s="53" t="s">
        <v>640</v>
      </c>
      <c r="D294" s="54" t="s">
        <v>7736</v>
      </c>
      <c r="E294" s="50">
        <f t="shared" si="9"/>
        <v>3.9726027400000001</v>
      </c>
      <c r="F294" s="51">
        <f t="shared" si="9"/>
        <v>3.8411691700000001</v>
      </c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</row>
    <row r="295" spans="1:28" x14ac:dyDescent="0.15">
      <c r="A295" s="46" t="s">
        <v>641</v>
      </c>
      <c r="B295" s="52" t="s">
        <v>7361</v>
      </c>
      <c r="C295" s="53" t="s">
        <v>642</v>
      </c>
      <c r="D295" s="54" t="s">
        <v>7737</v>
      </c>
      <c r="E295" s="50">
        <f t="shared" si="9"/>
        <v>3.9863013700000001</v>
      </c>
      <c r="F295" s="51">
        <f t="shared" si="9"/>
        <v>3.8416965900000002</v>
      </c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</row>
    <row r="296" spans="1:28" x14ac:dyDescent="0.15">
      <c r="A296" s="46" t="s">
        <v>643</v>
      </c>
      <c r="B296" s="52" t="s">
        <v>7361</v>
      </c>
      <c r="C296" s="53" t="s">
        <v>644</v>
      </c>
      <c r="D296" s="54" t="s">
        <v>7738</v>
      </c>
      <c r="E296" s="50">
        <f t="shared" si="9"/>
        <v>4</v>
      </c>
      <c r="F296" s="51">
        <f t="shared" si="9"/>
        <v>3.8422090500000001</v>
      </c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</row>
    <row r="297" spans="1:28" x14ac:dyDescent="0.15">
      <c r="A297" s="46" t="s">
        <v>645</v>
      </c>
      <c r="B297" s="52" t="s">
        <v>7361</v>
      </c>
      <c r="C297" s="53" t="s">
        <v>646</v>
      </c>
      <c r="D297" s="54" t="s">
        <v>7739</v>
      </c>
      <c r="E297" s="50">
        <f t="shared" si="9"/>
        <v>4.0136986300000004</v>
      </c>
      <c r="F297" s="51">
        <f t="shared" si="9"/>
        <v>3.8427201700000002</v>
      </c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</row>
    <row r="298" spans="1:28" x14ac:dyDescent="0.15">
      <c r="A298" s="46" t="s">
        <v>647</v>
      </c>
      <c r="B298" s="52" t="s">
        <v>7361</v>
      </c>
      <c r="C298" s="53" t="s">
        <v>648</v>
      </c>
      <c r="D298" s="54" t="s">
        <v>7740</v>
      </c>
      <c r="E298" s="50">
        <f t="shared" si="9"/>
        <v>4.0273972599999999</v>
      </c>
      <c r="F298" s="51">
        <f t="shared" si="9"/>
        <v>3.8432441100000001</v>
      </c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</row>
    <row r="299" spans="1:28" x14ac:dyDescent="0.15">
      <c r="A299" s="46" t="s">
        <v>649</v>
      </c>
      <c r="B299" s="52" t="s">
        <v>7361</v>
      </c>
      <c r="C299" s="53" t="s">
        <v>650</v>
      </c>
      <c r="D299" s="54" t="s">
        <v>7741</v>
      </c>
      <c r="E299" s="50">
        <f t="shared" si="9"/>
        <v>4.0410958900000002</v>
      </c>
      <c r="F299" s="51">
        <f t="shared" si="9"/>
        <v>3.8437803000000001</v>
      </c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</row>
    <row r="300" spans="1:28" x14ac:dyDescent="0.15">
      <c r="A300" s="46" t="s">
        <v>651</v>
      </c>
      <c r="B300" s="52" t="s">
        <v>7361</v>
      </c>
      <c r="C300" s="53" t="s">
        <v>652</v>
      </c>
      <c r="D300" s="54" t="s">
        <v>7742</v>
      </c>
      <c r="E300" s="50">
        <f t="shared" ref="E300:F329" si="10">VALUE(C300)</f>
        <v>4.0547945199999997</v>
      </c>
      <c r="F300" s="51">
        <f t="shared" si="10"/>
        <v>3.84432821</v>
      </c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</row>
    <row r="301" spans="1:28" x14ac:dyDescent="0.15">
      <c r="A301" s="46" t="s">
        <v>653</v>
      </c>
      <c r="B301" s="52" t="s">
        <v>7361</v>
      </c>
      <c r="C301" s="53" t="s">
        <v>654</v>
      </c>
      <c r="D301" s="54" t="s">
        <v>7743</v>
      </c>
      <c r="E301" s="50">
        <f t="shared" si="10"/>
        <v>4.0684931500000001</v>
      </c>
      <c r="F301" s="51">
        <f t="shared" si="10"/>
        <v>3.84488729</v>
      </c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</row>
    <row r="302" spans="1:28" x14ac:dyDescent="0.15">
      <c r="A302" s="46" t="s">
        <v>655</v>
      </c>
      <c r="B302" s="52" t="s">
        <v>7361</v>
      </c>
      <c r="C302" s="53" t="s">
        <v>656</v>
      </c>
      <c r="D302" s="54" t="s">
        <v>7744</v>
      </c>
      <c r="E302" s="50">
        <f t="shared" si="10"/>
        <v>4.0821917799999996</v>
      </c>
      <c r="F302" s="51">
        <f t="shared" si="10"/>
        <v>3.8454569799999998</v>
      </c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</row>
    <row r="303" spans="1:28" x14ac:dyDescent="0.15">
      <c r="A303" s="46" t="s">
        <v>657</v>
      </c>
      <c r="B303" s="52" t="s">
        <v>7361</v>
      </c>
      <c r="C303" s="53" t="s">
        <v>658</v>
      </c>
      <c r="D303" s="54" t="s">
        <v>7745</v>
      </c>
      <c r="E303" s="50">
        <f t="shared" si="10"/>
        <v>4.09589041</v>
      </c>
      <c r="F303" s="51">
        <f t="shared" si="10"/>
        <v>3.8460367299999998</v>
      </c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</row>
    <row r="304" spans="1:28" x14ac:dyDescent="0.15">
      <c r="A304" s="46" t="s">
        <v>659</v>
      </c>
      <c r="B304" s="52" t="s">
        <v>7361</v>
      </c>
      <c r="C304" s="53" t="s">
        <v>660</v>
      </c>
      <c r="D304" s="54" t="s">
        <v>7746</v>
      </c>
      <c r="E304" s="50">
        <f t="shared" si="10"/>
        <v>4.1095890400000004</v>
      </c>
      <c r="F304" s="51">
        <f t="shared" si="10"/>
        <v>3.84662601</v>
      </c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</row>
    <row r="305" spans="1:28" x14ac:dyDescent="0.15">
      <c r="A305" s="46" t="s">
        <v>661</v>
      </c>
      <c r="B305" s="52" t="s">
        <v>7361</v>
      </c>
      <c r="C305" s="53" t="s">
        <v>662</v>
      </c>
      <c r="D305" s="54" t="s">
        <v>7747</v>
      </c>
      <c r="E305" s="50">
        <f t="shared" si="10"/>
        <v>4.1232876699999998</v>
      </c>
      <c r="F305" s="51">
        <f t="shared" si="10"/>
        <v>3.84722425</v>
      </c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</row>
    <row r="306" spans="1:28" x14ac:dyDescent="0.15">
      <c r="A306" s="46" t="s">
        <v>663</v>
      </c>
      <c r="B306" s="52" t="s">
        <v>7361</v>
      </c>
      <c r="C306" s="53" t="s">
        <v>664</v>
      </c>
      <c r="D306" s="54" t="s">
        <v>7748</v>
      </c>
      <c r="E306" s="50">
        <f t="shared" si="10"/>
        <v>4.1369863000000002</v>
      </c>
      <c r="F306" s="51">
        <f t="shared" si="10"/>
        <v>3.8478309099999999</v>
      </c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</row>
    <row r="307" spans="1:28" x14ac:dyDescent="0.15">
      <c r="A307" s="46" t="s">
        <v>665</v>
      </c>
      <c r="B307" s="52" t="s">
        <v>7361</v>
      </c>
      <c r="C307" s="53" t="s">
        <v>666</v>
      </c>
      <c r="D307" s="54" t="s">
        <v>7749</v>
      </c>
      <c r="E307" s="50">
        <f t="shared" si="10"/>
        <v>4.1506849299999997</v>
      </c>
      <c r="F307" s="51">
        <f t="shared" si="10"/>
        <v>3.8484454399999999</v>
      </c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</row>
    <row r="308" spans="1:28" x14ac:dyDescent="0.15">
      <c r="A308" s="46" t="s">
        <v>667</v>
      </c>
      <c r="B308" s="52" t="s">
        <v>7361</v>
      </c>
      <c r="C308" s="53" t="s">
        <v>668</v>
      </c>
      <c r="D308" s="54" t="s">
        <v>7750</v>
      </c>
      <c r="E308" s="50">
        <f t="shared" si="10"/>
        <v>4.1643835600000001</v>
      </c>
      <c r="F308" s="51">
        <f t="shared" si="10"/>
        <v>3.8490672899999998</v>
      </c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</row>
    <row r="309" spans="1:28" x14ac:dyDescent="0.15">
      <c r="A309" s="46" t="s">
        <v>669</v>
      </c>
      <c r="B309" s="52" t="s">
        <v>7361</v>
      </c>
      <c r="C309" s="53" t="s">
        <v>670</v>
      </c>
      <c r="D309" s="54" t="s">
        <v>7751</v>
      </c>
      <c r="E309" s="50">
        <f t="shared" si="10"/>
        <v>4.1780821899999996</v>
      </c>
      <c r="F309" s="51">
        <f t="shared" si="10"/>
        <v>3.8496959099999999</v>
      </c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</row>
    <row r="310" spans="1:28" x14ac:dyDescent="0.15">
      <c r="A310" s="46" t="s">
        <v>671</v>
      </c>
      <c r="B310" s="52" t="s">
        <v>7361</v>
      </c>
      <c r="C310" s="53" t="s">
        <v>672</v>
      </c>
      <c r="D310" s="54" t="s">
        <v>7752</v>
      </c>
      <c r="E310" s="50">
        <f t="shared" si="10"/>
        <v>4.19178082</v>
      </c>
      <c r="F310" s="51">
        <f t="shared" si="10"/>
        <v>3.8503307599999999</v>
      </c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</row>
    <row r="311" spans="1:28" x14ac:dyDescent="0.15">
      <c r="A311" s="46" t="s">
        <v>673</v>
      </c>
      <c r="B311" s="52" t="s">
        <v>7361</v>
      </c>
      <c r="C311" s="53" t="s">
        <v>674</v>
      </c>
      <c r="D311" s="54" t="s">
        <v>7753</v>
      </c>
      <c r="E311" s="50">
        <f t="shared" si="10"/>
        <v>4.2054794500000003</v>
      </c>
      <c r="F311" s="51">
        <f t="shared" si="10"/>
        <v>3.8509712700000001</v>
      </c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</row>
    <row r="312" spans="1:28" x14ac:dyDescent="0.15">
      <c r="A312" s="46" t="s">
        <v>675</v>
      </c>
      <c r="B312" s="52" t="s">
        <v>7361</v>
      </c>
      <c r="C312" s="53" t="s">
        <v>676</v>
      </c>
      <c r="D312" s="54" t="s">
        <v>7754</v>
      </c>
      <c r="E312" s="50">
        <f t="shared" si="10"/>
        <v>4.2191780799999998</v>
      </c>
      <c r="F312" s="51">
        <f t="shared" si="10"/>
        <v>3.8516169200000001</v>
      </c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</row>
    <row r="313" spans="1:28" x14ac:dyDescent="0.15">
      <c r="A313" s="46" t="s">
        <v>677</v>
      </c>
      <c r="B313" s="52" t="s">
        <v>7361</v>
      </c>
      <c r="C313" s="53" t="s">
        <v>678</v>
      </c>
      <c r="D313" s="54" t="s">
        <v>7755</v>
      </c>
      <c r="E313" s="50">
        <f t="shared" si="10"/>
        <v>4.2328767100000002</v>
      </c>
      <c r="F313" s="51">
        <f t="shared" si="10"/>
        <v>3.8522671399999999</v>
      </c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</row>
    <row r="314" spans="1:28" x14ac:dyDescent="0.15">
      <c r="A314" s="46" t="s">
        <v>679</v>
      </c>
      <c r="B314" s="52" t="s">
        <v>7361</v>
      </c>
      <c r="C314" s="53" t="s">
        <v>680</v>
      </c>
      <c r="D314" s="54" t="s">
        <v>7756</v>
      </c>
      <c r="E314" s="50">
        <f t="shared" si="10"/>
        <v>4.2465753399999997</v>
      </c>
      <c r="F314" s="51">
        <f t="shared" si="10"/>
        <v>3.8529213800000002</v>
      </c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</row>
    <row r="315" spans="1:28" x14ac:dyDescent="0.15">
      <c r="A315" s="46" t="s">
        <v>681</v>
      </c>
      <c r="B315" s="52" t="s">
        <v>7361</v>
      </c>
      <c r="C315" s="53" t="s">
        <v>682</v>
      </c>
      <c r="D315" s="54" t="s">
        <v>7757</v>
      </c>
      <c r="E315" s="50">
        <f t="shared" si="10"/>
        <v>4.2602739700000001</v>
      </c>
      <c r="F315" s="51">
        <f t="shared" si="10"/>
        <v>3.8535791000000001</v>
      </c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</row>
    <row r="316" spans="1:28" x14ac:dyDescent="0.15">
      <c r="A316" s="46" t="s">
        <v>683</v>
      </c>
      <c r="B316" s="52" t="s">
        <v>7361</v>
      </c>
      <c r="C316" s="53" t="s">
        <v>684</v>
      </c>
      <c r="D316" s="54" t="s">
        <v>7758</v>
      </c>
      <c r="E316" s="50">
        <f t="shared" si="10"/>
        <v>4.2739725999999996</v>
      </c>
      <c r="F316" s="51">
        <f t="shared" si="10"/>
        <v>3.85423976</v>
      </c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</row>
    <row r="317" spans="1:28" x14ac:dyDescent="0.15">
      <c r="A317" s="46" t="s">
        <v>685</v>
      </c>
      <c r="B317" s="52" t="s">
        <v>7361</v>
      </c>
      <c r="C317" s="53" t="s">
        <v>686</v>
      </c>
      <c r="D317" s="54" t="s">
        <v>7759</v>
      </c>
      <c r="E317" s="50">
        <f t="shared" si="10"/>
        <v>4.2876712299999999</v>
      </c>
      <c r="F317" s="51">
        <f t="shared" si="10"/>
        <v>3.8549027900000001</v>
      </c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</row>
    <row r="318" spans="1:28" x14ac:dyDescent="0.15">
      <c r="A318" s="46" t="s">
        <v>687</v>
      </c>
      <c r="B318" s="52" t="s">
        <v>7361</v>
      </c>
      <c r="C318" s="53" t="s">
        <v>688</v>
      </c>
      <c r="D318" s="54" t="s">
        <v>7760</v>
      </c>
      <c r="E318" s="50">
        <f t="shared" si="10"/>
        <v>4.3013698600000003</v>
      </c>
      <c r="F318" s="51">
        <f t="shared" si="10"/>
        <v>3.8555676499999998</v>
      </c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</row>
    <row r="319" spans="1:28" x14ac:dyDescent="0.15">
      <c r="A319" s="46" t="s">
        <v>689</v>
      </c>
      <c r="B319" s="52" t="s">
        <v>7361</v>
      </c>
      <c r="C319" s="53" t="s">
        <v>690</v>
      </c>
      <c r="D319" s="54" t="s">
        <v>7761</v>
      </c>
      <c r="E319" s="50">
        <f t="shared" si="10"/>
        <v>4.3150684899999998</v>
      </c>
      <c r="F319" s="51">
        <f t="shared" si="10"/>
        <v>3.8562337900000001</v>
      </c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</row>
    <row r="320" spans="1:28" x14ac:dyDescent="0.15">
      <c r="A320" s="46" t="s">
        <v>691</v>
      </c>
      <c r="B320" s="52" t="s">
        <v>7361</v>
      </c>
      <c r="C320" s="53" t="s">
        <v>692</v>
      </c>
      <c r="D320" s="54" t="s">
        <v>7762</v>
      </c>
      <c r="E320" s="50">
        <f t="shared" si="10"/>
        <v>4.3287671200000002</v>
      </c>
      <c r="F320" s="51">
        <f t="shared" si="10"/>
        <v>3.85690066</v>
      </c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</row>
    <row r="321" spans="1:28" x14ac:dyDescent="0.15">
      <c r="A321" s="46" t="s">
        <v>693</v>
      </c>
      <c r="B321" s="52" t="s">
        <v>7361</v>
      </c>
      <c r="C321" s="53" t="s">
        <v>694</v>
      </c>
      <c r="D321" s="54" t="s">
        <v>7763</v>
      </c>
      <c r="E321" s="50">
        <f t="shared" si="10"/>
        <v>4.3424657499999997</v>
      </c>
      <c r="F321" s="51">
        <f t="shared" si="10"/>
        <v>3.85756772</v>
      </c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</row>
    <row r="322" spans="1:28" x14ac:dyDescent="0.15">
      <c r="A322" s="46" t="s">
        <v>695</v>
      </c>
      <c r="B322" s="52" t="s">
        <v>7361</v>
      </c>
      <c r="C322" s="53" t="s">
        <v>696</v>
      </c>
      <c r="D322" s="54" t="s">
        <v>7764</v>
      </c>
      <c r="E322" s="50">
        <f t="shared" si="10"/>
        <v>4.3561643800000001</v>
      </c>
      <c r="F322" s="51">
        <f t="shared" si="10"/>
        <v>3.8582344100000001</v>
      </c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</row>
    <row r="323" spans="1:28" x14ac:dyDescent="0.15">
      <c r="A323" s="46" t="s">
        <v>697</v>
      </c>
      <c r="B323" s="52" t="s">
        <v>7361</v>
      </c>
      <c r="C323" s="53" t="s">
        <v>698</v>
      </c>
      <c r="D323" s="54" t="s">
        <v>7765</v>
      </c>
      <c r="E323" s="50">
        <f t="shared" si="10"/>
        <v>4.3698630100000004</v>
      </c>
      <c r="F323" s="51">
        <f t="shared" si="10"/>
        <v>3.85890019</v>
      </c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</row>
    <row r="324" spans="1:28" x14ac:dyDescent="0.15">
      <c r="A324" s="46" t="s">
        <v>699</v>
      </c>
      <c r="B324" s="52" t="s">
        <v>7361</v>
      </c>
      <c r="C324" s="53" t="s">
        <v>700</v>
      </c>
      <c r="D324" s="54" t="s">
        <v>7766</v>
      </c>
      <c r="E324" s="50">
        <f t="shared" si="10"/>
        <v>4.3835616399999999</v>
      </c>
      <c r="F324" s="51">
        <f t="shared" si="10"/>
        <v>3.8595644999999998</v>
      </c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</row>
    <row r="325" spans="1:28" x14ac:dyDescent="0.15">
      <c r="A325" s="46" t="s">
        <v>701</v>
      </c>
      <c r="B325" s="52" t="s">
        <v>7361</v>
      </c>
      <c r="C325" s="53" t="s">
        <v>702</v>
      </c>
      <c r="D325" s="54" t="s">
        <v>7767</v>
      </c>
      <c r="E325" s="50">
        <f t="shared" si="10"/>
        <v>4.3972602700000003</v>
      </c>
      <c r="F325" s="51">
        <f t="shared" si="10"/>
        <v>3.8602268</v>
      </c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</row>
    <row r="326" spans="1:28" x14ac:dyDescent="0.15">
      <c r="A326" s="46" t="s">
        <v>703</v>
      </c>
      <c r="B326" s="52" t="s">
        <v>7361</v>
      </c>
      <c r="C326" s="53" t="s">
        <v>704</v>
      </c>
      <c r="D326" s="54" t="s">
        <v>7768</v>
      </c>
      <c r="E326" s="50">
        <f t="shared" si="10"/>
        <v>4.4109588999999998</v>
      </c>
      <c r="F326" s="51">
        <f t="shared" si="10"/>
        <v>3.8608865300000001</v>
      </c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</row>
    <row r="327" spans="1:28" x14ac:dyDescent="0.15">
      <c r="A327" s="46" t="s">
        <v>705</v>
      </c>
      <c r="B327" s="52" t="s">
        <v>7361</v>
      </c>
      <c r="C327" s="53" t="s">
        <v>706</v>
      </c>
      <c r="D327" s="54" t="s">
        <v>7769</v>
      </c>
      <c r="E327" s="50">
        <f t="shared" si="10"/>
        <v>4.4246575300000002</v>
      </c>
      <c r="F327" s="51">
        <f t="shared" si="10"/>
        <v>3.8615431600000001</v>
      </c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</row>
    <row r="328" spans="1:28" x14ac:dyDescent="0.15">
      <c r="A328" s="46" t="s">
        <v>707</v>
      </c>
      <c r="B328" s="52" t="s">
        <v>7361</v>
      </c>
      <c r="C328" s="53" t="s">
        <v>708</v>
      </c>
      <c r="D328" s="54" t="s">
        <v>7770</v>
      </c>
      <c r="E328" s="50">
        <f t="shared" si="10"/>
        <v>4.4383561599999997</v>
      </c>
      <c r="F328" s="51">
        <f t="shared" si="10"/>
        <v>3.8621961200000001</v>
      </c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</row>
    <row r="329" spans="1:28" x14ac:dyDescent="0.15">
      <c r="A329" s="46" t="s">
        <v>709</v>
      </c>
      <c r="B329" s="52" t="s">
        <v>7361</v>
      </c>
      <c r="C329" s="53" t="s">
        <v>710</v>
      </c>
      <c r="D329" s="54" t="s">
        <v>7771</v>
      </c>
      <c r="E329" s="50">
        <f t="shared" si="10"/>
        <v>4.45205479</v>
      </c>
      <c r="F329" s="51">
        <f t="shared" si="10"/>
        <v>3.8628448799999999</v>
      </c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</row>
    <row r="330" spans="1:28" x14ac:dyDescent="0.15">
      <c r="A330" s="46" t="s">
        <v>711</v>
      </c>
      <c r="B330" s="52" t="s">
        <v>7361</v>
      </c>
      <c r="C330" s="53" t="s">
        <v>712</v>
      </c>
      <c r="D330" s="54" t="s">
        <v>7772</v>
      </c>
      <c r="E330" s="50">
        <f t="shared" ref="E330:F360" si="11">VALUE(C330)</f>
        <v>4.4657534200000004</v>
      </c>
      <c r="F330" s="51">
        <f t="shared" si="11"/>
        <v>3.8634888699999999</v>
      </c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</row>
    <row r="331" spans="1:28" x14ac:dyDescent="0.15">
      <c r="A331" s="46" t="s">
        <v>713</v>
      </c>
      <c r="B331" s="52" t="s">
        <v>7361</v>
      </c>
      <c r="C331" s="53" t="s">
        <v>714</v>
      </c>
      <c r="D331" s="54" t="s">
        <v>7773</v>
      </c>
      <c r="E331" s="50">
        <f t="shared" si="11"/>
        <v>4.4794520499999999</v>
      </c>
      <c r="F331" s="51">
        <f t="shared" si="11"/>
        <v>3.86412756</v>
      </c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</row>
    <row r="332" spans="1:28" x14ac:dyDescent="0.15">
      <c r="A332" s="46" t="s">
        <v>715</v>
      </c>
      <c r="B332" s="52" t="s">
        <v>7361</v>
      </c>
      <c r="C332" s="53" t="s">
        <v>716</v>
      </c>
      <c r="D332" s="54" t="s">
        <v>7774</v>
      </c>
      <c r="E332" s="50">
        <f t="shared" si="11"/>
        <v>4.4931506800000003</v>
      </c>
      <c r="F332" s="51">
        <f t="shared" si="11"/>
        <v>3.8647603899999998</v>
      </c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</row>
    <row r="333" spans="1:28" x14ac:dyDescent="0.15">
      <c r="A333" s="46" t="s">
        <v>717</v>
      </c>
      <c r="B333" s="52" t="s">
        <v>7361</v>
      </c>
      <c r="C333" s="53" t="s">
        <v>718</v>
      </c>
      <c r="D333" s="54" t="s">
        <v>7775</v>
      </c>
      <c r="E333" s="50">
        <f t="shared" si="11"/>
        <v>4.5068493199999997</v>
      </c>
      <c r="F333" s="51">
        <f t="shared" si="11"/>
        <v>3.86538688</v>
      </c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</row>
    <row r="334" spans="1:28" x14ac:dyDescent="0.15">
      <c r="A334" s="46" t="s">
        <v>719</v>
      </c>
      <c r="B334" s="52" t="s">
        <v>7361</v>
      </c>
      <c r="C334" s="53" t="s">
        <v>720</v>
      </c>
      <c r="D334" s="54" t="s">
        <v>7776</v>
      </c>
      <c r="E334" s="50">
        <f t="shared" si="11"/>
        <v>4.5205479500000001</v>
      </c>
      <c r="F334" s="51">
        <f t="shared" si="11"/>
        <v>3.8660071299999998</v>
      </c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</row>
    <row r="335" spans="1:28" x14ac:dyDescent="0.15">
      <c r="A335" s="46" t="s">
        <v>721</v>
      </c>
      <c r="B335" s="52" t="s">
        <v>7361</v>
      </c>
      <c r="C335" s="53" t="s">
        <v>722</v>
      </c>
      <c r="D335" s="54" t="s">
        <v>7777</v>
      </c>
      <c r="E335" s="50">
        <f t="shared" si="11"/>
        <v>4.5342465799999996</v>
      </c>
      <c r="F335" s="51">
        <f t="shared" si="11"/>
        <v>3.8666214499999998</v>
      </c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</row>
    <row r="336" spans="1:28" x14ac:dyDescent="0.15">
      <c r="A336" s="46" t="s">
        <v>723</v>
      </c>
      <c r="B336" s="52" t="s">
        <v>7361</v>
      </c>
      <c r="C336" s="53" t="s">
        <v>724</v>
      </c>
      <c r="D336" s="54" t="s">
        <v>7778</v>
      </c>
      <c r="E336" s="50">
        <f t="shared" si="11"/>
        <v>4.54794521</v>
      </c>
      <c r="F336" s="51">
        <f t="shared" si="11"/>
        <v>3.8672300800000001</v>
      </c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</row>
    <row r="337" spans="1:28" x14ac:dyDescent="0.15">
      <c r="A337" s="46" t="s">
        <v>725</v>
      </c>
      <c r="B337" s="52" t="s">
        <v>7361</v>
      </c>
      <c r="C337" s="53" t="s">
        <v>726</v>
      </c>
      <c r="D337" s="54" t="s">
        <v>7779</v>
      </c>
      <c r="E337" s="50">
        <f t="shared" si="11"/>
        <v>4.5616438400000003</v>
      </c>
      <c r="F337" s="51">
        <f t="shared" si="11"/>
        <v>3.8678332900000001</v>
      </c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</row>
    <row r="338" spans="1:28" x14ac:dyDescent="0.15">
      <c r="A338" s="46" t="s">
        <v>727</v>
      </c>
      <c r="B338" s="52" t="s">
        <v>7361</v>
      </c>
      <c r="C338" s="53" t="s">
        <v>728</v>
      </c>
      <c r="D338" s="54" t="s">
        <v>7780</v>
      </c>
      <c r="E338" s="50">
        <f t="shared" si="11"/>
        <v>4.5753424699999998</v>
      </c>
      <c r="F338" s="51">
        <f t="shared" si="11"/>
        <v>3.8684313299999999</v>
      </c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</row>
    <row r="339" spans="1:28" x14ac:dyDescent="0.15">
      <c r="A339" s="46" t="s">
        <v>729</v>
      </c>
      <c r="B339" s="52" t="s">
        <v>7361</v>
      </c>
      <c r="C339" s="53" t="s">
        <v>730</v>
      </c>
      <c r="D339" s="54" t="s">
        <v>7781</v>
      </c>
      <c r="E339" s="50">
        <f t="shared" si="11"/>
        <v>4.5890411000000002</v>
      </c>
      <c r="F339" s="51">
        <f t="shared" si="11"/>
        <v>3.8690244800000002</v>
      </c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</row>
    <row r="340" spans="1:28" x14ac:dyDescent="0.15">
      <c r="A340" s="46" t="s">
        <v>731</v>
      </c>
      <c r="B340" s="52" t="s">
        <v>7361</v>
      </c>
      <c r="C340" s="53" t="s">
        <v>732</v>
      </c>
      <c r="D340" s="54" t="s">
        <v>7782</v>
      </c>
      <c r="E340" s="50">
        <f t="shared" si="11"/>
        <v>4.6027397299999997</v>
      </c>
      <c r="F340" s="51">
        <f t="shared" si="11"/>
        <v>3.8696129799999999</v>
      </c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</row>
    <row r="341" spans="1:28" x14ac:dyDescent="0.15">
      <c r="A341" s="46" t="s">
        <v>733</v>
      </c>
      <c r="B341" s="52" t="s">
        <v>7361</v>
      </c>
      <c r="C341" s="53" t="s">
        <v>734</v>
      </c>
      <c r="D341" s="54" t="s">
        <v>7783</v>
      </c>
      <c r="E341" s="50">
        <f t="shared" si="11"/>
        <v>4.6164383600000001</v>
      </c>
      <c r="F341" s="51">
        <f t="shared" si="11"/>
        <v>3.8701970999999999</v>
      </c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</row>
    <row r="342" spans="1:28" x14ac:dyDescent="0.15">
      <c r="A342" s="46" t="s">
        <v>735</v>
      </c>
      <c r="B342" s="52" t="s">
        <v>7361</v>
      </c>
      <c r="C342" s="53" t="s">
        <v>736</v>
      </c>
      <c r="D342" s="54" t="s">
        <v>7784</v>
      </c>
      <c r="E342" s="50">
        <f t="shared" si="11"/>
        <v>4.6301369899999996</v>
      </c>
      <c r="F342" s="51">
        <f t="shared" si="11"/>
        <v>3.8707771000000002</v>
      </c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</row>
    <row r="343" spans="1:28" x14ac:dyDescent="0.15">
      <c r="A343" s="46" t="s">
        <v>737</v>
      </c>
      <c r="B343" s="52" t="s">
        <v>7361</v>
      </c>
      <c r="C343" s="53" t="s">
        <v>738</v>
      </c>
      <c r="D343" s="54" t="s">
        <v>7785</v>
      </c>
      <c r="E343" s="50">
        <f t="shared" si="11"/>
        <v>4.6438356199999999</v>
      </c>
      <c r="F343" s="51">
        <f t="shared" si="11"/>
        <v>3.8713532399999999</v>
      </c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</row>
    <row r="344" spans="1:28" x14ac:dyDescent="0.15">
      <c r="A344" s="46" t="s">
        <v>739</v>
      </c>
      <c r="B344" s="52" t="s">
        <v>7361</v>
      </c>
      <c r="C344" s="53" t="s">
        <v>740</v>
      </c>
      <c r="D344" s="54" t="s">
        <v>7786</v>
      </c>
      <c r="E344" s="50">
        <f t="shared" si="11"/>
        <v>4.6575342500000003</v>
      </c>
      <c r="F344" s="51">
        <f t="shared" si="11"/>
        <v>3.8719257800000002</v>
      </c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</row>
    <row r="345" spans="1:28" x14ac:dyDescent="0.15">
      <c r="A345" s="46" t="s">
        <v>741</v>
      </c>
      <c r="B345" s="52" t="s">
        <v>7361</v>
      </c>
      <c r="C345" s="53" t="s">
        <v>742</v>
      </c>
      <c r="D345" s="54" t="s">
        <v>7787</v>
      </c>
      <c r="E345" s="50">
        <f t="shared" si="11"/>
        <v>4.6712328799999998</v>
      </c>
      <c r="F345" s="51">
        <f t="shared" si="11"/>
        <v>3.8724949799999999</v>
      </c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</row>
    <row r="346" spans="1:28" x14ac:dyDescent="0.15">
      <c r="A346" s="46" t="s">
        <v>743</v>
      </c>
      <c r="B346" s="52" t="s">
        <v>7361</v>
      </c>
      <c r="C346" s="53" t="s">
        <v>744</v>
      </c>
      <c r="D346" s="54" t="s">
        <v>7788</v>
      </c>
      <c r="E346" s="50">
        <f t="shared" si="11"/>
        <v>4.6849315100000002</v>
      </c>
      <c r="F346" s="51">
        <f t="shared" si="11"/>
        <v>3.8730611000000001</v>
      </c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</row>
    <row r="347" spans="1:28" x14ac:dyDescent="0.15">
      <c r="A347" s="46" t="s">
        <v>745</v>
      </c>
      <c r="B347" s="52" t="s">
        <v>7361</v>
      </c>
      <c r="C347" s="53" t="s">
        <v>746</v>
      </c>
      <c r="D347" s="54" t="s">
        <v>7789</v>
      </c>
      <c r="E347" s="50">
        <f t="shared" si="11"/>
        <v>4.6986301399999997</v>
      </c>
      <c r="F347" s="51">
        <f t="shared" si="11"/>
        <v>3.8736244000000002</v>
      </c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</row>
    <row r="348" spans="1:28" x14ac:dyDescent="0.15">
      <c r="A348" s="46" t="s">
        <v>747</v>
      </c>
      <c r="B348" s="52" t="s">
        <v>7361</v>
      </c>
      <c r="C348" s="53" t="s">
        <v>748</v>
      </c>
      <c r="D348" s="54" t="s">
        <v>7790</v>
      </c>
      <c r="E348" s="50">
        <f t="shared" si="11"/>
        <v>4.7123287700000001</v>
      </c>
      <c r="F348" s="51">
        <f t="shared" si="11"/>
        <v>3.8741851399999998</v>
      </c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</row>
    <row r="349" spans="1:28" x14ac:dyDescent="0.15">
      <c r="A349" s="46" t="s">
        <v>749</v>
      </c>
      <c r="B349" s="52" t="s">
        <v>7361</v>
      </c>
      <c r="C349" s="53" t="s">
        <v>750</v>
      </c>
      <c r="D349" s="54" t="s">
        <v>7791</v>
      </c>
      <c r="E349" s="50">
        <f t="shared" si="11"/>
        <v>4.7260274000000004</v>
      </c>
      <c r="F349" s="51">
        <f t="shared" si="11"/>
        <v>3.8747435800000001</v>
      </c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</row>
    <row r="350" spans="1:28" x14ac:dyDescent="0.15">
      <c r="A350" s="46" t="s">
        <v>751</v>
      </c>
      <c r="B350" s="52" t="s">
        <v>7361</v>
      </c>
      <c r="C350" s="53" t="s">
        <v>752</v>
      </c>
      <c r="D350" s="54" t="s">
        <v>7792</v>
      </c>
      <c r="E350" s="50">
        <f t="shared" si="11"/>
        <v>4.7397260299999999</v>
      </c>
      <c r="F350" s="51">
        <f t="shared" si="11"/>
        <v>3.8752999799999999</v>
      </c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</row>
    <row r="351" spans="1:28" x14ac:dyDescent="0.15">
      <c r="A351" s="46" t="s">
        <v>753</v>
      </c>
      <c r="B351" s="52" t="s">
        <v>7361</v>
      </c>
      <c r="C351" s="53" t="s">
        <v>754</v>
      </c>
      <c r="D351" s="54" t="s">
        <v>7793</v>
      </c>
      <c r="E351" s="50">
        <f t="shared" si="11"/>
        <v>4.7534246600000003</v>
      </c>
      <c r="F351" s="51">
        <f t="shared" si="11"/>
        <v>3.8758545999999998</v>
      </c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</row>
    <row r="352" spans="1:28" x14ac:dyDescent="0.15">
      <c r="A352" s="46" t="s">
        <v>755</v>
      </c>
      <c r="B352" s="52" t="s">
        <v>7361</v>
      </c>
      <c r="C352" s="53" t="s">
        <v>756</v>
      </c>
      <c r="D352" s="54" t="s">
        <v>7794</v>
      </c>
      <c r="E352" s="50">
        <f t="shared" si="11"/>
        <v>4.7671232899999998</v>
      </c>
      <c r="F352" s="51">
        <f t="shared" si="11"/>
        <v>3.8764077100000001</v>
      </c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</row>
    <row r="353" spans="1:28" x14ac:dyDescent="0.15">
      <c r="A353" s="46" t="s">
        <v>757</v>
      </c>
      <c r="B353" s="52" t="s">
        <v>7361</v>
      </c>
      <c r="C353" s="53" t="s">
        <v>758</v>
      </c>
      <c r="D353" s="54" t="s">
        <v>7795</v>
      </c>
      <c r="E353" s="50">
        <f t="shared" si="11"/>
        <v>4.7808219200000002</v>
      </c>
      <c r="F353" s="51">
        <f t="shared" si="11"/>
        <v>3.87695956</v>
      </c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</row>
    <row r="354" spans="1:28" x14ac:dyDescent="0.15">
      <c r="A354" s="46" t="s">
        <v>759</v>
      </c>
      <c r="B354" s="52" t="s">
        <v>7361</v>
      </c>
      <c r="C354" s="53" t="s">
        <v>760</v>
      </c>
      <c r="D354" s="54" t="s">
        <v>7796</v>
      </c>
      <c r="E354" s="50">
        <f t="shared" si="11"/>
        <v>4.7945205499999997</v>
      </c>
      <c r="F354" s="51">
        <f t="shared" si="11"/>
        <v>3.8775104100000002</v>
      </c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</row>
    <row r="355" spans="1:28" x14ac:dyDescent="0.15">
      <c r="A355" s="46" t="s">
        <v>761</v>
      </c>
      <c r="B355" s="52" t="s">
        <v>7361</v>
      </c>
      <c r="C355" s="53" t="s">
        <v>762</v>
      </c>
      <c r="D355" s="54" t="s">
        <v>7797</v>
      </c>
      <c r="E355" s="50">
        <f t="shared" si="11"/>
        <v>4.80821918</v>
      </c>
      <c r="F355" s="51">
        <f t="shared" si="11"/>
        <v>3.87806052</v>
      </c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</row>
    <row r="356" spans="1:28" x14ac:dyDescent="0.15">
      <c r="A356" s="46" t="s">
        <v>763</v>
      </c>
      <c r="B356" s="52" t="s">
        <v>7361</v>
      </c>
      <c r="C356" s="53" t="s">
        <v>764</v>
      </c>
      <c r="D356" s="54" t="s">
        <v>7798</v>
      </c>
      <c r="E356" s="50">
        <f t="shared" si="11"/>
        <v>4.8219178100000004</v>
      </c>
      <c r="F356" s="51">
        <f t="shared" si="11"/>
        <v>3.8786101500000001</v>
      </c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</row>
    <row r="357" spans="1:28" x14ac:dyDescent="0.15">
      <c r="A357" s="46" t="s">
        <v>765</v>
      </c>
      <c r="B357" s="52" t="s">
        <v>7361</v>
      </c>
      <c r="C357" s="53" t="s">
        <v>766</v>
      </c>
      <c r="D357" s="54" t="s">
        <v>7799</v>
      </c>
      <c r="E357" s="50">
        <f t="shared" si="11"/>
        <v>4.8356164399999999</v>
      </c>
      <c r="F357" s="51">
        <f t="shared" si="11"/>
        <v>3.8791595700000001</v>
      </c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</row>
    <row r="358" spans="1:28" x14ac:dyDescent="0.15">
      <c r="A358" s="46" t="s">
        <v>767</v>
      </c>
      <c r="B358" s="52" t="s">
        <v>7361</v>
      </c>
      <c r="C358" s="53" t="s">
        <v>768</v>
      </c>
      <c r="D358" s="54" t="s">
        <v>7800</v>
      </c>
      <c r="E358" s="50">
        <f t="shared" si="11"/>
        <v>4.8493150700000003</v>
      </c>
      <c r="F358" s="51">
        <f t="shared" si="11"/>
        <v>3.8797090299999999</v>
      </c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</row>
    <row r="359" spans="1:28" x14ac:dyDescent="0.15">
      <c r="A359" s="46" t="s">
        <v>769</v>
      </c>
      <c r="B359" s="52" t="s">
        <v>7361</v>
      </c>
      <c r="C359" s="53" t="s">
        <v>770</v>
      </c>
      <c r="D359" s="54" t="s">
        <v>7801</v>
      </c>
      <c r="E359" s="50">
        <f t="shared" si="11"/>
        <v>4.8630136999999998</v>
      </c>
      <c r="F359" s="51">
        <f t="shared" si="11"/>
        <v>3.8802588</v>
      </c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</row>
    <row r="360" spans="1:28" x14ac:dyDescent="0.15">
      <c r="A360" s="46" t="s">
        <v>771</v>
      </c>
      <c r="B360" s="52" t="s">
        <v>7361</v>
      </c>
      <c r="C360" s="53" t="s">
        <v>772</v>
      </c>
      <c r="D360" s="54" t="s">
        <v>7802</v>
      </c>
      <c r="E360" s="50">
        <f t="shared" si="11"/>
        <v>4.8767123300000002</v>
      </c>
      <c r="F360" s="51">
        <f t="shared" si="11"/>
        <v>3.8808091299999998</v>
      </c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</row>
    <row r="361" spans="1:28" x14ac:dyDescent="0.15">
      <c r="A361" s="46" t="s">
        <v>773</v>
      </c>
      <c r="B361" s="52" t="s">
        <v>7361</v>
      </c>
      <c r="C361" s="53" t="s">
        <v>774</v>
      </c>
      <c r="D361" s="54" t="s">
        <v>7803</v>
      </c>
      <c r="E361" s="50">
        <f t="shared" ref="E361:F390" si="12">VALUE(C361)</f>
        <v>4.8904109599999996</v>
      </c>
      <c r="F361" s="51">
        <f t="shared" si="12"/>
        <v>3.88136028</v>
      </c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</row>
    <row r="362" spans="1:28" x14ac:dyDescent="0.15">
      <c r="A362" s="46" t="s">
        <v>775</v>
      </c>
      <c r="B362" s="52" t="s">
        <v>7361</v>
      </c>
      <c r="C362" s="53" t="s">
        <v>776</v>
      </c>
      <c r="D362" s="54" t="s">
        <v>7804</v>
      </c>
      <c r="E362" s="50">
        <f t="shared" si="12"/>
        <v>4.90410959</v>
      </c>
      <c r="F362" s="51">
        <f t="shared" si="12"/>
        <v>3.8819125200000002</v>
      </c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</row>
    <row r="363" spans="1:28" x14ac:dyDescent="0.15">
      <c r="A363" s="46" t="s">
        <v>777</v>
      </c>
      <c r="B363" s="52" t="s">
        <v>7361</v>
      </c>
      <c r="C363" s="53" t="s">
        <v>778</v>
      </c>
      <c r="D363" s="54" t="s">
        <v>7805</v>
      </c>
      <c r="E363" s="50">
        <f t="shared" si="12"/>
        <v>4.9178082200000004</v>
      </c>
      <c r="F363" s="51">
        <f t="shared" si="12"/>
        <v>3.8824660999999998</v>
      </c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</row>
    <row r="364" spans="1:28" x14ac:dyDescent="0.15">
      <c r="A364" s="46" t="s">
        <v>779</v>
      </c>
      <c r="B364" s="52" t="s">
        <v>7361</v>
      </c>
      <c r="C364" s="53" t="s">
        <v>780</v>
      </c>
      <c r="D364" s="54" t="s">
        <v>7806</v>
      </c>
      <c r="E364" s="50">
        <f t="shared" si="12"/>
        <v>4.9315068499999999</v>
      </c>
      <c r="F364" s="51">
        <f t="shared" si="12"/>
        <v>3.8830212899999998</v>
      </c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</row>
    <row r="365" spans="1:28" x14ac:dyDescent="0.15">
      <c r="A365" s="46" t="s">
        <v>781</v>
      </c>
      <c r="B365" s="52" t="s">
        <v>7361</v>
      </c>
      <c r="C365" s="53" t="s">
        <v>782</v>
      </c>
      <c r="D365" s="54" t="s">
        <v>7807</v>
      </c>
      <c r="E365" s="50">
        <f t="shared" si="12"/>
        <v>4.9452054800000003</v>
      </c>
      <c r="F365" s="51">
        <f t="shared" si="12"/>
        <v>3.8835783400000001</v>
      </c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</row>
    <row r="366" spans="1:28" x14ac:dyDescent="0.15">
      <c r="A366" s="46" t="s">
        <v>783</v>
      </c>
      <c r="B366" s="52" t="s">
        <v>7361</v>
      </c>
      <c r="C366" s="53" t="s">
        <v>784</v>
      </c>
      <c r="D366" s="54" t="s">
        <v>7808</v>
      </c>
      <c r="E366" s="50">
        <f t="shared" si="12"/>
        <v>4.9589041099999998</v>
      </c>
      <c r="F366" s="51">
        <f t="shared" si="12"/>
        <v>3.8841375199999999</v>
      </c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</row>
    <row r="367" spans="1:28" x14ac:dyDescent="0.15">
      <c r="A367" s="46" t="s">
        <v>785</v>
      </c>
      <c r="B367" s="52" t="s">
        <v>7361</v>
      </c>
      <c r="C367" s="53" t="s">
        <v>786</v>
      </c>
      <c r="D367" s="54" t="s">
        <v>7809</v>
      </c>
      <c r="E367" s="50">
        <f t="shared" si="12"/>
        <v>4.9726027400000001</v>
      </c>
      <c r="F367" s="51">
        <f t="shared" si="12"/>
        <v>3.8846990799999999</v>
      </c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</row>
    <row r="368" spans="1:28" x14ac:dyDescent="0.15">
      <c r="A368" s="46" t="s">
        <v>787</v>
      </c>
      <c r="B368" s="52" t="s">
        <v>7361</v>
      </c>
      <c r="C368" s="53" t="s">
        <v>788</v>
      </c>
      <c r="D368" s="54" t="s">
        <v>7810</v>
      </c>
      <c r="E368" s="50">
        <f t="shared" si="12"/>
        <v>4.9863013699999996</v>
      </c>
      <c r="F368" s="51">
        <f t="shared" si="12"/>
        <v>3.8852632900000001</v>
      </c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</row>
    <row r="369" spans="1:28" x14ac:dyDescent="0.15">
      <c r="A369" s="46" t="s">
        <v>789</v>
      </c>
      <c r="B369" s="52" t="s">
        <v>7361</v>
      </c>
      <c r="C369" s="53" t="s">
        <v>790</v>
      </c>
      <c r="D369" s="54" t="s">
        <v>7811</v>
      </c>
      <c r="E369" s="50">
        <f t="shared" si="12"/>
        <v>5</v>
      </c>
      <c r="F369" s="51">
        <f t="shared" si="12"/>
        <v>3.8858304100000001</v>
      </c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</row>
    <row r="370" spans="1:28" x14ac:dyDescent="0.15">
      <c r="A370" s="46" t="s">
        <v>791</v>
      </c>
      <c r="B370" s="52" t="s">
        <v>7361</v>
      </c>
      <c r="C370" s="53" t="s">
        <v>792</v>
      </c>
      <c r="D370" s="54" t="s">
        <v>7812</v>
      </c>
      <c r="E370" s="50">
        <f t="shared" si="12"/>
        <v>5.0136986300000004</v>
      </c>
      <c r="F370" s="51">
        <f t="shared" si="12"/>
        <v>3.8863970600000002</v>
      </c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</row>
    <row r="371" spans="1:28" x14ac:dyDescent="0.15">
      <c r="A371" s="46" t="s">
        <v>793</v>
      </c>
      <c r="B371" s="52" t="s">
        <v>7361</v>
      </c>
      <c r="C371" s="53" t="s">
        <v>794</v>
      </c>
      <c r="D371" s="54" t="s">
        <v>7813</v>
      </c>
      <c r="E371" s="50">
        <f t="shared" si="12"/>
        <v>5.0273972599999999</v>
      </c>
      <c r="F371" s="51">
        <f t="shared" si="12"/>
        <v>3.8869598000000001</v>
      </c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</row>
    <row r="372" spans="1:28" x14ac:dyDescent="0.15">
      <c r="A372" s="46" t="s">
        <v>795</v>
      </c>
      <c r="B372" s="52" t="s">
        <v>7361</v>
      </c>
      <c r="C372" s="53" t="s">
        <v>796</v>
      </c>
      <c r="D372" s="54" t="s">
        <v>7814</v>
      </c>
      <c r="E372" s="50">
        <f t="shared" si="12"/>
        <v>5.0410958900000002</v>
      </c>
      <c r="F372" s="51">
        <f t="shared" si="12"/>
        <v>3.8875188000000001</v>
      </c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</row>
    <row r="373" spans="1:28" x14ac:dyDescent="0.15">
      <c r="A373" s="46" t="s">
        <v>797</v>
      </c>
      <c r="B373" s="52" t="s">
        <v>7361</v>
      </c>
      <c r="C373" s="53" t="s">
        <v>798</v>
      </c>
      <c r="D373" s="54" t="s">
        <v>7815</v>
      </c>
      <c r="E373" s="50">
        <f t="shared" si="12"/>
        <v>5.0547945199999997</v>
      </c>
      <c r="F373" s="51">
        <f t="shared" si="12"/>
        <v>3.88807423</v>
      </c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</row>
    <row r="374" spans="1:28" x14ac:dyDescent="0.15">
      <c r="A374" s="46" t="s">
        <v>799</v>
      </c>
      <c r="B374" s="52" t="s">
        <v>7361</v>
      </c>
      <c r="C374" s="53" t="s">
        <v>800</v>
      </c>
      <c r="D374" s="54" t="s">
        <v>7816</v>
      </c>
      <c r="E374" s="50">
        <f t="shared" si="12"/>
        <v>5.0684931500000001</v>
      </c>
      <c r="F374" s="51">
        <f t="shared" si="12"/>
        <v>3.8886262600000001</v>
      </c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</row>
    <row r="375" spans="1:28" x14ac:dyDescent="0.15">
      <c r="A375" s="46" t="s">
        <v>801</v>
      </c>
      <c r="B375" s="52" t="s">
        <v>7361</v>
      </c>
      <c r="C375" s="53" t="s">
        <v>802</v>
      </c>
      <c r="D375" s="54" t="s">
        <v>7817</v>
      </c>
      <c r="E375" s="50">
        <f t="shared" si="12"/>
        <v>5.0821917799999996</v>
      </c>
      <c r="F375" s="51">
        <f t="shared" si="12"/>
        <v>3.88917505</v>
      </c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</row>
    <row r="376" spans="1:28" x14ac:dyDescent="0.15">
      <c r="A376" s="46" t="s">
        <v>803</v>
      </c>
      <c r="B376" s="52" t="s">
        <v>7361</v>
      </c>
      <c r="C376" s="53" t="s">
        <v>804</v>
      </c>
      <c r="D376" s="54" t="s">
        <v>7818</v>
      </c>
      <c r="E376" s="50">
        <f t="shared" si="12"/>
        <v>5.09589041</v>
      </c>
      <c r="F376" s="51">
        <f t="shared" si="12"/>
        <v>3.8897207699999998</v>
      </c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</row>
    <row r="377" spans="1:28" x14ac:dyDescent="0.15">
      <c r="A377" s="46" t="s">
        <v>805</v>
      </c>
      <c r="B377" s="52" t="s">
        <v>7361</v>
      </c>
      <c r="C377" s="53" t="s">
        <v>806</v>
      </c>
      <c r="D377" s="54" t="s">
        <v>7819</v>
      </c>
      <c r="E377" s="50">
        <f t="shared" si="12"/>
        <v>5.1095890400000004</v>
      </c>
      <c r="F377" s="51">
        <f t="shared" si="12"/>
        <v>3.89026359</v>
      </c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</row>
    <row r="378" spans="1:28" x14ac:dyDescent="0.15">
      <c r="A378" s="46" t="s">
        <v>807</v>
      </c>
      <c r="B378" s="52" t="s">
        <v>7361</v>
      </c>
      <c r="C378" s="53" t="s">
        <v>808</v>
      </c>
      <c r="D378" s="54" t="s">
        <v>7820</v>
      </c>
      <c r="E378" s="50">
        <f t="shared" si="12"/>
        <v>5.1232876699999998</v>
      </c>
      <c r="F378" s="51">
        <f t="shared" si="12"/>
        <v>3.8908036799999999</v>
      </c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</row>
    <row r="379" spans="1:28" x14ac:dyDescent="0.15">
      <c r="A379" s="46" t="s">
        <v>809</v>
      </c>
      <c r="B379" s="52" t="s">
        <v>7361</v>
      </c>
      <c r="C379" s="53" t="s">
        <v>810</v>
      </c>
      <c r="D379" s="54" t="s">
        <v>7821</v>
      </c>
      <c r="E379" s="50">
        <f t="shared" si="12"/>
        <v>5.1369863000000002</v>
      </c>
      <c r="F379" s="51">
        <f t="shared" si="12"/>
        <v>3.8913411999999998</v>
      </c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</row>
    <row r="380" spans="1:28" x14ac:dyDescent="0.15">
      <c r="A380" s="46" t="s">
        <v>811</v>
      </c>
      <c r="B380" s="52" t="s">
        <v>7361</v>
      </c>
      <c r="C380" s="53" t="s">
        <v>812</v>
      </c>
      <c r="D380" s="54" t="s">
        <v>7822</v>
      </c>
      <c r="E380" s="50">
        <f t="shared" si="12"/>
        <v>5.1506849299999997</v>
      </c>
      <c r="F380" s="51">
        <f t="shared" si="12"/>
        <v>3.8918763200000002</v>
      </c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</row>
    <row r="381" spans="1:28" x14ac:dyDescent="0.15">
      <c r="A381" s="46" t="s">
        <v>813</v>
      </c>
      <c r="B381" s="52" t="s">
        <v>7361</v>
      </c>
      <c r="C381" s="53" t="s">
        <v>814</v>
      </c>
      <c r="D381" s="54" t="s">
        <v>7823</v>
      </c>
      <c r="E381" s="50">
        <f t="shared" si="12"/>
        <v>5.1643835600000001</v>
      </c>
      <c r="F381" s="51">
        <f t="shared" si="12"/>
        <v>3.8924091999999999</v>
      </c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</row>
    <row r="382" spans="1:28" x14ac:dyDescent="0.15">
      <c r="A382" s="46" t="s">
        <v>815</v>
      </c>
      <c r="B382" s="52" t="s">
        <v>7361</v>
      </c>
      <c r="C382" s="53" t="s">
        <v>816</v>
      </c>
      <c r="D382" s="54" t="s">
        <v>7824</v>
      </c>
      <c r="E382" s="50">
        <f t="shared" si="12"/>
        <v>5.1780821899999996</v>
      </c>
      <c r="F382" s="51">
        <f t="shared" si="12"/>
        <v>3.8929400200000002</v>
      </c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</row>
    <row r="383" spans="1:28" x14ac:dyDescent="0.15">
      <c r="A383" s="46" t="s">
        <v>817</v>
      </c>
      <c r="B383" s="52" t="s">
        <v>7361</v>
      </c>
      <c r="C383" s="53" t="s">
        <v>818</v>
      </c>
      <c r="D383" s="54" t="s">
        <v>7825</v>
      </c>
      <c r="E383" s="50">
        <f t="shared" si="12"/>
        <v>5.19178082</v>
      </c>
      <c r="F383" s="51">
        <f t="shared" si="12"/>
        <v>3.8934689499999999</v>
      </c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</row>
    <row r="384" spans="1:28" x14ac:dyDescent="0.15">
      <c r="A384" s="46" t="s">
        <v>819</v>
      </c>
      <c r="B384" s="52" t="s">
        <v>7361</v>
      </c>
      <c r="C384" s="53" t="s">
        <v>820</v>
      </c>
      <c r="D384" s="54" t="s">
        <v>7826</v>
      </c>
      <c r="E384" s="50">
        <f t="shared" si="12"/>
        <v>5.2054794500000003</v>
      </c>
      <c r="F384" s="51">
        <f t="shared" si="12"/>
        <v>3.8939961400000001</v>
      </c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</row>
    <row r="385" spans="1:28" x14ac:dyDescent="0.15">
      <c r="A385" s="46" t="s">
        <v>821</v>
      </c>
      <c r="B385" s="52" t="s">
        <v>7361</v>
      </c>
      <c r="C385" s="53" t="s">
        <v>822</v>
      </c>
      <c r="D385" s="54" t="s">
        <v>7827</v>
      </c>
      <c r="E385" s="50">
        <f t="shared" si="12"/>
        <v>5.2191780799999998</v>
      </c>
      <c r="F385" s="51">
        <f t="shared" si="12"/>
        <v>3.8945217699999999</v>
      </c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</row>
    <row r="386" spans="1:28" x14ac:dyDescent="0.15">
      <c r="A386" s="46" t="s">
        <v>823</v>
      </c>
      <c r="B386" s="52" t="s">
        <v>7361</v>
      </c>
      <c r="C386" s="53" t="s">
        <v>824</v>
      </c>
      <c r="D386" s="54" t="s">
        <v>7828</v>
      </c>
      <c r="E386" s="50">
        <f t="shared" si="12"/>
        <v>5.2328767100000002</v>
      </c>
      <c r="F386" s="51">
        <f t="shared" si="12"/>
        <v>3.8950460100000002</v>
      </c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</row>
    <row r="387" spans="1:28" x14ac:dyDescent="0.15">
      <c r="A387" s="46" t="s">
        <v>825</v>
      </c>
      <c r="B387" s="52" t="s">
        <v>7361</v>
      </c>
      <c r="C387" s="53" t="s">
        <v>826</v>
      </c>
      <c r="D387" s="54" t="s">
        <v>7829</v>
      </c>
      <c r="E387" s="50">
        <f t="shared" si="12"/>
        <v>5.2465753399999997</v>
      </c>
      <c r="F387" s="51">
        <f t="shared" si="12"/>
        <v>3.8955690199999999</v>
      </c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</row>
    <row r="388" spans="1:28" x14ac:dyDescent="0.15">
      <c r="A388" s="46" t="s">
        <v>827</v>
      </c>
      <c r="B388" s="52" t="s">
        <v>7361</v>
      </c>
      <c r="C388" s="53" t="s">
        <v>828</v>
      </c>
      <c r="D388" s="54" t="s">
        <v>7830</v>
      </c>
      <c r="E388" s="50">
        <f t="shared" si="12"/>
        <v>5.2602739700000001</v>
      </c>
      <c r="F388" s="51">
        <f t="shared" si="12"/>
        <v>3.8960909699999999</v>
      </c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</row>
    <row r="389" spans="1:28" x14ac:dyDescent="0.15">
      <c r="A389" s="46" t="s">
        <v>829</v>
      </c>
      <c r="B389" s="52" t="s">
        <v>7361</v>
      </c>
      <c r="C389" s="53" t="s">
        <v>830</v>
      </c>
      <c r="D389" s="54" t="s">
        <v>7831</v>
      </c>
      <c r="E389" s="50">
        <f t="shared" si="12"/>
        <v>5.2739725999999996</v>
      </c>
      <c r="F389" s="51">
        <f t="shared" si="12"/>
        <v>3.8966120200000001</v>
      </c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</row>
    <row r="390" spans="1:28" x14ac:dyDescent="0.15">
      <c r="A390" s="46" t="s">
        <v>831</v>
      </c>
      <c r="B390" s="52" t="s">
        <v>7361</v>
      </c>
      <c r="C390" s="53" t="s">
        <v>832</v>
      </c>
      <c r="D390" s="54" t="s">
        <v>7832</v>
      </c>
      <c r="E390" s="50">
        <f t="shared" si="12"/>
        <v>5.2876712299999999</v>
      </c>
      <c r="F390" s="51">
        <f t="shared" si="12"/>
        <v>3.8971323600000001</v>
      </c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</row>
    <row r="391" spans="1:28" x14ac:dyDescent="0.15">
      <c r="A391" s="46" t="s">
        <v>833</v>
      </c>
      <c r="B391" s="52" t="s">
        <v>7361</v>
      </c>
      <c r="C391" s="53" t="s">
        <v>834</v>
      </c>
      <c r="D391" s="54" t="s">
        <v>7833</v>
      </c>
      <c r="E391" s="50">
        <f t="shared" ref="E391:F421" si="13">VALUE(C391)</f>
        <v>5.3013698600000003</v>
      </c>
      <c r="F391" s="51">
        <f t="shared" si="13"/>
        <v>3.89765213</v>
      </c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</row>
    <row r="392" spans="1:28" x14ac:dyDescent="0.15">
      <c r="A392" s="46" t="s">
        <v>835</v>
      </c>
      <c r="B392" s="52" t="s">
        <v>7361</v>
      </c>
      <c r="C392" s="53" t="s">
        <v>836</v>
      </c>
      <c r="D392" s="54" t="s">
        <v>7834</v>
      </c>
      <c r="E392" s="50">
        <f t="shared" si="13"/>
        <v>5.3150684899999998</v>
      </c>
      <c r="F392" s="51">
        <f t="shared" si="13"/>
        <v>3.8981715100000001</v>
      </c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</row>
    <row r="393" spans="1:28" x14ac:dyDescent="0.15">
      <c r="A393" s="46" t="s">
        <v>837</v>
      </c>
      <c r="B393" s="52" t="s">
        <v>7361</v>
      </c>
      <c r="C393" s="53" t="s">
        <v>838</v>
      </c>
      <c r="D393" s="54" t="s">
        <v>7835</v>
      </c>
      <c r="E393" s="50">
        <f t="shared" si="13"/>
        <v>5.3287671200000002</v>
      </c>
      <c r="F393" s="51">
        <f t="shared" si="13"/>
        <v>3.8986906700000001</v>
      </c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</row>
    <row r="394" spans="1:28" x14ac:dyDescent="0.15">
      <c r="A394" s="46" t="s">
        <v>839</v>
      </c>
      <c r="B394" s="52" t="s">
        <v>7361</v>
      </c>
      <c r="C394" s="53" t="s">
        <v>840</v>
      </c>
      <c r="D394" s="54" t="s">
        <v>7836</v>
      </c>
      <c r="E394" s="50">
        <f t="shared" si="13"/>
        <v>5.3424657499999997</v>
      </c>
      <c r="F394" s="51">
        <f t="shared" si="13"/>
        <v>3.8992097700000001</v>
      </c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</row>
    <row r="395" spans="1:28" x14ac:dyDescent="0.15">
      <c r="A395" s="46" t="s">
        <v>841</v>
      </c>
      <c r="B395" s="52" t="s">
        <v>7361</v>
      </c>
      <c r="C395" s="53" t="s">
        <v>842</v>
      </c>
      <c r="D395" s="54" t="s">
        <v>7837</v>
      </c>
      <c r="E395" s="50">
        <f t="shared" si="13"/>
        <v>5.3561643800000001</v>
      </c>
      <c r="F395" s="51">
        <f t="shared" si="13"/>
        <v>3.8997289899999998</v>
      </c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</row>
    <row r="396" spans="1:28" x14ac:dyDescent="0.15">
      <c r="A396" s="46" t="s">
        <v>843</v>
      </c>
      <c r="B396" s="52" t="s">
        <v>7361</v>
      </c>
      <c r="C396" s="53" t="s">
        <v>844</v>
      </c>
      <c r="D396" s="54" t="s">
        <v>7838</v>
      </c>
      <c r="E396" s="50">
        <f t="shared" si="13"/>
        <v>5.3698630100000004</v>
      </c>
      <c r="F396" s="51">
        <f t="shared" si="13"/>
        <v>3.9002484800000001</v>
      </c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</row>
    <row r="397" spans="1:28" x14ac:dyDescent="0.15">
      <c r="A397" s="46" t="s">
        <v>845</v>
      </c>
      <c r="B397" s="52" t="s">
        <v>7361</v>
      </c>
      <c r="C397" s="53" t="s">
        <v>846</v>
      </c>
      <c r="D397" s="54" t="s">
        <v>7839</v>
      </c>
      <c r="E397" s="50">
        <f t="shared" si="13"/>
        <v>5.3835616399999999</v>
      </c>
      <c r="F397" s="51">
        <f t="shared" si="13"/>
        <v>3.9007684199999999</v>
      </c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</row>
    <row r="398" spans="1:28" x14ac:dyDescent="0.15">
      <c r="A398" s="46" t="s">
        <v>847</v>
      </c>
      <c r="B398" s="52" t="s">
        <v>7361</v>
      </c>
      <c r="C398" s="53" t="s">
        <v>848</v>
      </c>
      <c r="D398" s="54" t="s">
        <v>7840</v>
      </c>
      <c r="E398" s="50">
        <f t="shared" si="13"/>
        <v>5.3972602700000003</v>
      </c>
      <c r="F398" s="51">
        <f t="shared" si="13"/>
        <v>3.90128897</v>
      </c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</row>
    <row r="399" spans="1:28" x14ac:dyDescent="0.15">
      <c r="A399" s="46" t="s">
        <v>849</v>
      </c>
      <c r="B399" s="52" t="s">
        <v>7361</v>
      </c>
      <c r="C399" s="53" t="s">
        <v>850</v>
      </c>
      <c r="D399" s="54" t="s">
        <v>7841</v>
      </c>
      <c r="E399" s="50">
        <f t="shared" si="13"/>
        <v>5.4109588999999998</v>
      </c>
      <c r="F399" s="51">
        <f t="shared" si="13"/>
        <v>3.9018103100000001</v>
      </c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</row>
    <row r="400" spans="1:28" x14ac:dyDescent="0.15">
      <c r="A400" s="46" t="s">
        <v>851</v>
      </c>
      <c r="B400" s="52" t="s">
        <v>7361</v>
      </c>
      <c r="C400" s="53" t="s">
        <v>852</v>
      </c>
      <c r="D400" s="54" t="s">
        <v>7842</v>
      </c>
      <c r="E400" s="50">
        <f t="shared" si="13"/>
        <v>5.4246575300000002</v>
      </c>
      <c r="F400" s="51">
        <f t="shared" si="13"/>
        <v>3.9023325899999999</v>
      </c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</row>
    <row r="401" spans="1:28" x14ac:dyDescent="0.15">
      <c r="A401" s="46" t="s">
        <v>853</v>
      </c>
      <c r="B401" s="52" t="s">
        <v>7361</v>
      </c>
      <c r="C401" s="53" t="s">
        <v>854</v>
      </c>
      <c r="D401" s="54" t="s">
        <v>7843</v>
      </c>
      <c r="E401" s="50">
        <f t="shared" si="13"/>
        <v>5.4383561599999997</v>
      </c>
      <c r="F401" s="51">
        <f t="shared" si="13"/>
        <v>3.9028559899999999</v>
      </c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</row>
    <row r="402" spans="1:28" x14ac:dyDescent="0.15">
      <c r="A402" s="46" t="s">
        <v>855</v>
      </c>
      <c r="B402" s="52" t="s">
        <v>7361</v>
      </c>
      <c r="C402" s="53" t="s">
        <v>856</v>
      </c>
      <c r="D402" s="54" t="s">
        <v>7844</v>
      </c>
      <c r="E402" s="50">
        <f t="shared" si="13"/>
        <v>5.45205479</v>
      </c>
      <c r="F402" s="51">
        <f t="shared" si="13"/>
        <v>3.9033806700000002</v>
      </c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</row>
    <row r="403" spans="1:28" x14ac:dyDescent="0.15">
      <c r="A403" s="46" t="s">
        <v>857</v>
      </c>
      <c r="B403" s="52" t="s">
        <v>7361</v>
      </c>
      <c r="C403" s="53" t="s">
        <v>858</v>
      </c>
      <c r="D403" s="54" t="s">
        <v>7845</v>
      </c>
      <c r="E403" s="50">
        <f t="shared" si="13"/>
        <v>5.4657534200000004</v>
      </c>
      <c r="F403" s="51">
        <f t="shared" si="13"/>
        <v>3.9039068100000001</v>
      </c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</row>
    <row r="404" spans="1:28" x14ac:dyDescent="0.15">
      <c r="A404" s="46" t="s">
        <v>859</v>
      </c>
      <c r="B404" s="52" t="s">
        <v>7361</v>
      </c>
      <c r="C404" s="53" t="s">
        <v>860</v>
      </c>
      <c r="D404" s="54" t="s">
        <v>7846</v>
      </c>
      <c r="E404" s="50">
        <f t="shared" si="13"/>
        <v>5.4794520499999999</v>
      </c>
      <c r="F404" s="51">
        <f t="shared" si="13"/>
        <v>3.9044345599999999</v>
      </c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</row>
    <row r="405" spans="1:28" x14ac:dyDescent="0.15">
      <c r="A405" s="46" t="s">
        <v>861</v>
      </c>
      <c r="B405" s="52" t="s">
        <v>7361</v>
      </c>
      <c r="C405" s="53" t="s">
        <v>862</v>
      </c>
      <c r="D405" s="54" t="s">
        <v>7847</v>
      </c>
      <c r="E405" s="50">
        <f t="shared" si="13"/>
        <v>5.4931506800000003</v>
      </c>
      <c r="F405" s="51">
        <f t="shared" si="13"/>
        <v>3.9049640999999999</v>
      </c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</row>
    <row r="406" spans="1:28" x14ac:dyDescent="0.15">
      <c r="A406" s="46" t="s">
        <v>863</v>
      </c>
      <c r="B406" s="52" t="s">
        <v>7361</v>
      </c>
      <c r="C406" s="53" t="s">
        <v>864</v>
      </c>
      <c r="D406" s="54" t="s">
        <v>7848</v>
      </c>
      <c r="E406" s="50">
        <f t="shared" si="13"/>
        <v>5.5068493199999997</v>
      </c>
      <c r="F406" s="51">
        <f t="shared" si="13"/>
        <v>3.9054955599999999</v>
      </c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</row>
    <row r="407" spans="1:28" x14ac:dyDescent="0.15">
      <c r="A407" s="46" t="s">
        <v>865</v>
      </c>
      <c r="B407" s="52" t="s">
        <v>7361</v>
      </c>
      <c r="C407" s="53" t="s">
        <v>866</v>
      </c>
      <c r="D407" s="54" t="s">
        <v>7849</v>
      </c>
      <c r="E407" s="50">
        <f t="shared" si="13"/>
        <v>5.5205479500000001</v>
      </c>
      <c r="F407" s="51">
        <f t="shared" si="13"/>
        <v>3.90602881</v>
      </c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</row>
    <row r="408" spans="1:28" x14ac:dyDescent="0.15">
      <c r="A408" s="46" t="s">
        <v>867</v>
      </c>
      <c r="B408" s="52" t="s">
        <v>7361</v>
      </c>
      <c r="C408" s="53" t="s">
        <v>868</v>
      </c>
      <c r="D408" s="54" t="s">
        <v>7850</v>
      </c>
      <c r="E408" s="50">
        <f t="shared" si="13"/>
        <v>5.5342465799999996</v>
      </c>
      <c r="F408" s="51">
        <f t="shared" si="13"/>
        <v>3.9065637500000001</v>
      </c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</row>
    <row r="409" spans="1:28" x14ac:dyDescent="0.15">
      <c r="A409" s="46" t="s">
        <v>869</v>
      </c>
      <c r="B409" s="52" t="s">
        <v>7361</v>
      </c>
      <c r="C409" s="53" t="s">
        <v>870</v>
      </c>
      <c r="D409" s="54" t="s">
        <v>7851</v>
      </c>
      <c r="E409" s="50">
        <f t="shared" si="13"/>
        <v>5.54794521</v>
      </c>
      <c r="F409" s="51">
        <f t="shared" si="13"/>
        <v>3.9071003200000001</v>
      </c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</row>
    <row r="410" spans="1:28" x14ac:dyDescent="0.15">
      <c r="A410" s="46" t="s">
        <v>871</v>
      </c>
      <c r="B410" s="52" t="s">
        <v>7361</v>
      </c>
      <c r="C410" s="53" t="s">
        <v>872</v>
      </c>
      <c r="D410" s="54" t="s">
        <v>7852</v>
      </c>
      <c r="E410" s="50">
        <f t="shared" si="13"/>
        <v>5.5616438400000003</v>
      </c>
      <c r="F410" s="51">
        <f t="shared" si="13"/>
        <v>3.90763843</v>
      </c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</row>
    <row r="411" spans="1:28" x14ac:dyDescent="0.15">
      <c r="A411" s="46" t="s">
        <v>873</v>
      </c>
      <c r="B411" s="52" t="s">
        <v>7361</v>
      </c>
      <c r="C411" s="53" t="s">
        <v>874</v>
      </c>
      <c r="D411" s="54" t="s">
        <v>7853</v>
      </c>
      <c r="E411" s="50">
        <f t="shared" si="13"/>
        <v>5.5753424699999998</v>
      </c>
      <c r="F411" s="51">
        <f t="shared" si="13"/>
        <v>3.9081780099999999</v>
      </c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</row>
    <row r="412" spans="1:28" x14ac:dyDescent="0.15">
      <c r="A412" s="46" t="s">
        <v>875</v>
      </c>
      <c r="B412" s="52" t="s">
        <v>7361</v>
      </c>
      <c r="C412" s="53" t="s">
        <v>876</v>
      </c>
      <c r="D412" s="54" t="s">
        <v>7854</v>
      </c>
      <c r="E412" s="50">
        <f t="shared" si="13"/>
        <v>5.5890411000000002</v>
      </c>
      <c r="F412" s="51">
        <f t="shared" si="13"/>
        <v>3.9087189900000001</v>
      </c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</row>
    <row r="413" spans="1:28" x14ac:dyDescent="0.15">
      <c r="A413" s="46" t="s">
        <v>877</v>
      </c>
      <c r="B413" s="52" t="s">
        <v>7361</v>
      </c>
      <c r="C413" s="53" t="s">
        <v>878</v>
      </c>
      <c r="D413" s="54" t="s">
        <v>7855</v>
      </c>
      <c r="E413" s="50">
        <f t="shared" si="13"/>
        <v>5.6027397299999997</v>
      </c>
      <c r="F413" s="51">
        <f t="shared" si="13"/>
        <v>3.9092612999999998</v>
      </c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</row>
    <row r="414" spans="1:28" x14ac:dyDescent="0.15">
      <c r="A414" s="46" t="s">
        <v>879</v>
      </c>
      <c r="B414" s="52" t="s">
        <v>7361</v>
      </c>
      <c r="C414" s="53" t="s">
        <v>880</v>
      </c>
      <c r="D414" s="54" t="s">
        <v>7856</v>
      </c>
      <c r="E414" s="50">
        <f t="shared" si="13"/>
        <v>5.6164383600000001</v>
      </c>
      <c r="F414" s="51">
        <f t="shared" si="13"/>
        <v>3.90980485</v>
      </c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</row>
    <row r="415" spans="1:28" x14ac:dyDescent="0.15">
      <c r="A415" s="46" t="s">
        <v>881</v>
      </c>
      <c r="B415" s="52" t="s">
        <v>7361</v>
      </c>
      <c r="C415" s="53" t="s">
        <v>882</v>
      </c>
      <c r="D415" s="54" t="s">
        <v>7857</v>
      </c>
      <c r="E415" s="50">
        <f t="shared" si="13"/>
        <v>5.6301369899999996</v>
      </c>
      <c r="F415" s="51">
        <f t="shared" si="13"/>
        <v>3.9103495800000001</v>
      </c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</row>
    <row r="416" spans="1:28" x14ac:dyDescent="0.15">
      <c r="A416" s="46" t="s">
        <v>883</v>
      </c>
      <c r="B416" s="52" t="s">
        <v>7361</v>
      </c>
      <c r="C416" s="53" t="s">
        <v>884</v>
      </c>
      <c r="D416" s="54" t="s">
        <v>7858</v>
      </c>
      <c r="E416" s="50">
        <f t="shared" si="13"/>
        <v>5.6438356199999999</v>
      </c>
      <c r="F416" s="51">
        <f t="shared" si="13"/>
        <v>3.9108954100000002</v>
      </c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</row>
    <row r="417" spans="1:28" x14ac:dyDescent="0.15">
      <c r="A417" s="46" t="s">
        <v>885</v>
      </c>
      <c r="B417" s="52" t="s">
        <v>7361</v>
      </c>
      <c r="C417" s="53" t="s">
        <v>886</v>
      </c>
      <c r="D417" s="54" t="s">
        <v>7859</v>
      </c>
      <c r="E417" s="50">
        <f t="shared" si="13"/>
        <v>5.6575342500000003</v>
      </c>
      <c r="F417" s="51">
        <f t="shared" si="13"/>
        <v>3.9114422599999998</v>
      </c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</row>
    <row r="418" spans="1:28" x14ac:dyDescent="0.15">
      <c r="A418" s="46" t="s">
        <v>887</v>
      </c>
      <c r="B418" s="52" t="s">
        <v>7361</v>
      </c>
      <c r="C418" s="53" t="s">
        <v>888</v>
      </c>
      <c r="D418" s="54" t="s">
        <v>7860</v>
      </c>
      <c r="E418" s="50">
        <f t="shared" si="13"/>
        <v>5.6712328799999998</v>
      </c>
      <c r="F418" s="51">
        <f t="shared" si="13"/>
        <v>3.9119900699999999</v>
      </c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</row>
    <row r="419" spans="1:28" x14ac:dyDescent="0.15">
      <c r="A419" s="46" t="s">
        <v>889</v>
      </c>
      <c r="B419" s="52" t="s">
        <v>7361</v>
      </c>
      <c r="C419" s="53" t="s">
        <v>890</v>
      </c>
      <c r="D419" s="54" t="s">
        <v>7861</v>
      </c>
      <c r="E419" s="50">
        <f t="shared" si="13"/>
        <v>5.6849315100000002</v>
      </c>
      <c r="F419" s="51">
        <f t="shared" si="13"/>
        <v>3.9125387599999999</v>
      </c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</row>
    <row r="420" spans="1:28" x14ac:dyDescent="0.15">
      <c r="A420" s="46" t="s">
        <v>891</v>
      </c>
      <c r="B420" s="52" t="s">
        <v>7361</v>
      </c>
      <c r="C420" s="53" t="s">
        <v>892</v>
      </c>
      <c r="D420" s="54" t="s">
        <v>7862</v>
      </c>
      <c r="E420" s="50">
        <f t="shared" si="13"/>
        <v>5.6986301399999997</v>
      </c>
      <c r="F420" s="51">
        <f t="shared" si="13"/>
        <v>3.9130882499999999</v>
      </c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</row>
    <row r="421" spans="1:28" x14ac:dyDescent="0.15">
      <c r="A421" s="46" t="s">
        <v>893</v>
      </c>
      <c r="B421" s="52" t="s">
        <v>7361</v>
      </c>
      <c r="C421" s="53" t="s">
        <v>894</v>
      </c>
      <c r="D421" s="54" t="s">
        <v>7863</v>
      </c>
      <c r="E421" s="50">
        <f t="shared" si="13"/>
        <v>5.7123287700000001</v>
      </c>
      <c r="F421" s="51">
        <f t="shared" si="13"/>
        <v>3.91363847</v>
      </c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</row>
    <row r="422" spans="1:28" x14ac:dyDescent="0.15">
      <c r="A422" s="46" t="s">
        <v>895</v>
      </c>
      <c r="B422" s="52" t="s">
        <v>7361</v>
      </c>
      <c r="C422" s="53" t="s">
        <v>896</v>
      </c>
      <c r="D422" s="54" t="s">
        <v>7864</v>
      </c>
      <c r="E422" s="50">
        <f t="shared" ref="E422:F437" si="14">VALUE(C422)</f>
        <v>5.7260274000000004</v>
      </c>
      <c r="F422" s="51">
        <f t="shared" si="14"/>
        <v>3.91418935</v>
      </c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</row>
    <row r="423" spans="1:28" x14ac:dyDescent="0.15">
      <c r="A423" s="46" t="s">
        <v>897</v>
      </c>
      <c r="B423" s="52" t="s">
        <v>7361</v>
      </c>
      <c r="C423" s="53" t="s">
        <v>898</v>
      </c>
      <c r="D423" s="54" t="s">
        <v>7865</v>
      </c>
      <c r="E423" s="50">
        <f t="shared" si="14"/>
        <v>5.7397260299999999</v>
      </c>
      <c r="F423" s="51">
        <f t="shared" si="14"/>
        <v>3.9147408100000001</v>
      </c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</row>
    <row r="424" spans="1:28" x14ac:dyDescent="0.15">
      <c r="A424" s="46" t="s">
        <v>899</v>
      </c>
      <c r="B424" s="52" t="s">
        <v>7361</v>
      </c>
      <c r="C424" s="53" t="s">
        <v>900</v>
      </c>
      <c r="D424" s="54" t="s">
        <v>7866</v>
      </c>
      <c r="E424" s="50">
        <f t="shared" si="14"/>
        <v>5.7534246600000003</v>
      </c>
      <c r="F424" s="51">
        <f t="shared" si="14"/>
        <v>3.9152927700000002</v>
      </c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</row>
    <row r="425" spans="1:28" x14ac:dyDescent="0.15">
      <c r="A425" s="46" t="s">
        <v>901</v>
      </c>
      <c r="B425" s="52" t="s">
        <v>7361</v>
      </c>
      <c r="C425" s="53" t="s">
        <v>902</v>
      </c>
      <c r="D425" s="54" t="s">
        <v>7867</v>
      </c>
      <c r="E425" s="50">
        <f t="shared" si="14"/>
        <v>5.7671232899999998</v>
      </c>
      <c r="F425" s="51">
        <f t="shared" si="14"/>
        <v>3.9158451699999999</v>
      </c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</row>
    <row r="426" spans="1:28" x14ac:dyDescent="0.15">
      <c r="A426" s="46" t="s">
        <v>903</v>
      </c>
      <c r="B426" s="52" t="s">
        <v>7361</v>
      </c>
      <c r="C426" s="53" t="s">
        <v>904</v>
      </c>
      <c r="D426" s="54" t="s">
        <v>7868</v>
      </c>
      <c r="E426" s="50">
        <f t="shared" si="14"/>
        <v>5.7808219200000002</v>
      </c>
      <c r="F426" s="51">
        <f t="shared" si="14"/>
        <v>3.91639793</v>
      </c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</row>
    <row r="427" spans="1:28" x14ac:dyDescent="0.15">
      <c r="A427" s="46" t="s">
        <v>905</v>
      </c>
      <c r="B427" s="52" t="s">
        <v>7361</v>
      </c>
      <c r="C427" s="53" t="s">
        <v>906</v>
      </c>
      <c r="D427" s="54" t="s">
        <v>7869</v>
      </c>
      <c r="E427" s="50">
        <f t="shared" si="14"/>
        <v>5.7945205499999997</v>
      </c>
      <c r="F427" s="51">
        <f t="shared" si="14"/>
        <v>3.9169509699999998</v>
      </c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</row>
    <row r="428" spans="1:28" x14ac:dyDescent="0.15">
      <c r="A428" s="46" t="s">
        <v>907</v>
      </c>
      <c r="B428" s="52" t="s">
        <v>7361</v>
      </c>
      <c r="C428" s="53" t="s">
        <v>908</v>
      </c>
      <c r="D428" s="54" t="s">
        <v>7870</v>
      </c>
      <c r="E428" s="50">
        <f t="shared" si="14"/>
        <v>5.80821918</v>
      </c>
      <c r="F428" s="51">
        <f t="shared" si="14"/>
        <v>3.9175042200000001</v>
      </c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</row>
    <row r="429" spans="1:28" x14ac:dyDescent="0.15">
      <c r="A429" s="46" t="s">
        <v>909</v>
      </c>
      <c r="B429" s="52" t="s">
        <v>7361</v>
      </c>
      <c r="C429" s="53" t="s">
        <v>910</v>
      </c>
      <c r="D429" s="54" t="s">
        <v>7871</v>
      </c>
      <c r="E429" s="50">
        <f t="shared" si="14"/>
        <v>5.8219178100000004</v>
      </c>
      <c r="F429" s="51">
        <f t="shared" si="14"/>
        <v>3.9180576</v>
      </c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</row>
    <row r="430" spans="1:28" x14ac:dyDescent="0.15">
      <c r="A430" s="46" t="s">
        <v>911</v>
      </c>
      <c r="B430" s="52" t="s">
        <v>7361</v>
      </c>
      <c r="C430" s="53" t="s">
        <v>912</v>
      </c>
      <c r="D430" s="54" t="s">
        <v>7872</v>
      </c>
      <c r="E430" s="50">
        <f t="shared" si="14"/>
        <v>5.8356164399999999</v>
      </c>
      <c r="F430" s="51">
        <f t="shared" si="14"/>
        <v>3.91861105</v>
      </c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</row>
    <row r="431" spans="1:28" x14ac:dyDescent="0.15">
      <c r="A431" s="46" t="s">
        <v>913</v>
      </c>
      <c r="B431" s="52" t="s">
        <v>7361</v>
      </c>
      <c r="C431" s="53" t="s">
        <v>914</v>
      </c>
      <c r="D431" s="54" t="s">
        <v>7873</v>
      </c>
      <c r="E431" s="50">
        <f t="shared" si="14"/>
        <v>5.8493150700000003</v>
      </c>
      <c r="F431" s="51">
        <f t="shared" si="14"/>
        <v>3.91916449</v>
      </c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</row>
    <row r="432" spans="1:28" x14ac:dyDescent="0.15">
      <c r="A432" s="46" t="s">
        <v>915</v>
      </c>
      <c r="B432" s="52" t="s">
        <v>7361</v>
      </c>
      <c r="C432" s="53" t="s">
        <v>916</v>
      </c>
      <c r="D432" s="54" t="s">
        <v>7874</v>
      </c>
      <c r="E432" s="50">
        <f t="shared" si="14"/>
        <v>5.8630136999999998</v>
      </c>
      <c r="F432" s="51">
        <f t="shared" si="14"/>
        <v>3.9197178400000001</v>
      </c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</row>
    <row r="433" spans="1:28" x14ac:dyDescent="0.15">
      <c r="A433" s="46" t="s">
        <v>917</v>
      </c>
      <c r="B433" s="52" t="s">
        <v>7361</v>
      </c>
      <c r="C433" s="53" t="s">
        <v>918</v>
      </c>
      <c r="D433" s="54" t="s">
        <v>7875</v>
      </c>
      <c r="E433" s="50">
        <f t="shared" si="14"/>
        <v>5.8767123300000002</v>
      </c>
      <c r="F433" s="51">
        <f t="shared" si="14"/>
        <v>3.9202710299999999</v>
      </c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</row>
    <row r="434" spans="1:28" x14ac:dyDescent="0.15">
      <c r="A434" s="46" t="s">
        <v>919</v>
      </c>
      <c r="B434" s="52" t="s">
        <v>7361</v>
      </c>
      <c r="C434" s="53" t="s">
        <v>920</v>
      </c>
      <c r="D434" s="54" t="s">
        <v>7876</v>
      </c>
      <c r="E434" s="50">
        <f t="shared" si="14"/>
        <v>5.8904109599999996</v>
      </c>
      <c r="F434" s="51">
        <f t="shared" si="14"/>
        <v>3.9208239800000002</v>
      </c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</row>
    <row r="435" spans="1:28" x14ac:dyDescent="0.15">
      <c r="A435" s="46" t="s">
        <v>921</v>
      </c>
      <c r="B435" s="52" t="s">
        <v>7361</v>
      </c>
      <c r="C435" s="53" t="s">
        <v>922</v>
      </c>
      <c r="D435" s="54" t="s">
        <v>7877</v>
      </c>
      <c r="E435" s="50">
        <f t="shared" si="14"/>
        <v>5.90410959</v>
      </c>
      <c r="F435" s="51">
        <f t="shared" si="14"/>
        <v>3.9213766300000001</v>
      </c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</row>
    <row r="436" spans="1:28" x14ac:dyDescent="0.15">
      <c r="A436" s="46" t="s">
        <v>923</v>
      </c>
      <c r="B436" s="52" t="s">
        <v>7361</v>
      </c>
      <c r="C436" s="53" t="s">
        <v>924</v>
      </c>
      <c r="D436" s="54" t="s">
        <v>7878</v>
      </c>
      <c r="E436" s="50">
        <f t="shared" si="14"/>
        <v>5.9178082200000004</v>
      </c>
      <c r="F436" s="51">
        <f t="shared" si="14"/>
        <v>3.9219288899999998</v>
      </c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</row>
    <row r="437" spans="1:28" x14ac:dyDescent="0.15">
      <c r="A437" s="46" t="s">
        <v>925</v>
      </c>
      <c r="B437" s="52" t="s">
        <v>7361</v>
      </c>
      <c r="C437" s="53" t="s">
        <v>926</v>
      </c>
      <c r="D437" s="54" t="s">
        <v>7879</v>
      </c>
      <c r="E437" s="50">
        <f t="shared" si="14"/>
        <v>5.9315068499999999</v>
      </c>
      <c r="F437" s="51">
        <f t="shared" si="14"/>
        <v>3.92248069</v>
      </c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</row>
    <row r="438" spans="1:28" x14ac:dyDescent="0.15">
      <c r="A438" s="46" t="s">
        <v>927</v>
      </c>
      <c r="B438" s="52" t="s">
        <v>7361</v>
      </c>
      <c r="C438" s="53" t="s">
        <v>928</v>
      </c>
      <c r="D438" s="54" t="s">
        <v>7880</v>
      </c>
      <c r="E438" s="50">
        <f t="shared" ref="E438:F467" si="15">VALUE(C438)</f>
        <v>5.9452054800000003</v>
      </c>
      <c r="F438" s="51">
        <f t="shared" si="15"/>
        <v>3.9230319699999998</v>
      </c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</row>
    <row r="439" spans="1:28" x14ac:dyDescent="0.15">
      <c r="A439" s="46" t="s">
        <v>929</v>
      </c>
      <c r="B439" s="52" t="s">
        <v>7361</v>
      </c>
      <c r="C439" s="53" t="s">
        <v>930</v>
      </c>
      <c r="D439" s="54" t="s">
        <v>7881</v>
      </c>
      <c r="E439" s="50">
        <f t="shared" si="15"/>
        <v>5.9589041099999998</v>
      </c>
      <c r="F439" s="51">
        <f t="shared" si="15"/>
        <v>3.9235826299999998</v>
      </c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</row>
    <row r="440" spans="1:28" x14ac:dyDescent="0.15">
      <c r="A440" s="46" t="s">
        <v>931</v>
      </c>
      <c r="B440" s="52" t="s">
        <v>7361</v>
      </c>
      <c r="C440" s="53" t="s">
        <v>932</v>
      </c>
      <c r="D440" s="54" t="s">
        <v>7882</v>
      </c>
      <c r="E440" s="50">
        <f t="shared" si="15"/>
        <v>5.9726027400000001</v>
      </c>
      <c r="F440" s="51">
        <f t="shared" si="15"/>
        <v>3.92413262</v>
      </c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</row>
    <row r="441" spans="1:28" x14ac:dyDescent="0.15">
      <c r="A441" s="46" t="s">
        <v>933</v>
      </c>
      <c r="B441" s="52" t="s">
        <v>7361</v>
      </c>
      <c r="C441" s="53" t="s">
        <v>934</v>
      </c>
      <c r="D441" s="54" t="s">
        <v>7883</v>
      </c>
      <c r="E441" s="50">
        <f t="shared" si="15"/>
        <v>5.9863013699999996</v>
      </c>
      <c r="F441" s="51">
        <f t="shared" si="15"/>
        <v>3.9246818499999998</v>
      </c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</row>
    <row r="442" spans="1:28" x14ac:dyDescent="0.15">
      <c r="A442" s="46" t="s">
        <v>935</v>
      </c>
      <c r="B442" s="52" t="s">
        <v>7361</v>
      </c>
      <c r="C442" s="53" t="s">
        <v>936</v>
      </c>
      <c r="D442" s="54" t="s">
        <v>7884</v>
      </c>
      <c r="E442" s="50">
        <f t="shared" si="15"/>
        <v>6</v>
      </c>
      <c r="F442" s="51">
        <f t="shared" si="15"/>
        <v>3.9252302499999998</v>
      </c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</row>
    <row r="443" spans="1:28" x14ac:dyDescent="0.15">
      <c r="A443" s="46" t="s">
        <v>937</v>
      </c>
      <c r="B443" s="52" t="s">
        <v>7361</v>
      </c>
      <c r="C443" s="53" t="s">
        <v>938</v>
      </c>
      <c r="D443" s="54" t="s">
        <v>7885</v>
      </c>
      <c r="E443" s="50">
        <f t="shared" si="15"/>
        <v>6.0136986300000004</v>
      </c>
      <c r="F443" s="51">
        <f t="shared" si="15"/>
        <v>3.9257716399999998</v>
      </c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</row>
    <row r="444" spans="1:28" x14ac:dyDescent="0.15">
      <c r="A444" s="46" t="s">
        <v>939</v>
      </c>
      <c r="B444" s="52" t="s">
        <v>7361</v>
      </c>
      <c r="C444" s="53" t="s">
        <v>940</v>
      </c>
      <c r="D444" s="54" t="s">
        <v>7886</v>
      </c>
      <c r="E444" s="50">
        <f t="shared" si="15"/>
        <v>6.0273972599999999</v>
      </c>
      <c r="F444" s="51">
        <f t="shared" si="15"/>
        <v>3.9263002400000002</v>
      </c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</row>
    <row r="445" spans="1:28" x14ac:dyDescent="0.15">
      <c r="A445" s="46" t="s">
        <v>941</v>
      </c>
      <c r="B445" s="52" t="s">
        <v>7361</v>
      </c>
      <c r="C445" s="53" t="s">
        <v>942</v>
      </c>
      <c r="D445" s="54" t="s">
        <v>7887</v>
      </c>
      <c r="E445" s="50">
        <f t="shared" si="15"/>
        <v>6.0410958900000002</v>
      </c>
      <c r="F445" s="51">
        <f t="shared" si="15"/>
        <v>3.9268166099999999</v>
      </c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</row>
    <row r="446" spans="1:28" x14ac:dyDescent="0.15">
      <c r="A446" s="46" t="s">
        <v>943</v>
      </c>
      <c r="B446" s="52" t="s">
        <v>7361</v>
      </c>
      <c r="C446" s="53" t="s">
        <v>944</v>
      </c>
      <c r="D446" s="54" t="s">
        <v>7888</v>
      </c>
      <c r="E446" s="50">
        <f t="shared" si="15"/>
        <v>6.0547945199999997</v>
      </c>
      <c r="F446" s="51">
        <f t="shared" si="15"/>
        <v>3.9273212900000001</v>
      </c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</row>
    <row r="447" spans="1:28" x14ac:dyDescent="0.15">
      <c r="A447" s="46" t="s">
        <v>945</v>
      </c>
      <c r="B447" s="52" t="s">
        <v>7361</v>
      </c>
      <c r="C447" s="53" t="s">
        <v>946</v>
      </c>
      <c r="D447" s="54" t="s">
        <v>7889</v>
      </c>
      <c r="E447" s="50">
        <f t="shared" si="15"/>
        <v>6.0684931500000001</v>
      </c>
      <c r="F447" s="51">
        <f t="shared" si="15"/>
        <v>3.92781482</v>
      </c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</row>
    <row r="448" spans="1:28" x14ac:dyDescent="0.15">
      <c r="A448" s="46" t="s">
        <v>947</v>
      </c>
      <c r="B448" s="52" t="s">
        <v>7361</v>
      </c>
      <c r="C448" s="53" t="s">
        <v>948</v>
      </c>
      <c r="D448" s="54" t="s">
        <v>7890</v>
      </c>
      <c r="E448" s="50">
        <f t="shared" si="15"/>
        <v>6.0821917799999996</v>
      </c>
      <c r="F448" s="51">
        <f t="shared" si="15"/>
        <v>3.9282977699999999</v>
      </c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</row>
    <row r="449" spans="1:28" x14ac:dyDescent="0.15">
      <c r="A449" s="46" t="s">
        <v>949</v>
      </c>
      <c r="B449" s="52" t="s">
        <v>7361</v>
      </c>
      <c r="C449" s="53" t="s">
        <v>950</v>
      </c>
      <c r="D449" s="54" t="s">
        <v>7891</v>
      </c>
      <c r="E449" s="50">
        <f t="shared" si="15"/>
        <v>6.09589041</v>
      </c>
      <c r="F449" s="51">
        <f t="shared" si="15"/>
        <v>3.9287706600000001</v>
      </c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</row>
    <row r="450" spans="1:28" x14ac:dyDescent="0.15">
      <c r="A450" s="46" t="s">
        <v>951</v>
      </c>
      <c r="B450" s="52" t="s">
        <v>7361</v>
      </c>
      <c r="C450" s="53" t="s">
        <v>952</v>
      </c>
      <c r="D450" s="54" t="s">
        <v>7892</v>
      </c>
      <c r="E450" s="50">
        <f t="shared" si="15"/>
        <v>6.1095890400000004</v>
      </c>
      <c r="F450" s="51">
        <f t="shared" si="15"/>
        <v>3.9292340700000001</v>
      </c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</row>
    <row r="451" spans="1:28" x14ac:dyDescent="0.15">
      <c r="A451" s="46" t="s">
        <v>953</v>
      </c>
      <c r="B451" s="52" t="s">
        <v>7361</v>
      </c>
      <c r="C451" s="53" t="s">
        <v>954</v>
      </c>
      <c r="D451" s="54" t="s">
        <v>7893</v>
      </c>
      <c r="E451" s="50">
        <f t="shared" si="15"/>
        <v>6.1232876699999998</v>
      </c>
      <c r="F451" s="51">
        <f t="shared" si="15"/>
        <v>3.92968852</v>
      </c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</row>
    <row r="452" spans="1:28" x14ac:dyDescent="0.15">
      <c r="A452" s="46" t="s">
        <v>955</v>
      </c>
      <c r="B452" s="52" t="s">
        <v>7361</v>
      </c>
      <c r="C452" s="53" t="s">
        <v>956</v>
      </c>
      <c r="D452" s="54" t="s">
        <v>7894</v>
      </c>
      <c r="E452" s="50">
        <f t="shared" si="15"/>
        <v>6.1369863000000002</v>
      </c>
      <c r="F452" s="51">
        <f t="shared" si="15"/>
        <v>3.9301345699999999</v>
      </c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</row>
    <row r="453" spans="1:28" x14ac:dyDescent="0.15">
      <c r="A453" s="46" t="s">
        <v>957</v>
      </c>
      <c r="B453" s="52" t="s">
        <v>7361</v>
      </c>
      <c r="C453" s="53" t="s">
        <v>958</v>
      </c>
      <c r="D453" s="54" t="s">
        <v>7895</v>
      </c>
      <c r="E453" s="50">
        <f t="shared" si="15"/>
        <v>6.1506849299999997</v>
      </c>
      <c r="F453" s="51">
        <f t="shared" si="15"/>
        <v>3.93057276</v>
      </c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</row>
    <row r="454" spans="1:28" x14ac:dyDescent="0.15">
      <c r="A454" s="46" t="s">
        <v>959</v>
      </c>
      <c r="B454" s="52" t="s">
        <v>7361</v>
      </c>
      <c r="C454" s="53" t="s">
        <v>960</v>
      </c>
      <c r="D454" s="54" t="s">
        <v>7896</v>
      </c>
      <c r="E454" s="50">
        <f t="shared" si="15"/>
        <v>6.1643835600000001</v>
      </c>
      <c r="F454" s="51">
        <f t="shared" si="15"/>
        <v>3.93100366</v>
      </c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</row>
    <row r="455" spans="1:28" x14ac:dyDescent="0.15">
      <c r="A455" s="46" t="s">
        <v>961</v>
      </c>
      <c r="B455" s="52" t="s">
        <v>7361</v>
      </c>
      <c r="C455" s="53" t="s">
        <v>962</v>
      </c>
      <c r="D455" s="54" t="s">
        <v>7897</v>
      </c>
      <c r="E455" s="50">
        <f t="shared" si="15"/>
        <v>6.1780821899999996</v>
      </c>
      <c r="F455" s="51">
        <f t="shared" si="15"/>
        <v>3.9314277899999999</v>
      </c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</row>
    <row r="456" spans="1:28" x14ac:dyDescent="0.15">
      <c r="A456" s="46" t="s">
        <v>963</v>
      </c>
      <c r="B456" s="52" t="s">
        <v>7361</v>
      </c>
      <c r="C456" s="53" t="s">
        <v>964</v>
      </c>
      <c r="D456" s="54" t="s">
        <v>7898</v>
      </c>
      <c r="E456" s="50">
        <f t="shared" si="15"/>
        <v>6.19178082</v>
      </c>
      <c r="F456" s="51">
        <f t="shared" si="15"/>
        <v>3.9318457100000002</v>
      </c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</row>
    <row r="457" spans="1:28" x14ac:dyDescent="0.15">
      <c r="A457" s="46" t="s">
        <v>965</v>
      </c>
      <c r="B457" s="52" t="s">
        <v>7361</v>
      </c>
      <c r="C457" s="53" t="s">
        <v>966</v>
      </c>
      <c r="D457" s="54" t="s">
        <v>7899</v>
      </c>
      <c r="E457" s="50">
        <f t="shared" si="15"/>
        <v>6.2054794500000003</v>
      </c>
      <c r="F457" s="51">
        <f t="shared" si="15"/>
        <v>3.9322579800000002</v>
      </c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</row>
    <row r="458" spans="1:28" x14ac:dyDescent="0.15">
      <c r="A458" s="46" t="s">
        <v>967</v>
      </c>
      <c r="B458" s="52" t="s">
        <v>7361</v>
      </c>
      <c r="C458" s="53" t="s">
        <v>968</v>
      </c>
      <c r="D458" s="54" t="s">
        <v>7900</v>
      </c>
      <c r="E458" s="50">
        <f t="shared" si="15"/>
        <v>6.2191780799999998</v>
      </c>
      <c r="F458" s="51">
        <f t="shared" si="15"/>
        <v>3.9326651199999998</v>
      </c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</row>
    <row r="459" spans="1:28" x14ac:dyDescent="0.15">
      <c r="A459" s="46" t="s">
        <v>969</v>
      </c>
      <c r="B459" s="52" t="s">
        <v>7361</v>
      </c>
      <c r="C459" s="53" t="s">
        <v>970</v>
      </c>
      <c r="D459" s="54" t="s">
        <v>7901</v>
      </c>
      <c r="E459" s="50">
        <f t="shared" si="15"/>
        <v>6.2328767100000002</v>
      </c>
      <c r="F459" s="51">
        <f t="shared" si="15"/>
        <v>3.93306771</v>
      </c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</row>
    <row r="460" spans="1:28" x14ac:dyDescent="0.15">
      <c r="A460" s="46" t="s">
        <v>971</v>
      </c>
      <c r="B460" s="52" t="s">
        <v>7361</v>
      </c>
      <c r="C460" s="53" t="s">
        <v>972</v>
      </c>
      <c r="D460" s="54" t="s">
        <v>7902</v>
      </c>
      <c r="E460" s="50">
        <f t="shared" si="15"/>
        <v>6.2465753399999997</v>
      </c>
      <c r="F460" s="51">
        <f t="shared" si="15"/>
        <v>3.9334662699999998</v>
      </c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</row>
    <row r="461" spans="1:28" x14ac:dyDescent="0.15">
      <c r="A461" s="46" t="s">
        <v>973</v>
      </c>
      <c r="B461" s="52" t="s">
        <v>7361</v>
      </c>
      <c r="C461" s="53" t="s">
        <v>974</v>
      </c>
      <c r="D461" s="54" t="s">
        <v>7903</v>
      </c>
      <c r="E461" s="50">
        <f t="shared" si="15"/>
        <v>6.2602739700000001</v>
      </c>
      <c r="F461" s="51">
        <f t="shared" si="15"/>
        <v>3.9338613699999998</v>
      </c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</row>
    <row r="462" spans="1:28" x14ac:dyDescent="0.15">
      <c r="A462" s="46" t="s">
        <v>975</v>
      </c>
      <c r="B462" s="52" t="s">
        <v>7361</v>
      </c>
      <c r="C462" s="53" t="s">
        <v>976</v>
      </c>
      <c r="D462" s="54" t="s">
        <v>7904</v>
      </c>
      <c r="E462" s="50">
        <f t="shared" si="15"/>
        <v>6.2739725999999996</v>
      </c>
      <c r="F462" s="51">
        <f t="shared" si="15"/>
        <v>3.9342535399999998</v>
      </c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</row>
    <row r="463" spans="1:28" x14ac:dyDescent="0.15">
      <c r="A463" s="46" t="s">
        <v>977</v>
      </c>
      <c r="B463" s="52" t="s">
        <v>7361</v>
      </c>
      <c r="C463" s="53" t="s">
        <v>978</v>
      </c>
      <c r="D463" s="54" t="s">
        <v>7905</v>
      </c>
      <c r="E463" s="50">
        <f t="shared" si="15"/>
        <v>6.2876712299999999</v>
      </c>
      <c r="F463" s="51">
        <f t="shared" si="15"/>
        <v>3.93464334</v>
      </c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</row>
    <row r="464" spans="1:28" x14ac:dyDescent="0.15">
      <c r="A464" s="46" t="s">
        <v>979</v>
      </c>
      <c r="B464" s="52" t="s">
        <v>7361</v>
      </c>
      <c r="C464" s="53" t="s">
        <v>980</v>
      </c>
      <c r="D464" s="54" t="s">
        <v>7906</v>
      </c>
      <c r="E464" s="50">
        <f t="shared" si="15"/>
        <v>6.3013698600000003</v>
      </c>
      <c r="F464" s="51">
        <f t="shared" si="15"/>
        <v>3.9350313099999998</v>
      </c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</row>
    <row r="465" spans="1:28" x14ac:dyDescent="0.15">
      <c r="A465" s="46" t="s">
        <v>981</v>
      </c>
      <c r="B465" s="52" t="s">
        <v>7361</v>
      </c>
      <c r="C465" s="53" t="s">
        <v>982</v>
      </c>
      <c r="D465" s="54" t="s">
        <v>7907</v>
      </c>
      <c r="E465" s="50">
        <f t="shared" si="15"/>
        <v>6.3150684899999998</v>
      </c>
      <c r="F465" s="51">
        <f t="shared" si="15"/>
        <v>3.9354179999999999</v>
      </c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</row>
    <row r="466" spans="1:28" x14ac:dyDescent="0.15">
      <c r="A466" s="46" t="s">
        <v>983</v>
      </c>
      <c r="B466" s="52" t="s">
        <v>7361</v>
      </c>
      <c r="C466" s="53" t="s">
        <v>984</v>
      </c>
      <c r="D466" s="54" t="s">
        <v>7908</v>
      </c>
      <c r="E466" s="50">
        <f t="shared" si="15"/>
        <v>6.3287671200000002</v>
      </c>
      <c r="F466" s="51">
        <f t="shared" si="15"/>
        <v>3.9358039599999999</v>
      </c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</row>
    <row r="467" spans="1:28" x14ac:dyDescent="0.15">
      <c r="A467" s="46" t="s">
        <v>985</v>
      </c>
      <c r="B467" s="52" t="s">
        <v>7361</v>
      </c>
      <c r="C467" s="53" t="s">
        <v>986</v>
      </c>
      <c r="D467" s="54" t="s">
        <v>7909</v>
      </c>
      <c r="E467" s="50">
        <f t="shared" si="15"/>
        <v>6.3424657499999997</v>
      </c>
      <c r="F467" s="51">
        <f t="shared" si="15"/>
        <v>3.9361897400000001</v>
      </c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</row>
    <row r="468" spans="1:28" x14ac:dyDescent="0.15">
      <c r="A468" s="46" t="s">
        <v>987</v>
      </c>
      <c r="B468" s="52" t="s">
        <v>7361</v>
      </c>
      <c r="C468" s="53" t="s">
        <v>988</v>
      </c>
      <c r="D468" s="54" t="s">
        <v>7910</v>
      </c>
      <c r="E468" s="50">
        <f t="shared" ref="E468:F498" si="16">VALUE(C468)</f>
        <v>6.3561643800000001</v>
      </c>
      <c r="F468" s="51">
        <f t="shared" si="16"/>
        <v>3.9365758899999999</v>
      </c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</row>
    <row r="469" spans="1:28" x14ac:dyDescent="0.15">
      <c r="A469" s="46" t="s">
        <v>989</v>
      </c>
      <c r="B469" s="52" t="s">
        <v>7361</v>
      </c>
      <c r="C469" s="53" t="s">
        <v>990</v>
      </c>
      <c r="D469" s="54" t="s">
        <v>7911</v>
      </c>
      <c r="E469" s="50">
        <f t="shared" si="16"/>
        <v>6.3698630100000004</v>
      </c>
      <c r="F469" s="51">
        <f t="shared" si="16"/>
        <v>3.9369629499999999</v>
      </c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</row>
    <row r="470" spans="1:28" x14ac:dyDescent="0.15">
      <c r="A470" s="46" t="s">
        <v>991</v>
      </c>
      <c r="B470" s="52" t="s">
        <v>7361</v>
      </c>
      <c r="C470" s="53" t="s">
        <v>992</v>
      </c>
      <c r="D470" s="54" t="s">
        <v>7912</v>
      </c>
      <c r="E470" s="50">
        <f t="shared" si="16"/>
        <v>6.3835616399999999</v>
      </c>
      <c r="F470" s="51">
        <f t="shared" si="16"/>
        <v>3.9373514699999999</v>
      </c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</row>
    <row r="471" spans="1:28" x14ac:dyDescent="0.15">
      <c r="A471" s="46" t="s">
        <v>993</v>
      </c>
      <c r="B471" s="52" t="s">
        <v>7361</v>
      </c>
      <c r="C471" s="53" t="s">
        <v>994</v>
      </c>
      <c r="D471" s="54" t="s">
        <v>7913</v>
      </c>
      <c r="E471" s="50">
        <f t="shared" si="16"/>
        <v>6.3972602700000003</v>
      </c>
      <c r="F471" s="51">
        <f t="shared" si="16"/>
        <v>3.9377419900000001</v>
      </c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</row>
    <row r="472" spans="1:28" x14ac:dyDescent="0.15">
      <c r="A472" s="46" t="s">
        <v>995</v>
      </c>
      <c r="B472" s="52" t="s">
        <v>7361</v>
      </c>
      <c r="C472" s="53" t="s">
        <v>996</v>
      </c>
      <c r="D472" s="54" t="s">
        <v>7914</v>
      </c>
      <c r="E472" s="50">
        <f t="shared" si="16"/>
        <v>6.4109588999999998</v>
      </c>
      <c r="F472" s="51">
        <f t="shared" si="16"/>
        <v>3.9381350799999999</v>
      </c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</row>
    <row r="473" spans="1:28" x14ac:dyDescent="0.15">
      <c r="A473" s="46" t="s">
        <v>997</v>
      </c>
      <c r="B473" s="52" t="s">
        <v>7361</v>
      </c>
      <c r="C473" s="53" t="s">
        <v>998</v>
      </c>
      <c r="D473" s="54" t="s">
        <v>7915</v>
      </c>
      <c r="E473" s="50">
        <f t="shared" si="16"/>
        <v>6.4246575300000002</v>
      </c>
      <c r="F473" s="51">
        <f t="shared" si="16"/>
        <v>3.9385312699999999</v>
      </c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</row>
    <row r="474" spans="1:28" x14ac:dyDescent="0.15">
      <c r="A474" s="46" t="s">
        <v>999</v>
      </c>
      <c r="B474" s="52" t="s">
        <v>7361</v>
      </c>
      <c r="C474" s="53" t="s">
        <v>1000</v>
      </c>
      <c r="D474" s="54" t="s">
        <v>7916</v>
      </c>
      <c r="E474" s="50">
        <f t="shared" si="16"/>
        <v>6.4383561599999997</v>
      </c>
      <c r="F474" s="51">
        <f t="shared" si="16"/>
        <v>3.93893111</v>
      </c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</row>
    <row r="475" spans="1:28" x14ac:dyDescent="0.15">
      <c r="A475" s="46" t="s">
        <v>1001</v>
      </c>
      <c r="B475" s="52" t="s">
        <v>7361</v>
      </c>
      <c r="C475" s="53" t="s">
        <v>1002</v>
      </c>
      <c r="D475" s="54" t="s">
        <v>7917</v>
      </c>
      <c r="E475" s="50">
        <f t="shared" si="16"/>
        <v>6.45205479</v>
      </c>
      <c r="F475" s="51">
        <f t="shared" si="16"/>
        <v>3.9393351600000002</v>
      </c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</row>
    <row r="476" spans="1:28" x14ac:dyDescent="0.15">
      <c r="A476" s="46" t="s">
        <v>1003</v>
      </c>
      <c r="B476" s="52" t="s">
        <v>7361</v>
      </c>
      <c r="C476" s="53" t="s">
        <v>1004</v>
      </c>
      <c r="D476" s="54" t="s">
        <v>7918</v>
      </c>
      <c r="E476" s="50">
        <f t="shared" si="16"/>
        <v>6.4657534200000004</v>
      </c>
      <c r="F476" s="51">
        <f t="shared" si="16"/>
        <v>3.93974395</v>
      </c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</row>
    <row r="477" spans="1:28" x14ac:dyDescent="0.15">
      <c r="A477" s="46" t="s">
        <v>1005</v>
      </c>
      <c r="B477" s="52" t="s">
        <v>7361</v>
      </c>
      <c r="C477" s="53" t="s">
        <v>1006</v>
      </c>
      <c r="D477" s="54" t="s">
        <v>7919</v>
      </c>
      <c r="E477" s="50">
        <f t="shared" si="16"/>
        <v>6.4794520499999999</v>
      </c>
      <c r="F477" s="51">
        <f t="shared" si="16"/>
        <v>3.94015804</v>
      </c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</row>
    <row r="478" spans="1:28" x14ac:dyDescent="0.15">
      <c r="A478" s="46" t="s">
        <v>1007</v>
      </c>
      <c r="B478" s="52" t="s">
        <v>7361</v>
      </c>
      <c r="C478" s="53" t="s">
        <v>1008</v>
      </c>
      <c r="D478" s="54" t="s">
        <v>7920</v>
      </c>
      <c r="E478" s="50">
        <f t="shared" si="16"/>
        <v>6.4931506800000003</v>
      </c>
      <c r="F478" s="51">
        <f t="shared" si="16"/>
        <v>3.9405779700000001</v>
      </c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</row>
    <row r="479" spans="1:28" x14ac:dyDescent="0.15">
      <c r="A479" s="46" t="s">
        <v>1009</v>
      </c>
      <c r="B479" s="52" t="s">
        <v>7361</v>
      </c>
      <c r="C479" s="53" t="s">
        <v>1010</v>
      </c>
      <c r="D479" s="54" t="s">
        <v>7921</v>
      </c>
      <c r="E479" s="50">
        <f t="shared" si="16"/>
        <v>6.5068493199999997</v>
      </c>
      <c r="F479" s="51">
        <f t="shared" si="16"/>
        <v>3.9410009700000002</v>
      </c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</row>
    <row r="480" spans="1:28" x14ac:dyDescent="0.15">
      <c r="A480" s="46" t="s">
        <v>1011</v>
      </c>
      <c r="B480" s="52" t="s">
        <v>7361</v>
      </c>
      <c r="C480" s="53" t="s">
        <v>1012</v>
      </c>
      <c r="D480" s="54" t="s">
        <v>7922</v>
      </c>
      <c r="E480" s="50">
        <f t="shared" si="16"/>
        <v>6.5205479500000001</v>
      </c>
      <c r="F480" s="51">
        <f t="shared" si="16"/>
        <v>3.9414075899999998</v>
      </c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</row>
    <row r="481" spans="1:28" x14ac:dyDescent="0.15">
      <c r="A481" s="46" t="s">
        <v>1013</v>
      </c>
      <c r="B481" s="52" t="s">
        <v>7361</v>
      </c>
      <c r="C481" s="53" t="s">
        <v>1014</v>
      </c>
      <c r="D481" s="54" t="s">
        <v>7923</v>
      </c>
      <c r="E481" s="50">
        <f t="shared" si="16"/>
        <v>6.5342465799999996</v>
      </c>
      <c r="F481" s="51">
        <f t="shared" si="16"/>
        <v>3.9417949499999998</v>
      </c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</row>
    <row r="482" spans="1:28" x14ac:dyDescent="0.15">
      <c r="A482" s="46" t="s">
        <v>1015</v>
      </c>
      <c r="B482" s="52" t="s">
        <v>7361</v>
      </c>
      <c r="C482" s="53" t="s">
        <v>1016</v>
      </c>
      <c r="D482" s="54" t="s">
        <v>7924</v>
      </c>
      <c r="E482" s="50">
        <f t="shared" si="16"/>
        <v>6.54794521</v>
      </c>
      <c r="F482" s="51">
        <f t="shared" si="16"/>
        <v>3.9421635099999999</v>
      </c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</row>
    <row r="483" spans="1:28" x14ac:dyDescent="0.15">
      <c r="A483" s="46" t="s">
        <v>1017</v>
      </c>
      <c r="B483" s="52" t="s">
        <v>7361</v>
      </c>
      <c r="C483" s="53" t="s">
        <v>1018</v>
      </c>
      <c r="D483" s="54" t="s">
        <v>7925</v>
      </c>
      <c r="E483" s="50">
        <f t="shared" si="16"/>
        <v>6.5616438400000003</v>
      </c>
      <c r="F483" s="51">
        <f t="shared" si="16"/>
        <v>3.94251372</v>
      </c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</row>
    <row r="484" spans="1:28" x14ac:dyDescent="0.15">
      <c r="A484" s="46" t="s">
        <v>1019</v>
      </c>
      <c r="B484" s="52" t="s">
        <v>7361</v>
      </c>
      <c r="C484" s="53" t="s">
        <v>1020</v>
      </c>
      <c r="D484" s="54" t="s">
        <v>7926</v>
      </c>
      <c r="E484" s="50">
        <f t="shared" si="16"/>
        <v>6.5753424699999998</v>
      </c>
      <c r="F484" s="51">
        <f t="shared" si="16"/>
        <v>3.9428460300000001</v>
      </c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</row>
    <row r="485" spans="1:28" x14ac:dyDescent="0.15">
      <c r="A485" s="46" t="s">
        <v>1021</v>
      </c>
      <c r="B485" s="52" t="s">
        <v>7361</v>
      </c>
      <c r="C485" s="53" t="s">
        <v>1022</v>
      </c>
      <c r="D485" s="54" t="s">
        <v>7927</v>
      </c>
      <c r="E485" s="50">
        <f t="shared" si="16"/>
        <v>6.5890411000000002</v>
      </c>
      <c r="F485" s="51">
        <f t="shared" si="16"/>
        <v>3.9431609000000001</v>
      </c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</row>
    <row r="486" spans="1:28" x14ac:dyDescent="0.15">
      <c r="A486" s="46" t="s">
        <v>1023</v>
      </c>
      <c r="B486" s="52" t="s">
        <v>7361</v>
      </c>
      <c r="C486" s="53" t="s">
        <v>1024</v>
      </c>
      <c r="D486" s="54" t="s">
        <v>7928</v>
      </c>
      <c r="E486" s="50">
        <f t="shared" si="16"/>
        <v>6.6027397299999997</v>
      </c>
      <c r="F486" s="51">
        <f t="shared" si="16"/>
        <v>3.9434587799999998</v>
      </c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</row>
    <row r="487" spans="1:28" x14ac:dyDescent="0.15">
      <c r="A487" s="46" t="s">
        <v>1025</v>
      </c>
      <c r="B487" s="52" t="s">
        <v>7361</v>
      </c>
      <c r="C487" s="53" t="s">
        <v>1026</v>
      </c>
      <c r="D487" s="54" t="s">
        <v>7929</v>
      </c>
      <c r="E487" s="50">
        <f t="shared" si="16"/>
        <v>6.6164383600000001</v>
      </c>
      <c r="F487" s="51">
        <f t="shared" si="16"/>
        <v>3.9437401099999998</v>
      </c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</row>
    <row r="488" spans="1:28" x14ac:dyDescent="0.15">
      <c r="A488" s="46" t="s">
        <v>1027</v>
      </c>
      <c r="B488" s="52" t="s">
        <v>7361</v>
      </c>
      <c r="C488" s="53" t="s">
        <v>1028</v>
      </c>
      <c r="D488" s="54" t="s">
        <v>7930</v>
      </c>
      <c r="E488" s="50">
        <f t="shared" si="16"/>
        <v>6.6301369899999996</v>
      </c>
      <c r="F488" s="51">
        <f t="shared" si="16"/>
        <v>3.9440053599999998</v>
      </c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</row>
    <row r="489" spans="1:28" x14ac:dyDescent="0.15">
      <c r="A489" s="46" t="s">
        <v>1029</v>
      </c>
      <c r="B489" s="52" t="s">
        <v>7361</v>
      </c>
      <c r="C489" s="53" t="s">
        <v>1030</v>
      </c>
      <c r="D489" s="54" t="s">
        <v>7931</v>
      </c>
      <c r="E489" s="50">
        <f t="shared" si="16"/>
        <v>6.6438356199999999</v>
      </c>
      <c r="F489" s="51">
        <f t="shared" si="16"/>
        <v>3.9442549699999998</v>
      </c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</row>
    <row r="490" spans="1:28" x14ac:dyDescent="0.15">
      <c r="A490" s="46" t="s">
        <v>1031</v>
      </c>
      <c r="B490" s="52" t="s">
        <v>7361</v>
      </c>
      <c r="C490" s="53" t="s">
        <v>1032</v>
      </c>
      <c r="D490" s="54" t="s">
        <v>7932</v>
      </c>
      <c r="E490" s="50">
        <f t="shared" si="16"/>
        <v>6.6575342500000003</v>
      </c>
      <c r="F490" s="51">
        <f t="shared" si="16"/>
        <v>3.9444893900000002</v>
      </c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</row>
    <row r="491" spans="1:28" x14ac:dyDescent="0.15">
      <c r="A491" s="46" t="s">
        <v>1033</v>
      </c>
      <c r="B491" s="52" t="s">
        <v>7361</v>
      </c>
      <c r="C491" s="53" t="s">
        <v>1034</v>
      </c>
      <c r="D491" s="54" t="s">
        <v>7933</v>
      </c>
      <c r="E491" s="50">
        <f t="shared" si="16"/>
        <v>6.6712328799999998</v>
      </c>
      <c r="F491" s="51">
        <f t="shared" si="16"/>
        <v>3.9447090899999999</v>
      </c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</row>
    <row r="492" spans="1:28" x14ac:dyDescent="0.15">
      <c r="A492" s="46" t="s">
        <v>1035</v>
      </c>
      <c r="B492" s="52" t="s">
        <v>7361</v>
      </c>
      <c r="C492" s="53" t="s">
        <v>1036</v>
      </c>
      <c r="D492" s="54" t="s">
        <v>7934</v>
      </c>
      <c r="E492" s="50">
        <f t="shared" si="16"/>
        <v>6.6849315100000002</v>
      </c>
      <c r="F492" s="51">
        <f t="shared" si="16"/>
        <v>3.9449144999999999</v>
      </c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</row>
    <row r="493" spans="1:28" x14ac:dyDescent="0.15">
      <c r="A493" s="46" t="s">
        <v>1037</v>
      </c>
      <c r="B493" s="52" t="s">
        <v>7361</v>
      </c>
      <c r="C493" s="53" t="s">
        <v>1038</v>
      </c>
      <c r="D493" s="54" t="s">
        <v>7935</v>
      </c>
      <c r="E493" s="50">
        <f t="shared" si="16"/>
        <v>6.6986301399999997</v>
      </c>
      <c r="F493" s="51">
        <f t="shared" si="16"/>
        <v>3.9451060899999999</v>
      </c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</row>
    <row r="494" spans="1:28" x14ac:dyDescent="0.15">
      <c r="A494" s="46" t="s">
        <v>1039</v>
      </c>
      <c r="B494" s="52" t="s">
        <v>7361</v>
      </c>
      <c r="C494" s="53" t="s">
        <v>1040</v>
      </c>
      <c r="D494" s="54" t="s">
        <v>7936</v>
      </c>
      <c r="E494" s="50">
        <f t="shared" si="16"/>
        <v>6.7123287700000001</v>
      </c>
      <c r="F494" s="51">
        <f t="shared" si="16"/>
        <v>3.9452843</v>
      </c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</row>
    <row r="495" spans="1:28" x14ac:dyDescent="0.15">
      <c r="A495" s="46" t="s">
        <v>1041</v>
      </c>
      <c r="B495" s="52" t="s">
        <v>7361</v>
      </c>
      <c r="C495" s="53" t="s">
        <v>1042</v>
      </c>
      <c r="D495" s="54" t="s">
        <v>7937</v>
      </c>
      <c r="E495" s="50">
        <f t="shared" si="16"/>
        <v>6.7260274000000004</v>
      </c>
      <c r="F495" s="51">
        <f t="shared" si="16"/>
        <v>3.94544959</v>
      </c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</row>
    <row r="496" spans="1:28" x14ac:dyDescent="0.15">
      <c r="A496" s="46" t="s">
        <v>1043</v>
      </c>
      <c r="B496" s="52" t="s">
        <v>7361</v>
      </c>
      <c r="C496" s="53" t="s">
        <v>1044</v>
      </c>
      <c r="D496" s="54" t="s">
        <v>7938</v>
      </c>
      <c r="E496" s="50">
        <f t="shared" si="16"/>
        <v>6.7397260299999999</v>
      </c>
      <c r="F496" s="51">
        <f t="shared" si="16"/>
        <v>3.9456024099999998</v>
      </c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</row>
    <row r="497" spans="1:28" x14ac:dyDescent="0.15">
      <c r="A497" s="46" t="s">
        <v>1045</v>
      </c>
      <c r="B497" s="52" t="s">
        <v>7361</v>
      </c>
      <c r="C497" s="53" t="s">
        <v>1046</v>
      </c>
      <c r="D497" s="54" t="s">
        <v>7939</v>
      </c>
      <c r="E497" s="50">
        <f t="shared" si="16"/>
        <v>6.7534246600000003</v>
      </c>
      <c r="F497" s="51">
        <f t="shared" si="16"/>
        <v>3.9457432099999998</v>
      </c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</row>
    <row r="498" spans="1:28" x14ac:dyDescent="0.15">
      <c r="A498" s="46" t="s">
        <v>1047</v>
      </c>
      <c r="B498" s="52" t="s">
        <v>7361</v>
      </c>
      <c r="C498" s="53" t="s">
        <v>1048</v>
      </c>
      <c r="D498" s="54" t="s">
        <v>7940</v>
      </c>
      <c r="E498" s="50">
        <f t="shared" si="16"/>
        <v>6.7671232899999998</v>
      </c>
      <c r="F498" s="51">
        <f t="shared" si="16"/>
        <v>3.94587244</v>
      </c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</row>
    <row r="499" spans="1:28" x14ac:dyDescent="0.15">
      <c r="A499" s="46" t="s">
        <v>1049</v>
      </c>
      <c r="B499" s="52" t="s">
        <v>7361</v>
      </c>
      <c r="C499" s="53" t="s">
        <v>1050</v>
      </c>
      <c r="D499" s="54" t="s">
        <v>7941</v>
      </c>
      <c r="E499" s="50">
        <f t="shared" ref="E499:F528" si="17">VALUE(C499)</f>
        <v>6.7808219200000002</v>
      </c>
      <c r="F499" s="51">
        <f t="shared" si="17"/>
        <v>3.9459905599999998</v>
      </c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</row>
    <row r="500" spans="1:28" x14ac:dyDescent="0.15">
      <c r="A500" s="46" t="s">
        <v>1051</v>
      </c>
      <c r="B500" s="52" t="s">
        <v>7361</v>
      </c>
      <c r="C500" s="53" t="s">
        <v>1052</v>
      </c>
      <c r="D500" s="54" t="s">
        <v>7942</v>
      </c>
      <c r="E500" s="50">
        <f t="shared" si="17"/>
        <v>6.7945205499999997</v>
      </c>
      <c r="F500" s="51">
        <f t="shared" si="17"/>
        <v>3.94609802</v>
      </c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</row>
    <row r="501" spans="1:28" x14ac:dyDescent="0.15">
      <c r="A501" s="46" t="s">
        <v>1053</v>
      </c>
      <c r="B501" s="52" t="s">
        <v>7361</v>
      </c>
      <c r="C501" s="53" t="s">
        <v>1054</v>
      </c>
      <c r="D501" s="54" t="s">
        <v>7943</v>
      </c>
      <c r="E501" s="50">
        <f t="shared" si="17"/>
        <v>6.80821918</v>
      </c>
      <c r="F501" s="51">
        <f t="shared" si="17"/>
        <v>3.9461952600000001</v>
      </c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</row>
    <row r="502" spans="1:28" x14ac:dyDescent="0.15">
      <c r="A502" s="46" t="s">
        <v>1055</v>
      </c>
      <c r="B502" s="52" t="s">
        <v>7361</v>
      </c>
      <c r="C502" s="53" t="s">
        <v>1056</v>
      </c>
      <c r="D502" s="54" t="s">
        <v>7944</v>
      </c>
      <c r="E502" s="50">
        <f t="shared" si="17"/>
        <v>6.8219178100000004</v>
      </c>
      <c r="F502" s="51">
        <f t="shared" si="17"/>
        <v>3.94628275</v>
      </c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</row>
    <row r="503" spans="1:28" x14ac:dyDescent="0.15">
      <c r="A503" s="46" t="s">
        <v>1057</v>
      </c>
      <c r="B503" s="52" t="s">
        <v>7361</v>
      </c>
      <c r="C503" s="53" t="s">
        <v>1058</v>
      </c>
      <c r="D503" s="54" t="s">
        <v>7945</v>
      </c>
      <c r="E503" s="50">
        <f t="shared" si="17"/>
        <v>6.8356164399999999</v>
      </c>
      <c r="F503" s="51">
        <f t="shared" si="17"/>
        <v>3.9463609399999999</v>
      </c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</row>
    <row r="504" spans="1:28" x14ac:dyDescent="0.15">
      <c r="A504" s="46" t="s">
        <v>1059</v>
      </c>
      <c r="B504" s="52" t="s">
        <v>7361</v>
      </c>
      <c r="C504" s="53" t="s">
        <v>1060</v>
      </c>
      <c r="D504" s="54" t="s">
        <v>7946</v>
      </c>
      <c r="E504" s="50">
        <f t="shared" si="17"/>
        <v>6.8493150700000003</v>
      </c>
      <c r="F504" s="51">
        <f t="shared" si="17"/>
        <v>3.94643027</v>
      </c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</row>
    <row r="505" spans="1:28" x14ac:dyDescent="0.15">
      <c r="A505" s="46" t="s">
        <v>1061</v>
      </c>
      <c r="B505" s="52" t="s">
        <v>7361</v>
      </c>
      <c r="C505" s="53" t="s">
        <v>1062</v>
      </c>
      <c r="D505" s="54" t="s">
        <v>7947</v>
      </c>
      <c r="E505" s="50">
        <f t="shared" si="17"/>
        <v>6.8630136999999998</v>
      </c>
      <c r="F505" s="51">
        <f t="shared" si="17"/>
        <v>3.9464912000000001</v>
      </c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</row>
    <row r="506" spans="1:28" x14ac:dyDescent="0.15">
      <c r="A506" s="46" t="s">
        <v>1063</v>
      </c>
      <c r="B506" s="52" t="s">
        <v>7361</v>
      </c>
      <c r="C506" s="53" t="s">
        <v>1064</v>
      </c>
      <c r="D506" s="54" t="s">
        <v>7948</v>
      </c>
      <c r="E506" s="50">
        <f t="shared" si="17"/>
        <v>6.8767123300000002</v>
      </c>
      <c r="F506" s="51">
        <f t="shared" si="17"/>
        <v>3.9465441800000001</v>
      </c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</row>
    <row r="507" spans="1:28" x14ac:dyDescent="0.15">
      <c r="A507" s="46" t="s">
        <v>1065</v>
      </c>
      <c r="B507" s="52" t="s">
        <v>7361</v>
      </c>
      <c r="C507" s="53" t="s">
        <v>1066</v>
      </c>
      <c r="D507" s="54" t="s">
        <v>7949</v>
      </c>
      <c r="E507" s="50">
        <f t="shared" si="17"/>
        <v>6.8904109599999996</v>
      </c>
      <c r="F507" s="51">
        <f t="shared" si="17"/>
        <v>3.9465896599999999</v>
      </c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</row>
    <row r="508" spans="1:28" x14ac:dyDescent="0.15">
      <c r="A508" s="46" t="s">
        <v>1067</v>
      </c>
      <c r="B508" s="52" t="s">
        <v>7361</v>
      </c>
      <c r="C508" s="53" t="s">
        <v>1068</v>
      </c>
      <c r="D508" s="54" t="s">
        <v>7950</v>
      </c>
      <c r="E508" s="50">
        <f t="shared" si="17"/>
        <v>6.90410959</v>
      </c>
      <c r="F508" s="51">
        <f t="shared" si="17"/>
        <v>3.9466280999999999</v>
      </c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</row>
    <row r="509" spans="1:28" x14ac:dyDescent="0.15">
      <c r="A509" s="46" t="s">
        <v>1069</v>
      </c>
      <c r="B509" s="52" t="s">
        <v>7361</v>
      </c>
      <c r="C509" s="53" t="s">
        <v>1070</v>
      </c>
      <c r="D509" s="54" t="s">
        <v>7951</v>
      </c>
      <c r="E509" s="50">
        <f t="shared" si="17"/>
        <v>6.9178082200000004</v>
      </c>
      <c r="F509" s="51">
        <f t="shared" si="17"/>
        <v>3.9466599499999999</v>
      </c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</row>
    <row r="510" spans="1:28" x14ac:dyDescent="0.15">
      <c r="A510" s="46" t="s">
        <v>1071</v>
      </c>
      <c r="B510" s="52" t="s">
        <v>7361</v>
      </c>
      <c r="C510" s="53" t="s">
        <v>1072</v>
      </c>
      <c r="D510" s="54" t="s">
        <v>7952</v>
      </c>
      <c r="E510" s="50">
        <f t="shared" si="17"/>
        <v>6.9315068499999999</v>
      </c>
      <c r="F510" s="51">
        <f t="shared" si="17"/>
        <v>3.94668565</v>
      </c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</row>
    <row r="511" spans="1:28" x14ac:dyDescent="0.15">
      <c r="A511" s="46" t="s">
        <v>1073</v>
      </c>
      <c r="B511" s="52" t="s">
        <v>7361</v>
      </c>
      <c r="C511" s="53" t="s">
        <v>1074</v>
      </c>
      <c r="D511" s="54" t="s">
        <v>7953</v>
      </c>
      <c r="E511" s="50">
        <f t="shared" si="17"/>
        <v>6.9452054800000003</v>
      </c>
      <c r="F511" s="51">
        <f t="shared" si="17"/>
        <v>3.9467056700000001</v>
      </c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</row>
    <row r="512" spans="1:28" x14ac:dyDescent="0.15">
      <c r="A512" s="46" t="s">
        <v>1075</v>
      </c>
      <c r="B512" s="52" t="s">
        <v>7361</v>
      </c>
      <c r="C512" s="53" t="s">
        <v>1076</v>
      </c>
      <c r="D512" s="54" t="s">
        <v>7954</v>
      </c>
      <c r="E512" s="50">
        <f t="shared" si="17"/>
        <v>6.9589041099999998</v>
      </c>
      <c r="F512" s="51">
        <f t="shared" si="17"/>
        <v>3.9467204499999999</v>
      </c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</row>
    <row r="513" spans="1:28" x14ac:dyDescent="0.15">
      <c r="A513" s="46" t="s">
        <v>1077</v>
      </c>
      <c r="B513" s="52" t="s">
        <v>7361</v>
      </c>
      <c r="C513" s="53" t="s">
        <v>1078</v>
      </c>
      <c r="D513" s="54" t="s">
        <v>7955</v>
      </c>
      <c r="E513" s="50">
        <f t="shared" si="17"/>
        <v>6.9726027400000001</v>
      </c>
      <c r="F513" s="51">
        <f t="shared" si="17"/>
        <v>3.94673045</v>
      </c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</row>
    <row r="514" spans="1:28" x14ac:dyDescent="0.15">
      <c r="A514" s="46" t="s">
        <v>1079</v>
      </c>
      <c r="B514" s="52" t="s">
        <v>7361</v>
      </c>
      <c r="C514" s="53" t="s">
        <v>1080</v>
      </c>
      <c r="D514" s="54" t="s">
        <v>7956</v>
      </c>
      <c r="E514" s="50">
        <f t="shared" si="17"/>
        <v>6.9863013699999996</v>
      </c>
      <c r="F514" s="51">
        <f t="shared" si="17"/>
        <v>3.9467361200000002</v>
      </c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</row>
    <row r="515" spans="1:28" x14ac:dyDescent="0.15">
      <c r="A515" s="46" t="s">
        <v>1081</v>
      </c>
      <c r="B515" s="52" t="s">
        <v>7361</v>
      </c>
      <c r="C515" s="53" t="s">
        <v>1082</v>
      </c>
      <c r="D515" s="54" t="s">
        <v>7957</v>
      </c>
      <c r="E515" s="50">
        <f t="shared" si="17"/>
        <v>7</v>
      </c>
      <c r="F515" s="51">
        <f t="shared" si="17"/>
        <v>3.94673791</v>
      </c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</row>
    <row r="516" spans="1:28" x14ac:dyDescent="0.15">
      <c r="A516" s="46" t="s">
        <v>1083</v>
      </c>
      <c r="B516" s="52" t="s">
        <v>7361</v>
      </c>
      <c r="C516" s="53" t="s">
        <v>1084</v>
      </c>
      <c r="D516" s="54" t="s">
        <v>7958</v>
      </c>
      <c r="E516" s="50">
        <f t="shared" si="17"/>
        <v>7.0136986300000004</v>
      </c>
      <c r="F516" s="51">
        <f t="shared" si="17"/>
        <v>3.9467345699999998</v>
      </c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</row>
    <row r="517" spans="1:28" x14ac:dyDescent="0.15">
      <c r="A517" s="46" t="s">
        <v>1085</v>
      </c>
      <c r="B517" s="52" t="s">
        <v>7361</v>
      </c>
      <c r="C517" s="53" t="s">
        <v>1086</v>
      </c>
      <c r="D517" s="54" t="s">
        <v>7959</v>
      </c>
      <c r="E517" s="50">
        <f t="shared" si="17"/>
        <v>7.0273972599999999</v>
      </c>
      <c r="F517" s="51">
        <f t="shared" si="17"/>
        <v>3.9467247400000001</v>
      </c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</row>
    <row r="518" spans="1:28" x14ac:dyDescent="0.15">
      <c r="A518" s="46" t="s">
        <v>1087</v>
      </c>
      <c r="B518" s="52" t="s">
        <v>7361</v>
      </c>
      <c r="C518" s="53" t="s">
        <v>1088</v>
      </c>
      <c r="D518" s="54" t="s">
        <v>7960</v>
      </c>
      <c r="E518" s="50">
        <f t="shared" si="17"/>
        <v>7.0410958900000002</v>
      </c>
      <c r="F518" s="51">
        <f t="shared" si="17"/>
        <v>3.9467086899999999</v>
      </c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</row>
    <row r="519" spans="1:28" x14ac:dyDescent="0.15">
      <c r="A519" s="46" t="s">
        <v>1089</v>
      </c>
      <c r="B519" s="52" t="s">
        <v>7361</v>
      </c>
      <c r="C519" s="53" t="s">
        <v>1090</v>
      </c>
      <c r="D519" s="54" t="s">
        <v>7961</v>
      </c>
      <c r="E519" s="50">
        <f t="shared" si="17"/>
        <v>7.0547945199999997</v>
      </c>
      <c r="F519" s="51">
        <f t="shared" si="17"/>
        <v>3.9466867099999998</v>
      </c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</row>
    <row r="520" spans="1:28" x14ac:dyDescent="0.15">
      <c r="A520" s="46" t="s">
        <v>1091</v>
      </c>
      <c r="B520" s="52" t="s">
        <v>7361</v>
      </c>
      <c r="C520" s="53" t="s">
        <v>1092</v>
      </c>
      <c r="D520" s="54" t="s">
        <v>7962</v>
      </c>
      <c r="E520" s="50">
        <f t="shared" si="17"/>
        <v>7.0684931500000001</v>
      </c>
      <c r="F520" s="51">
        <f t="shared" si="17"/>
        <v>3.94665906</v>
      </c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</row>
    <row r="521" spans="1:28" x14ac:dyDescent="0.15">
      <c r="A521" s="46" t="s">
        <v>1093</v>
      </c>
      <c r="B521" s="52" t="s">
        <v>7361</v>
      </c>
      <c r="C521" s="53" t="s">
        <v>1094</v>
      </c>
      <c r="D521" s="54" t="s">
        <v>7963</v>
      </c>
      <c r="E521" s="50">
        <f t="shared" si="17"/>
        <v>7.0821917799999996</v>
      </c>
      <c r="F521" s="51">
        <f t="shared" si="17"/>
        <v>3.9466260399999999</v>
      </c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</row>
    <row r="522" spans="1:28" x14ac:dyDescent="0.15">
      <c r="A522" s="46" t="s">
        <v>1095</v>
      </c>
      <c r="B522" s="52" t="s">
        <v>7361</v>
      </c>
      <c r="C522" s="53" t="s">
        <v>1096</v>
      </c>
      <c r="D522" s="54" t="s">
        <v>7964</v>
      </c>
      <c r="E522" s="50">
        <f t="shared" si="17"/>
        <v>7.09589041</v>
      </c>
      <c r="F522" s="51">
        <f t="shared" si="17"/>
        <v>3.9465879099999999</v>
      </c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</row>
    <row r="523" spans="1:28" x14ac:dyDescent="0.15">
      <c r="A523" s="46" t="s">
        <v>1097</v>
      </c>
      <c r="B523" s="52" t="s">
        <v>7361</v>
      </c>
      <c r="C523" s="53" t="s">
        <v>1098</v>
      </c>
      <c r="D523" s="54" t="s">
        <v>7965</v>
      </c>
      <c r="E523" s="50">
        <f t="shared" si="17"/>
        <v>7.1095890400000004</v>
      </c>
      <c r="F523" s="51">
        <f t="shared" si="17"/>
        <v>3.9465449600000002</v>
      </c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</row>
    <row r="524" spans="1:28" x14ac:dyDescent="0.15">
      <c r="A524" s="46" t="s">
        <v>1099</v>
      </c>
      <c r="B524" s="52" t="s">
        <v>7361</v>
      </c>
      <c r="C524" s="53" t="s">
        <v>1100</v>
      </c>
      <c r="D524" s="54" t="s">
        <v>7966</v>
      </c>
      <c r="E524" s="50">
        <f t="shared" si="17"/>
        <v>7.1232876699999998</v>
      </c>
      <c r="F524" s="51">
        <f t="shared" si="17"/>
        <v>3.9464974700000002</v>
      </c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</row>
    <row r="525" spans="1:28" x14ac:dyDescent="0.15">
      <c r="A525" s="46" t="s">
        <v>1101</v>
      </c>
      <c r="B525" s="52" t="s">
        <v>7361</v>
      </c>
      <c r="C525" s="53" t="s">
        <v>1102</v>
      </c>
      <c r="D525" s="54" t="s">
        <v>7967</v>
      </c>
      <c r="E525" s="50">
        <f t="shared" si="17"/>
        <v>7.1369863000000002</v>
      </c>
      <c r="F525" s="51">
        <f t="shared" si="17"/>
        <v>3.9464457099999999</v>
      </c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</row>
    <row r="526" spans="1:28" x14ac:dyDescent="0.15">
      <c r="A526" s="46" t="s">
        <v>1103</v>
      </c>
      <c r="B526" s="52" t="s">
        <v>7361</v>
      </c>
      <c r="C526" s="53" t="s">
        <v>1104</v>
      </c>
      <c r="D526" s="54" t="s">
        <v>7968</v>
      </c>
      <c r="E526" s="50">
        <f t="shared" si="17"/>
        <v>7.1506849299999997</v>
      </c>
      <c r="F526" s="51">
        <f t="shared" si="17"/>
        <v>3.9463899599999999</v>
      </c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</row>
    <row r="527" spans="1:28" x14ac:dyDescent="0.15">
      <c r="A527" s="46" t="s">
        <v>1105</v>
      </c>
      <c r="B527" s="52" t="s">
        <v>7361</v>
      </c>
      <c r="C527" s="53" t="s">
        <v>1106</v>
      </c>
      <c r="D527" s="54" t="s">
        <v>7969</v>
      </c>
      <c r="E527" s="50">
        <f t="shared" si="17"/>
        <v>7.1643835600000001</v>
      </c>
      <c r="F527" s="51">
        <f t="shared" si="17"/>
        <v>3.9463305000000002</v>
      </c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</row>
    <row r="528" spans="1:28" x14ac:dyDescent="0.15">
      <c r="A528" s="46" t="s">
        <v>1107</v>
      </c>
      <c r="B528" s="52" t="s">
        <v>7361</v>
      </c>
      <c r="C528" s="53" t="s">
        <v>1108</v>
      </c>
      <c r="D528" s="54" t="s">
        <v>7970</v>
      </c>
      <c r="E528" s="50">
        <f t="shared" si="17"/>
        <v>7.1780821899999996</v>
      </c>
      <c r="F528" s="51">
        <f t="shared" si="17"/>
        <v>3.9462676000000001</v>
      </c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</row>
    <row r="529" spans="1:28" x14ac:dyDescent="0.15">
      <c r="A529" s="46" t="s">
        <v>1109</v>
      </c>
      <c r="B529" s="52" t="s">
        <v>7361</v>
      </c>
      <c r="C529" s="53" t="s">
        <v>1110</v>
      </c>
      <c r="D529" s="54" t="s">
        <v>7971</v>
      </c>
      <c r="E529" s="50">
        <f t="shared" ref="E529:F559" si="18">VALUE(C529)</f>
        <v>7.19178082</v>
      </c>
      <c r="F529" s="51">
        <f t="shared" si="18"/>
        <v>3.94620156</v>
      </c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</row>
    <row r="530" spans="1:28" x14ac:dyDescent="0.15">
      <c r="A530" s="46" t="s">
        <v>1111</v>
      </c>
      <c r="B530" s="52" t="s">
        <v>7361</v>
      </c>
      <c r="C530" s="53" t="s">
        <v>1112</v>
      </c>
      <c r="D530" s="54" t="s">
        <v>7972</v>
      </c>
      <c r="E530" s="50">
        <f t="shared" si="18"/>
        <v>7.2054794500000003</v>
      </c>
      <c r="F530" s="51">
        <f t="shared" si="18"/>
        <v>3.9461326300000001</v>
      </c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</row>
    <row r="531" spans="1:28" x14ac:dyDescent="0.15">
      <c r="A531" s="46" t="s">
        <v>1113</v>
      </c>
      <c r="B531" s="52" t="s">
        <v>7361</v>
      </c>
      <c r="C531" s="53" t="s">
        <v>1114</v>
      </c>
      <c r="D531" s="54" t="s">
        <v>7973</v>
      </c>
      <c r="E531" s="50">
        <f t="shared" si="18"/>
        <v>7.2191780799999998</v>
      </c>
      <c r="F531" s="51">
        <f t="shared" si="18"/>
        <v>3.94606111</v>
      </c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</row>
    <row r="532" spans="1:28" x14ac:dyDescent="0.15">
      <c r="A532" s="46" t="s">
        <v>1115</v>
      </c>
      <c r="B532" s="52" t="s">
        <v>7361</v>
      </c>
      <c r="C532" s="53" t="s">
        <v>1116</v>
      </c>
      <c r="D532" s="54" t="s">
        <v>7974</v>
      </c>
      <c r="E532" s="50">
        <f t="shared" si="18"/>
        <v>7.2328767100000002</v>
      </c>
      <c r="F532" s="51">
        <f t="shared" si="18"/>
        <v>3.9459872699999998</v>
      </c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</row>
    <row r="533" spans="1:28" x14ac:dyDescent="0.15">
      <c r="A533" s="46" t="s">
        <v>1117</v>
      </c>
      <c r="B533" s="52" t="s">
        <v>7361</v>
      </c>
      <c r="C533" s="53" t="s">
        <v>1118</v>
      </c>
      <c r="D533" s="54" t="s">
        <v>7975</v>
      </c>
      <c r="E533" s="50">
        <f t="shared" si="18"/>
        <v>7.2465753399999997</v>
      </c>
      <c r="F533" s="51">
        <f t="shared" si="18"/>
        <v>3.94591139</v>
      </c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</row>
    <row r="534" spans="1:28" x14ac:dyDescent="0.15">
      <c r="A534" s="46" t="s">
        <v>1119</v>
      </c>
      <c r="B534" s="52" t="s">
        <v>7361</v>
      </c>
      <c r="C534" s="53" t="s">
        <v>1120</v>
      </c>
      <c r="D534" s="54" t="s">
        <v>7976</v>
      </c>
      <c r="E534" s="50">
        <f t="shared" si="18"/>
        <v>7.2602739700000001</v>
      </c>
      <c r="F534" s="51">
        <f t="shared" si="18"/>
        <v>3.9458337499999998</v>
      </c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</row>
    <row r="535" spans="1:28" x14ac:dyDescent="0.15">
      <c r="A535" s="46" t="s">
        <v>1121</v>
      </c>
      <c r="B535" s="52" t="s">
        <v>7361</v>
      </c>
      <c r="C535" s="53" t="s">
        <v>1122</v>
      </c>
      <c r="D535" s="54" t="s">
        <v>7977</v>
      </c>
      <c r="E535" s="50">
        <f t="shared" si="18"/>
        <v>7.2739725999999996</v>
      </c>
      <c r="F535" s="51">
        <f t="shared" si="18"/>
        <v>3.9457546300000002</v>
      </c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</row>
    <row r="536" spans="1:28" x14ac:dyDescent="0.15">
      <c r="A536" s="46" t="s">
        <v>1123</v>
      </c>
      <c r="B536" s="52" t="s">
        <v>7361</v>
      </c>
      <c r="C536" s="53" t="s">
        <v>1124</v>
      </c>
      <c r="D536" s="54" t="s">
        <v>7978</v>
      </c>
      <c r="E536" s="50">
        <f t="shared" si="18"/>
        <v>7.2876712299999999</v>
      </c>
      <c r="F536" s="51">
        <f t="shared" si="18"/>
        <v>3.9456742899999999</v>
      </c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</row>
    <row r="537" spans="1:28" x14ac:dyDescent="0.15">
      <c r="A537" s="46" t="s">
        <v>1125</v>
      </c>
      <c r="B537" s="52" t="s">
        <v>7361</v>
      </c>
      <c r="C537" s="53" t="s">
        <v>1126</v>
      </c>
      <c r="D537" s="54" t="s">
        <v>7979</v>
      </c>
      <c r="E537" s="50">
        <f t="shared" si="18"/>
        <v>7.3013698600000003</v>
      </c>
      <c r="F537" s="51">
        <f t="shared" si="18"/>
        <v>3.9455930299999999</v>
      </c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</row>
    <row r="538" spans="1:28" x14ac:dyDescent="0.15">
      <c r="A538" s="46" t="s">
        <v>1127</v>
      </c>
      <c r="B538" s="52" t="s">
        <v>7361</v>
      </c>
      <c r="C538" s="53" t="s">
        <v>1128</v>
      </c>
      <c r="D538" s="54" t="s">
        <v>7980</v>
      </c>
      <c r="E538" s="50">
        <f t="shared" si="18"/>
        <v>7.3150684899999998</v>
      </c>
      <c r="F538" s="51">
        <f t="shared" si="18"/>
        <v>3.9455111199999999</v>
      </c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</row>
    <row r="539" spans="1:28" x14ac:dyDescent="0.15">
      <c r="A539" s="46" t="s">
        <v>1129</v>
      </c>
      <c r="B539" s="52" t="s">
        <v>7361</v>
      </c>
      <c r="C539" s="53" t="s">
        <v>1130</v>
      </c>
      <c r="D539" s="54" t="s">
        <v>7981</v>
      </c>
      <c r="E539" s="50">
        <f t="shared" si="18"/>
        <v>7.3287671200000002</v>
      </c>
      <c r="F539" s="51">
        <f t="shared" si="18"/>
        <v>3.9454288399999999</v>
      </c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</row>
    <row r="540" spans="1:28" x14ac:dyDescent="0.15">
      <c r="A540" s="46" t="s">
        <v>1131</v>
      </c>
      <c r="B540" s="52" t="s">
        <v>7361</v>
      </c>
      <c r="C540" s="53" t="s">
        <v>1132</v>
      </c>
      <c r="D540" s="54" t="s">
        <v>7982</v>
      </c>
      <c r="E540" s="50">
        <f t="shared" si="18"/>
        <v>7.3424657499999997</v>
      </c>
      <c r="F540" s="51">
        <f t="shared" si="18"/>
        <v>3.94534647</v>
      </c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</row>
    <row r="541" spans="1:28" x14ac:dyDescent="0.15">
      <c r="A541" s="46" t="s">
        <v>1133</v>
      </c>
      <c r="B541" s="52" t="s">
        <v>7361</v>
      </c>
      <c r="C541" s="53" t="s">
        <v>1134</v>
      </c>
      <c r="D541" s="54" t="s">
        <v>7983</v>
      </c>
      <c r="E541" s="50">
        <f t="shared" si="18"/>
        <v>7.3561643800000001</v>
      </c>
      <c r="F541" s="51">
        <f t="shared" si="18"/>
        <v>3.94526428</v>
      </c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</row>
    <row r="542" spans="1:28" x14ac:dyDescent="0.15">
      <c r="A542" s="46" t="s">
        <v>1135</v>
      </c>
      <c r="B542" s="52" t="s">
        <v>7361</v>
      </c>
      <c r="C542" s="53" t="s">
        <v>1136</v>
      </c>
      <c r="D542" s="54" t="s">
        <v>7984</v>
      </c>
      <c r="E542" s="50">
        <f t="shared" si="18"/>
        <v>7.3698630100000004</v>
      </c>
      <c r="F542" s="51">
        <f t="shared" si="18"/>
        <v>3.9451825600000001</v>
      </c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</row>
    <row r="543" spans="1:28" x14ac:dyDescent="0.15">
      <c r="A543" s="46" t="s">
        <v>1137</v>
      </c>
      <c r="B543" s="52" t="s">
        <v>7361</v>
      </c>
      <c r="C543" s="53" t="s">
        <v>1138</v>
      </c>
      <c r="D543" s="54" t="s">
        <v>7985</v>
      </c>
      <c r="E543" s="50">
        <f t="shared" si="18"/>
        <v>7.3835616399999999</v>
      </c>
      <c r="F543" s="51">
        <f t="shared" si="18"/>
        <v>3.9451015800000002</v>
      </c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</row>
    <row r="544" spans="1:28" x14ac:dyDescent="0.15">
      <c r="A544" s="46" t="s">
        <v>1139</v>
      </c>
      <c r="B544" s="52" t="s">
        <v>7361</v>
      </c>
      <c r="C544" s="53" t="s">
        <v>1140</v>
      </c>
      <c r="D544" s="54" t="s">
        <v>7986</v>
      </c>
      <c r="E544" s="50">
        <f t="shared" si="18"/>
        <v>7.3972602700000003</v>
      </c>
      <c r="F544" s="51">
        <f t="shared" si="18"/>
        <v>3.9450216199999999</v>
      </c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</row>
    <row r="545" spans="1:28" x14ac:dyDescent="0.15">
      <c r="A545" s="46" t="s">
        <v>1141</v>
      </c>
      <c r="B545" s="52" t="s">
        <v>7361</v>
      </c>
      <c r="C545" s="53" t="s">
        <v>1142</v>
      </c>
      <c r="D545" s="54" t="s">
        <v>7987</v>
      </c>
      <c r="E545" s="50">
        <f t="shared" si="18"/>
        <v>7.4109588999999998</v>
      </c>
      <c r="F545" s="51">
        <f t="shared" si="18"/>
        <v>3.9449429500000002</v>
      </c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</row>
    <row r="546" spans="1:28" x14ac:dyDescent="0.15">
      <c r="A546" s="46" t="s">
        <v>1143</v>
      </c>
      <c r="B546" s="52" t="s">
        <v>7361</v>
      </c>
      <c r="C546" s="53" t="s">
        <v>1144</v>
      </c>
      <c r="D546" s="54" t="s">
        <v>7988</v>
      </c>
      <c r="E546" s="50">
        <f t="shared" si="18"/>
        <v>7.4246575300000002</v>
      </c>
      <c r="F546" s="51">
        <f t="shared" si="18"/>
        <v>3.9448658700000001</v>
      </c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</row>
    <row r="547" spans="1:28" x14ac:dyDescent="0.15">
      <c r="A547" s="46" t="s">
        <v>1145</v>
      </c>
      <c r="B547" s="52" t="s">
        <v>7361</v>
      </c>
      <c r="C547" s="53" t="s">
        <v>1146</v>
      </c>
      <c r="D547" s="54" t="s">
        <v>7989</v>
      </c>
      <c r="E547" s="50">
        <f t="shared" si="18"/>
        <v>7.4383561599999997</v>
      </c>
      <c r="F547" s="51">
        <f t="shared" si="18"/>
        <v>3.9447906399999999</v>
      </c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</row>
    <row r="548" spans="1:28" x14ac:dyDescent="0.15">
      <c r="A548" s="46" t="s">
        <v>1147</v>
      </c>
      <c r="B548" s="52" t="s">
        <v>7361</v>
      </c>
      <c r="C548" s="53" t="s">
        <v>1148</v>
      </c>
      <c r="D548" s="54" t="s">
        <v>7990</v>
      </c>
      <c r="E548" s="50">
        <f t="shared" si="18"/>
        <v>7.45205479</v>
      </c>
      <c r="F548" s="51">
        <f t="shared" si="18"/>
        <v>3.9447175400000001</v>
      </c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</row>
    <row r="549" spans="1:28" x14ac:dyDescent="0.15">
      <c r="A549" s="46" t="s">
        <v>1149</v>
      </c>
      <c r="B549" s="52" t="s">
        <v>7361</v>
      </c>
      <c r="C549" s="53" t="s">
        <v>1150</v>
      </c>
      <c r="D549" s="54" t="s">
        <v>7991</v>
      </c>
      <c r="E549" s="50">
        <f t="shared" si="18"/>
        <v>7.4657534200000004</v>
      </c>
      <c r="F549" s="51">
        <f t="shared" si="18"/>
        <v>3.9446468499999998</v>
      </c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</row>
    <row r="550" spans="1:28" x14ac:dyDescent="0.15">
      <c r="A550" s="46" t="s">
        <v>1151</v>
      </c>
      <c r="B550" s="52" t="s">
        <v>7361</v>
      </c>
      <c r="C550" s="53" t="s">
        <v>1152</v>
      </c>
      <c r="D550" s="54" t="s">
        <v>7992</v>
      </c>
      <c r="E550" s="50">
        <f t="shared" si="18"/>
        <v>7.4794520499999999</v>
      </c>
      <c r="F550" s="51">
        <f t="shared" si="18"/>
        <v>3.94457886</v>
      </c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</row>
    <row r="551" spans="1:28" x14ac:dyDescent="0.15">
      <c r="A551" s="46" t="s">
        <v>1153</v>
      </c>
      <c r="B551" s="52" t="s">
        <v>7361</v>
      </c>
      <c r="C551" s="53" t="s">
        <v>1154</v>
      </c>
      <c r="D551" s="54" t="s">
        <v>7993</v>
      </c>
      <c r="E551" s="50">
        <f t="shared" si="18"/>
        <v>7.4931506800000003</v>
      </c>
      <c r="F551" s="51">
        <f t="shared" si="18"/>
        <v>3.94451383</v>
      </c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</row>
    <row r="552" spans="1:28" x14ac:dyDescent="0.15">
      <c r="A552" s="46" t="s">
        <v>1155</v>
      </c>
      <c r="B552" s="52" t="s">
        <v>7361</v>
      </c>
      <c r="C552" s="53" t="s">
        <v>1156</v>
      </c>
      <c r="D552" s="54" t="s">
        <v>7994</v>
      </c>
      <c r="E552" s="50">
        <f t="shared" si="18"/>
        <v>7.5068493199999997</v>
      </c>
      <c r="F552" s="51">
        <f t="shared" si="18"/>
        <v>3.9444507099999999</v>
      </c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</row>
    <row r="553" spans="1:28" x14ac:dyDescent="0.15">
      <c r="A553" s="46" t="s">
        <v>1157</v>
      </c>
      <c r="B553" s="52" t="s">
        <v>7361</v>
      </c>
      <c r="C553" s="53" t="s">
        <v>1158</v>
      </c>
      <c r="D553" s="54" t="s">
        <v>7995</v>
      </c>
      <c r="E553" s="50">
        <f t="shared" si="18"/>
        <v>7.5205479500000001</v>
      </c>
      <c r="F553" s="51">
        <f t="shared" si="18"/>
        <v>3.9443817499999998</v>
      </c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</row>
    <row r="554" spans="1:28" x14ac:dyDescent="0.15">
      <c r="A554" s="46" t="s">
        <v>1159</v>
      </c>
      <c r="B554" s="52" t="s">
        <v>7361</v>
      </c>
      <c r="C554" s="53" t="s">
        <v>1160</v>
      </c>
      <c r="D554" s="54" t="s">
        <v>7996</v>
      </c>
      <c r="E554" s="50">
        <f t="shared" si="18"/>
        <v>7.5342465799999996</v>
      </c>
      <c r="F554" s="51">
        <f t="shared" si="18"/>
        <v>3.9443058899999999</v>
      </c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</row>
    <row r="555" spans="1:28" x14ac:dyDescent="0.15">
      <c r="A555" s="46" t="s">
        <v>1161</v>
      </c>
      <c r="B555" s="52" t="s">
        <v>7361</v>
      </c>
      <c r="C555" s="53" t="s">
        <v>1162</v>
      </c>
      <c r="D555" s="54" t="s">
        <v>7997</v>
      </c>
      <c r="E555" s="50">
        <f t="shared" si="18"/>
        <v>7.54794521</v>
      </c>
      <c r="F555" s="51">
        <f t="shared" si="18"/>
        <v>3.9442234599999999</v>
      </c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</row>
    <row r="556" spans="1:28" x14ac:dyDescent="0.15">
      <c r="A556" s="46" t="s">
        <v>1163</v>
      </c>
      <c r="B556" s="52" t="s">
        <v>7361</v>
      </c>
      <c r="C556" s="53" t="s">
        <v>1164</v>
      </c>
      <c r="D556" s="54" t="s">
        <v>7998</v>
      </c>
      <c r="E556" s="50">
        <f t="shared" si="18"/>
        <v>7.5616438400000003</v>
      </c>
      <c r="F556" s="51">
        <f t="shared" si="18"/>
        <v>3.94413474</v>
      </c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</row>
    <row r="557" spans="1:28" x14ac:dyDescent="0.15">
      <c r="A557" s="46" t="s">
        <v>1165</v>
      </c>
      <c r="B557" s="52" t="s">
        <v>7361</v>
      </c>
      <c r="C557" s="53" t="s">
        <v>1166</v>
      </c>
      <c r="D557" s="54" t="s">
        <v>7999</v>
      </c>
      <c r="E557" s="50">
        <f t="shared" si="18"/>
        <v>7.5753424699999998</v>
      </c>
      <c r="F557" s="51">
        <f t="shared" si="18"/>
        <v>3.94404003</v>
      </c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</row>
    <row r="558" spans="1:28" x14ac:dyDescent="0.15">
      <c r="A558" s="46" t="s">
        <v>1167</v>
      </c>
      <c r="B558" s="52" t="s">
        <v>7361</v>
      </c>
      <c r="C558" s="53" t="s">
        <v>1168</v>
      </c>
      <c r="D558" s="54" t="s">
        <v>8000</v>
      </c>
      <c r="E558" s="50">
        <f t="shared" si="18"/>
        <v>7.5890411000000002</v>
      </c>
      <c r="F558" s="51">
        <f t="shared" si="18"/>
        <v>3.9439396499999999</v>
      </c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</row>
    <row r="559" spans="1:28" x14ac:dyDescent="0.15">
      <c r="A559" s="46" t="s">
        <v>1169</v>
      </c>
      <c r="B559" s="52" t="s">
        <v>7361</v>
      </c>
      <c r="C559" s="53" t="s">
        <v>1170</v>
      </c>
      <c r="D559" s="54" t="s">
        <v>8001</v>
      </c>
      <c r="E559" s="50">
        <f t="shared" si="18"/>
        <v>7.6027397299999997</v>
      </c>
      <c r="F559" s="51">
        <f t="shared" si="18"/>
        <v>3.9438338900000001</v>
      </c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</row>
    <row r="560" spans="1:28" x14ac:dyDescent="0.15">
      <c r="A560" s="46" t="s">
        <v>1171</v>
      </c>
      <c r="B560" s="52" t="s">
        <v>7361</v>
      </c>
      <c r="C560" s="53" t="s">
        <v>1172</v>
      </c>
      <c r="D560" s="54" t="s">
        <v>8002</v>
      </c>
      <c r="E560" s="50">
        <f t="shared" ref="E560:F589" si="19">VALUE(C560)</f>
        <v>7.6164383600000001</v>
      </c>
      <c r="F560" s="51">
        <f t="shared" si="19"/>
        <v>3.9437230599999999</v>
      </c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</row>
    <row r="561" spans="1:28" x14ac:dyDescent="0.15">
      <c r="A561" s="46" t="s">
        <v>1173</v>
      </c>
      <c r="B561" s="52" t="s">
        <v>7361</v>
      </c>
      <c r="C561" s="53" t="s">
        <v>1174</v>
      </c>
      <c r="D561" s="54" t="s">
        <v>8003</v>
      </c>
      <c r="E561" s="50">
        <f t="shared" si="19"/>
        <v>7.6301369899999996</v>
      </c>
      <c r="F561" s="51">
        <f t="shared" si="19"/>
        <v>3.9436074400000001</v>
      </c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</row>
    <row r="562" spans="1:28" x14ac:dyDescent="0.15">
      <c r="A562" s="46" t="s">
        <v>1175</v>
      </c>
      <c r="B562" s="52" t="s">
        <v>7361</v>
      </c>
      <c r="C562" s="53" t="s">
        <v>1176</v>
      </c>
      <c r="D562" s="54" t="s">
        <v>8004</v>
      </c>
      <c r="E562" s="50">
        <f t="shared" si="19"/>
        <v>7.6438356199999999</v>
      </c>
      <c r="F562" s="51">
        <f t="shared" si="19"/>
        <v>3.9434873600000002</v>
      </c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</row>
    <row r="563" spans="1:28" x14ac:dyDescent="0.15">
      <c r="A563" s="46" t="s">
        <v>1177</v>
      </c>
      <c r="B563" s="52" t="s">
        <v>7361</v>
      </c>
      <c r="C563" s="53" t="s">
        <v>1178</v>
      </c>
      <c r="D563" s="54" t="s">
        <v>8005</v>
      </c>
      <c r="E563" s="50">
        <f t="shared" si="19"/>
        <v>7.6575342500000003</v>
      </c>
      <c r="F563" s="51">
        <f t="shared" si="19"/>
        <v>3.9433631</v>
      </c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</row>
    <row r="564" spans="1:28" x14ac:dyDescent="0.15">
      <c r="A564" s="46" t="s">
        <v>1179</v>
      </c>
      <c r="B564" s="52" t="s">
        <v>7361</v>
      </c>
      <c r="C564" s="53" t="s">
        <v>1180</v>
      </c>
      <c r="D564" s="54" t="s">
        <v>8006</v>
      </c>
      <c r="E564" s="50">
        <f t="shared" si="19"/>
        <v>7.6712328799999998</v>
      </c>
      <c r="F564" s="51">
        <f t="shared" si="19"/>
        <v>3.9432349699999998</v>
      </c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</row>
    <row r="565" spans="1:28" x14ac:dyDescent="0.15">
      <c r="A565" s="46" t="s">
        <v>1181</v>
      </c>
      <c r="B565" s="52" t="s">
        <v>7361</v>
      </c>
      <c r="C565" s="53" t="s">
        <v>1182</v>
      </c>
      <c r="D565" s="54" t="s">
        <v>8007</v>
      </c>
      <c r="E565" s="50">
        <f t="shared" si="19"/>
        <v>7.6849315100000002</v>
      </c>
      <c r="F565" s="51">
        <f t="shared" si="19"/>
        <v>3.9431032799999999</v>
      </c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</row>
    <row r="566" spans="1:28" x14ac:dyDescent="0.15">
      <c r="A566" s="46" t="s">
        <v>1183</v>
      </c>
      <c r="B566" s="52" t="s">
        <v>7361</v>
      </c>
      <c r="C566" s="53" t="s">
        <v>1184</v>
      </c>
      <c r="D566" s="54" t="s">
        <v>8008</v>
      </c>
      <c r="E566" s="50">
        <f t="shared" si="19"/>
        <v>7.6986301399999997</v>
      </c>
      <c r="F566" s="51">
        <f t="shared" si="19"/>
        <v>3.9429683099999999</v>
      </c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</row>
    <row r="567" spans="1:28" x14ac:dyDescent="0.15">
      <c r="A567" s="46" t="s">
        <v>1185</v>
      </c>
      <c r="B567" s="52" t="s">
        <v>7361</v>
      </c>
      <c r="C567" s="53" t="s">
        <v>1186</v>
      </c>
      <c r="D567" s="54" t="s">
        <v>8009</v>
      </c>
      <c r="E567" s="50">
        <f t="shared" si="19"/>
        <v>7.7123287700000001</v>
      </c>
      <c r="F567" s="51">
        <f t="shared" si="19"/>
        <v>3.9428303800000002</v>
      </c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</row>
    <row r="568" spans="1:28" x14ac:dyDescent="0.15">
      <c r="A568" s="46" t="s">
        <v>1187</v>
      </c>
      <c r="B568" s="52" t="s">
        <v>7361</v>
      </c>
      <c r="C568" s="53" t="s">
        <v>1188</v>
      </c>
      <c r="D568" s="54" t="s">
        <v>8010</v>
      </c>
      <c r="E568" s="50">
        <f t="shared" si="19"/>
        <v>7.7260274000000004</v>
      </c>
      <c r="F568" s="51">
        <f t="shared" si="19"/>
        <v>3.9426897900000002</v>
      </c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</row>
    <row r="569" spans="1:28" x14ac:dyDescent="0.15">
      <c r="A569" s="46" t="s">
        <v>1189</v>
      </c>
      <c r="B569" s="52" t="s">
        <v>7361</v>
      </c>
      <c r="C569" s="53" t="s">
        <v>1190</v>
      </c>
      <c r="D569" s="54" t="s">
        <v>8011</v>
      </c>
      <c r="E569" s="50">
        <f t="shared" si="19"/>
        <v>7.7397260299999999</v>
      </c>
      <c r="F569" s="51">
        <f t="shared" si="19"/>
        <v>3.9425468399999999</v>
      </c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</row>
    <row r="570" spans="1:28" x14ac:dyDescent="0.15">
      <c r="A570" s="46" t="s">
        <v>1191</v>
      </c>
      <c r="B570" s="52" t="s">
        <v>7361</v>
      </c>
      <c r="C570" s="53" t="s">
        <v>1192</v>
      </c>
      <c r="D570" s="54" t="s">
        <v>8012</v>
      </c>
      <c r="E570" s="50">
        <f t="shared" si="19"/>
        <v>7.7534246600000003</v>
      </c>
      <c r="F570" s="51">
        <f t="shared" si="19"/>
        <v>3.9424018200000002</v>
      </c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</row>
    <row r="571" spans="1:28" x14ac:dyDescent="0.15">
      <c r="A571" s="46" t="s">
        <v>1193</v>
      </c>
      <c r="B571" s="52" t="s">
        <v>7361</v>
      </c>
      <c r="C571" s="53" t="s">
        <v>1194</v>
      </c>
      <c r="D571" s="54" t="s">
        <v>8013</v>
      </c>
      <c r="E571" s="50">
        <f t="shared" si="19"/>
        <v>7.7671232899999998</v>
      </c>
      <c r="F571" s="51">
        <f t="shared" si="19"/>
        <v>3.94225504</v>
      </c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</row>
    <row r="572" spans="1:28" x14ac:dyDescent="0.15">
      <c r="A572" s="46" t="s">
        <v>1195</v>
      </c>
      <c r="B572" s="52" t="s">
        <v>7361</v>
      </c>
      <c r="C572" s="53" t="s">
        <v>1196</v>
      </c>
      <c r="D572" s="54" t="s">
        <v>8014</v>
      </c>
      <c r="E572" s="50">
        <f t="shared" si="19"/>
        <v>7.7808219200000002</v>
      </c>
      <c r="F572" s="51">
        <f t="shared" si="19"/>
        <v>3.9421068099999999</v>
      </c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</row>
    <row r="573" spans="1:28" x14ac:dyDescent="0.15">
      <c r="A573" s="46" t="s">
        <v>1197</v>
      </c>
      <c r="B573" s="52" t="s">
        <v>7361</v>
      </c>
      <c r="C573" s="53" t="s">
        <v>1198</v>
      </c>
      <c r="D573" s="54" t="s">
        <v>8015</v>
      </c>
      <c r="E573" s="50">
        <f t="shared" si="19"/>
        <v>7.7945205499999997</v>
      </c>
      <c r="F573" s="51">
        <f t="shared" si="19"/>
        <v>3.94195742</v>
      </c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</row>
    <row r="574" spans="1:28" x14ac:dyDescent="0.15">
      <c r="A574" s="46" t="s">
        <v>1199</v>
      </c>
      <c r="B574" s="52" t="s">
        <v>7361</v>
      </c>
      <c r="C574" s="53" t="s">
        <v>1200</v>
      </c>
      <c r="D574" s="54" t="s">
        <v>8016</v>
      </c>
      <c r="E574" s="50">
        <f t="shared" si="19"/>
        <v>7.80821918</v>
      </c>
      <c r="F574" s="51">
        <f t="shared" si="19"/>
        <v>3.9418071800000001</v>
      </c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</row>
    <row r="575" spans="1:28" x14ac:dyDescent="0.15">
      <c r="A575" s="46" t="s">
        <v>1201</v>
      </c>
      <c r="B575" s="52" t="s">
        <v>7361</v>
      </c>
      <c r="C575" s="53" t="s">
        <v>1202</v>
      </c>
      <c r="D575" s="54" t="s">
        <v>8017</v>
      </c>
      <c r="E575" s="50">
        <f t="shared" si="19"/>
        <v>7.8219178100000004</v>
      </c>
      <c r="F575" s="51">
        <f t="shared" si="19"/>
        <v>3.94165638</v>
      </c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</row>
    <row r="576" spans="1:28" x14ac:dyDescent="0.15">
      <c r="A576" s="46" t="s">
        <v>1203</v>
      </c>
      <c r="B576" s="52" t="s">
        <v>7361</v>
      </c>
      <c r="C576" s="53" t="s">
        <v>1204</v>
      </c>
      <c r="D576" s="54" t="s">
        <v>8018</v>
      </c>
      <c r="E576" s="50">
        <f t="shared" si="19"/>
        <v>7.8356164399999999</v>
      </c>
      <c r="F576" s="51">
        <f t="shared" si="19"/>
        <v>3.94150533</v>
      </c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</row>
    <row r="577" spans="1:28" x14ac:dyDescent="0.15">
      <c r="A577" s="46" t="s">
        <v>1205</v>
      </c>
      <c r="B577" s="52" t="s">
        <v>7361</v>
      </c>
      <c r="C577" s="53" t="s">
        <v>1206</v>
      </c>
      <c r="D577" s="54" t="s">
        <v>8019</v>
      </c>
      <c r="E577" s="50">
        <f t="shared" si="19"/>
        <v>7.8493150700000003</v>
      </c>
      <c r="F577" s="51">
        <f t="shared" si="19"/>
        <v>3.9413543400000002</v>
      </c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</row>
    <row r="578" spans="1:28" x14ac:dyDescent="0.15">
      <c r="A578" s="46" t="s">
        <v>1207</v>
      </c>
      <c r="B578" s="52" t="s">
        <v>7361</v>
      </c>
      <c r="C578" s="53" t="s">
        <v>1208</v>
      </c>
      <c r="D578" s="54" t="s">
        <v>8020</v>
      </c>
      <c r="E578" s="50">
        <f t="shared" si="19"/>
        <v>7.8630136999999998</v>
      </c>
      <c r="F578" s="51">
        <f t="shared" si="19"/>
        <v>3.94120369</v>
      </c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</row>
    <row r="579" spans="1:28" x14ac:dyDescent="0.15">
      <c r="A579" s="46" t="s">
        <v>1209</v>
      </c>
      <c r="B579" s="52" t="s">
        <v>7361</v>
      </c>
      <c r="C579" s="53" t="s">
        <v>1210</v>
      </c>
      <c r="D579" s="54" t="s">
        <v>8021</v>
      </c>
      <c r="E579" s="50">
        <f t="shared" si="19"/>
        <v>7.8767123300000002</v>
      </c>
      <c r="F579" s="51">
        <f t="shared" si="19"/>
        <v>3.9410536999999999</v>
      </c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</row>
    <row r="580" spans="1:28" x14ac:dyDescent="0.15">
      <c r="A580" s="46" t="s">
        <v>1211</v>
      </c>
      <c r="B580" s="52" t="s">
        <v>7361</v>
      </c>
      <c r="C580" s="53" t="s">
        <v>1212</v>
      </c>
      <c r="D580" s="54" t="s">
        <v>8022</v>
      </c>
      <c r="E580" s="50">
        <f t="shared" si="19"/>
        <v>7.8904109599999996</v>
      </c>
      <c r="F580" s="51">
        <f t="shared" si="19"/>
        <v>3.9409046600000002</v>
      </c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</row>
    <row r="581" spans="1:28" x14ac:dyDescent="0.15">
      <c r="A581" s="46" t="s">
        <v>1213</v>
      </c>
      <c r="B581" s="52" t="s">
        <v>7361</v>
      </c>
      <c r="C581" s="53" t="s">
        <v>1214</v>
      </c>
      <c r="D581" s="54" t="s">
        <v>8023</v>
      </c>
      <c r="E581" s="50">
        <f t="shared" si="19"/>
        <v>7.90410959</v>
      </c>
      <c r="F581" s="51">
        <f t="shared" si="19"/>
        <v>3.9407568799999999</v>
      </c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</row>
    <row r="582" spans="1:28" x14ac:dyDescent="0.15">
      <c r="A582" s="46" t="s">
        <v>1215</v>
      </c>
      <c r="B582" s="52" t="s">
        <v>7361</v>
      </c>
      <c r="C582" s="53" t="s">
        <v>1216</v>
      </c>
      <c r="D582" s="54" t="s">
        <v>8024</v>
      </c>
      <c r="E582" s="50">
        <f t="shared" si="19"/>
        <v>7.9178082200000004</v>
      </c>
      <c r="F582" s="51">
        <f t="shared" si="19"/>
        <v>3.9406106599999999</v>
      </c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</row>
    <row r="583" spans="1:28" x14ac:dyDescent="0.15">
      <c r="A583" s="46" t="s">
        <v>1217</v>
      </c>
      <c r="B583" s="52" t="s">
        <v>7361</v>
      </c>
      <c r="C583" s="53" t="s">
        <v>1218</v>
      </c>
      <c r="D583" s="54" t="s">
        <v>8025</v>
      </c>
      <c r="E583" s="50">
        <f t="shared" si="19"/>
        <v>7.9315068499999999</v>
      </c>
      <c r="F583" s="51">
        <f t="shared" si="19"/>
        <v>3.9404662899999998</v>
      </c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</row>
    <row r="584" spans="1:28" x14ac:dyDescent="0.15">
      <c r="A584" s="46" t="s">
        <v>1219</v>
      </c>
      <c r="B584" s="52" t="s">
        <v>7361</v>
      </c>
      <c r="C584" s="53" t="s">
        <v>1220</v>
      </c>
      <c r="D584" s="54" t="s">
        <v>8026</v>
      </c>
      <c r="E584" s="50">
        <f t="shared" si="19"/>
        <v>7.9452054800000003</v>
      </c>
      <c r="F584" s="51">
        <f t="shared" si="19"/>
        <v>3.9403240899999998</v>
      </c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</row>
    <row r="585" spans="1:28" x14ac:dyDescent="0.15">
      <c r="A585" s="46" t="s">
        <v>1221</v>
      </c>
      <c r="B585" s="52" t="s">
        <v>7361</v>
      </c>
      <c r="C585" s="53" t="s">
        <v>1222</v>
      </c>
      <c r="D585" s="54" t="s">
        <v>8027</v>
      </c>
      <c r="E585" s="50">
        <f t="shared" si="19"/>
        <v>7.9589041099999998</v>
      </c>
      <c r="F585" s="51">
        <f t="shared" si="19"/>
        <v>3.94018435</v>
      </c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</row>
    <row r="586" spans="1:28" x14ac:dyDescent="0.15">
      <c r="A586" s="46" t="s">
        <v>1223</v>
      </c>
      <c r="B586" s="52" t="s">
        <v>7361</v>
      </c>
      <c r="C586" s="53" t="s">
        <v>1224</v>
      </c>
      <c r="D586" s="54" t="s">
        <v>8028</v>
      </c>
      <c r="E586" s="50">
        <f t="shared" si="19"/>
        <v>7.9726027400000001</v>
      </c>
      <c r="F586" s="51">
        <f t="shared" si="19"/>
        <v>3.9400473800000002</v>
      </c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</row>
    <row r="587" spans="1:28" x14ac:dyDescent="0.15">
      <c r="A587" s="46" t="s">
        <v>1225</v>
      </c>
      <c r="B587" s="52" t="s">
        <v>7361</v>
      </c>
      <c r="C587" s="53" t="s">
        <v>1226</v>
      </c>
      <c r="D587" s="54" t="s">
        <v>8029</v>
      </c>
      <c r="E587" s="50">
        <f t="shared" si="19"/>
        <v>7.9863013699999996</v>
      </c>
      <c r="F587" s="51">
        <f t="shared" si="19"/>
        <v>3.93991347</v>
      </c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</row>
    <row r="588" spans="1:28" x14ac:dyDescent="0.15">
      <c r="A588" s="46" t="s">
        <v>1227</v>
      </c>
      <c r="B588" s="52" t="s">
        <v>7361</v>
      </c>
      <c r="C588" s="53" t="s">
        <v>1228</v>
      </c>
      <c r="D588" s="54" t="s">
        <v>8030</v>
      </c>
      <c r="E588" s="50">
        <f t="shared" si="19"/>
        <v>8</v>
      </c>
      <c r="F588" s="51">
        <f t="shared" si="19"/>
        <v>3.9397829299999998</v>
      </c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</row>
    <row r="589" spans="1:28" x14ac:dyDescent="0.15">
      <c r="A589" s="46" t="s">
        <v>1229</v>
      </c>
      <c r="B589" s="52" t="s">
        <v>7361</v>
      </c>
      <c r="C589" s="53" t="s">
        <v>1230</v>
      </c>
      <c r="D589" s="54" t="s">
        <v>8031</v>
      </c>
      <c r="E589" s="50">
        <f t="shared" si="19"/>
        <v>8.0136986300000004</v>
      </c>
      <c r="F589" s="51">
        <f t="shared" si="19"/>
        <v>3.9396523700000001</v>
      </c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</row>
    <row r="590" spans="1:28" x14ac:dyDescent="0.15">
      <c r="A590" s="46" t="s">
        <v>1231</v>
      </c>
      <c r="B590" s="52" t="s">
        <v>7361</v>
      </c>
      <c r="C590" s="53" t="s">
        <v>1232</v>
      </c>
      <c r="D590" s="54" t="s">
        <v>8032</v>
      </c>
      <c r="E590" s="50">
        <f t="shared" ref="E590:F620" si="20">VALUE(C590)</f>
        <v>8.0273972600000008</v>
      </c>
      <c r="F590" s="51">
        <f t="shared" si="20"/>
        <v>3.93951831</v>
      </c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</row>
    <row r="591" spans="1:28" x14ac:dyDescent="0.15">
      <c r="A591" s="46" t="s">
        <v>1233</v>
      </c>
      <c r="B591" s="52" t="s">
        <v>7361</v>
      </c>
      <c r="C591" s="53" t="s">
        <v>1234</v>
      </c>
      <c r="D591" s="54" t="s">
        <v>8033</v>
      </c>
      <c r="E591" s="50">
        <f t="shared" si="20"/>
        <v>8.0410958899999994</v>
      </c>
      <c r="F591" s="51">
        <f t="shared" si="20"/>
        <v>3.9393809000000002</v>
      </c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</row>
    <row r="592" spans="1:28" x14ac:dyDescent="0.15">
      <c r="A592" s="46" t="s">
        <v>1235</v>
      </c>
      <c r="B592" s="52" t="s">
        <v>7361</v>
      </c>
      <c r="C592" s="53" t="s">
        <v>1236</v>
      </c>
      <c r="D592" s="54" t="s">
        <v>8034</v>
      </c>
      <c r="E592" s="50">
        <f t="shared" si="20"/>
        <v>8.0547945199999997</v>
      </c>
      <c r="F592" s="51">
        <f t="shared" si="20"/>
        <v>3.9392402799999999</v>
      </c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</row>
    <row r="593" spans="1:28" x14ac:dyDescent="0.15">
      <c r="A593" s="46" t="s">
        <v>1237</v>
      </c>
      <c r="B593" s="52" t="s">
        <v>7361</v>
      </c>
      <c r="C593" s="53" t="s">
        <v>1238</v>
      </c>
      <c r="D593" s="54" t="s">
        <v>8035</v>
      </c>
      <c r="E593" s="50">
        <f t="shared" si="20"/>
        <v>8.0684931500000001</v>
      </c>
      <c r="F593" s="51">
        <f t="shared" si="20"/>
        <v>3.93909661</v>
      </c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</row>
    <row r="594" spans="1:28" x14ac:dyDescent="0.15">
      <c r="A594" s="46" t="s">
        <v>1239</v>
      </c>
      <c r="B594" s="52" t="s">
        <v>7361</v>
      </c>
      <c r="C594" s="53" t="s">
        <v>1240</v>
      </c>
      <c r="D594" s="54" t="s">
        <v>8036</v>
      </c>
      <c r="E594" s="50">
        <f t="shared" si="20"/>
        <v>8.0821917800000005</v>
      </c>
      <c r="F594" s="51">
        <f t="shared" si="20"/>
        <v>3.9389500399999999</v>
      </c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</row>
    <row r="595" spans="1:28" x14ac:dyDescent="0.15">
      <c r="A595" s="46" t="s">
        <v>1241</v>
      </c>
      <c r="B595" s="52" t="s">
        <v>7361</v>
      </c>
      <c r="C595" s="53" t="s">
        <v>1242</v>
      </c>
      <c r="D595" s="54" t="s">
        <v>8037</v>
      </c>
      <c r="E595" s="50">
        <f t="shared" si="20"/>
        <v>8.0958904100000009</v>
      </c>
      <c r="F595" s="51">
        <f t="shared" si="20"/>
        <v>3.9388007200000001</v>
      </c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</row>
    <row r="596" spans="1:28" x14ac:dyDescent="0.15">
      <c r="A596" s="46" t="s">
        <v>1243</v>
      </c>
      <c r="B596" s="52" t="s">
        <v>7361</v>
      </c>
      <c r="C596" s="53" t="s">
        <v>1244</v>
      </c>
      <c r="D596" s="54" t="s">
        <v>8038</v>
      </c>
      <c r="E596" s="50">
        <f t="shared" si="20"/>
        <v>8.1095890399999995</v>
      </c>
      <c r="F596" s="51">
        <f t="shared" si="20"/>
        <v>3.9386488000000002</v>
      </c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</row>
    <row r="597" spans="1:28" x14ac:dyDescent="0.15">
      <c r="A597" s="46" t="s">
        <v>1245</v>
      </c>
      <c r="B597" s="52" t="s">
        <v>7361</v>
      </c>
      <c r="C597" s="53" t="s">
        <v>1246</v>
      </c>
      <c r="D597" s="54" t="s">
        <v>8039</v>
      </c>
      <c r="E597" s="50">
        <f t="shared" si="20"/>
        <v>8.1232876699999998</v>
      </c>
      <c r="F597" s="51">
        <f t="shared" si="20"/>
        <v>3.9384944200000001</v>
      </c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</row>
    <row r="598" spans="1:28" x14ac:dyDescent="0.15">
      <c r="A598" s="46" t="s">
        <v>1247</v>
      </c>
      <c r="B598" s="52" t="s">
        <v>7361</v>
      </c>
      <c r="C598" s="53" t="s">
        <v>1248</v>
      </c>
      <c r="D598" s="54" t="s">
        <v>8040</v>
      </c>
      <c r="E598" s="50">
        <f t="shared" si="20"/>
        <v>8.1369863000000002</v>
      </c>
      <c r="F598" s="51">
        <f t="shared" si="20"/>
        <v>3.9383377400000001</v>
      </c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</row>
    <row r="599" spans="1:28" x14ac:dyDescent="0.15">
      <c r="A599" s="46" t="s">
        <v>1249</v>
      </c>
      <c r="B599" s="52" t="s">
        <v>7361</v>
      </c>
      <c r="C599" s="53" t="s">
        <v>1250</v>
      </c>
      <c r="D599" s="54" t="s">
        <v>8041</v>
      </c>
      <c r="E599" s="50">
        <f t="shared" si="20"/>
        <v>8.1506849300000006</v>
      </c>
      <c r="F599" s="51">
        <f t="shared" si="20"/>
        <v>3.93817891</v>
      </c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</row>
    <row r="600" spans="1:28" x14ac:dyDescent="0.15">
      <c r="A600" s="46" t="s">
        <v>1251</v>
      </c>
      <c r="B600" s="52" t="s">
        <v>7361</v>
      </c>
      <c r="C600" s="53" t="s">
        <v>1252</v>
      </c>
      <c r="D600" s="54" t="s">
        <v>8042</v>
      </c>
      <c r="E600" s="50">
        <f t="shared" si="20"/>
        <v>8.1643835599999992</v>
      </c>
      <c r="F600" s="51">
        <f t="shared" si="20"/>
        <v>3.93801808</v>
      </c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</row>
    <row r="601" spans="1:28" x14ac:dyDescent="0.15">
      <c r="A601" s="46" t="s">
        <v>1253</v>
      </c>
      <c r="B601" s="52" t="s">
        <v>7361</v>
      </c>
      <c r="C601" s="53" t="s">
        <v>1254</v>
      </c>
      <c r="D601" s="54" t="s">
        <v>8043</v>
      </c>
      <c r="E601" s="50">
        <f t="shared" si="20"/>
        <v>8.1780821899999996</v>
      </c>
      <c r="F601" s="51">
        <f t="shared" si="20"/>
        <v>3.9378553900000002</v>
      </c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</row>
    <row r="602" spans="1:28" x14ac:dyDescent="0.15">
      <c r="A602" s="46" t="s">
        <v>1255</v>
      </c>
      <c r="B602" s="52" t="s">
        <v>7361</v>
      </c>
      <c r="C602" s="53" t="s">
        <v>1256</v>
      </c>
      <c r="D602" s="54" t="s">
        <v>8044</v>
      </c>
      <c r="E602" s="50">
        <f t="shared" si="20"/>
        <v>8.19178082</v>
      </c>
      <c r="F602" s="51">
        <f t="shared" si="20"/>
        <v>3.93769101</v>
      </c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</row>
    <row r="603" spans="1:28" x14ac:dyDescent="0.15">
      <c r="A603" s="46" t="s">
        <v>1257</v>
      </c>
      <c r="B603" s="52" t="s">
        <v>7361</v>
      </c>
      <c r="C603" s="53" t="s">
        <v>1258</v>
      </c>
      <c r="D603" s="54" t="s">
        <v>8045</v>
      </c>
      <c r="E603" s="50">
        <f t="shared" si="20"/>
        <v>8.2054794500000003</v>
      </c>
      <c r="F603" s="51">
        <f t="shared" si="20"/>
        <v>3.93752507</v>
      </c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</row>
    <row r="604" spans="1:28" x14ac:dyDescent="0.15">
      <c r="A604" s="46" t="s">
        <v>1259</v>
      </c>
      <c r="B604" s="52" t="s">
        <v>7361</v>
      </c>
      <c r="C604" s="53" t="s">
        <v>1260</v>
      </c>
      <c r="D604" s="54" t="s">
        <v>8046</v>
      </c>
      <c r="E604" s="50">
        <f t="shared" si="20"/>
        <v>8.2191780800000007</v>
      </c>
      <c r="F604" s="51">
        <f t="shared" si="20"/>
        <v>3.93735773</v>
      </c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</row>
    <row r="605" spans="1:28" x14ac:dyDescent="0.15">
      <c r="A605" s="46" t="s">
        <v>1261</v>
      </c>
      <c r="B605" s="52" t="s">
        <v>7361</v>
      </c>
      <c r="C605" s="53" t="s">
        <v>1262</v>
      </c>
      <c r="D605" s="54" t="s">
        <v>8047</v>
      </c>
      <c r="E605" s="50">
        <f t="shared" si="20"/>
        <v>8.2328767099999993</v>
      </c>
      <c r="F605" s="51">
        <f t="shared" si="20"/>
        <v>3.9371891400000001</v>
      </c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</row>
    <row r="606" spans="1:28" x14ac:dyDescent="0.15">
      <c r="A606" s="46" t="s">
        <v>1263</v>
      </c>
      <c r="B606" s="52" t="s">
        <v>7361</v>
      </c>
      <c r="C606" s="53" t="s">
        <v>1264</v>
      </c>
      <c r="D606" s="54" t="s">
        <v>8048</v>
      </c>
      <c r="E606" s="50">
        <f t="shared" si="20"/>
        <v>8.2465753399999997</v>
      </c>
      <c r="F606" s="51">
        <f t="shared" si="20"/>
        <v>3.9370194500000002</v>
      </c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</row>
    <row r="607" spans="1:28" x14ac:dyDescent="0.15">
      <c r="A607" s="46" t="s">
        <v>1265</v>
      </c>
      <c r="B607" s="52" t="s">
        <v>7361</v>
      </c>
      <c r="C607" s="53" t="s">
        <v>1266</v>
      </c>
      <c r="D607" s="54" t="s">
        <v>8049</v>
      </c>
      <c r="E607" s="50">
        <f t="shared" si="20"/>
        <v>8.2602739700000001</v>
      </c>
      <c r="F607" s="51">
        <f t="shared" si="20"/>
        <v>3.9368488099999999</v>
      </c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</row>
    <row r="608" spans="1:28" x14ac:dyDescent="0.15">
      <c r="A608" s="46" t="s">
        <v>1267</v>
      </c>
      <c r="B608" s="52" t="s">
        <v>7361</v>
      </c>
      <c r="C608" s="53" t="s">
        <v>1268</v>
      </c>
      <c r="D608" s="54" t="s">
        <v>8050</v>
      </c>
      <c r="E608" s="50">
        <f t="shared" si="20"/>
        <v>8.2739726000000005</v>
      </c>
      <c r="F608" s="51">
        <f t="shared" si="20"/>
        <v>3.93667737</v>
      </c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</row>
    <row r="609" spans="1:28" x14ac:dyDescent="0.15">
      <c r="A609" s="46" t="s">
        <v>1269</v>
      </c>
      <c r="B609" s="52" t="s">
        <v>7361</v>
      </c>
      <c r="C609" s="53" t="s">
        <v>1270</v>
      </c>
      <c r="D609" s="54" t="s">
        <v>8051</v>
      </c>
      <c r="E609" s="50">
        <f t="shared" si="20"/>
        <v>8.2876712300000008</v>
      </c>
      <c r="F609" s="51">
        <f t="shared" si="20"/>
        <v>3.93650528</v>
      </c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</row>
    <row r="610" spans="1:28" x14ac:dyDescent="0.15">
      <c r="A610" s="46" t="s">
        <v>1271</v>
      </c>
      <c r="B610" s="52" t="s">
        <v>7361</v>
      </c>
      <c r="C610" s="53" t="s">
        <v>1272</v>
      </c>
      <c r="D610" s="54" t="s">
        <v>8052</v>
      </c>
      <c r="E610" s="50">
        <f t="shared" si="20"/>
        <v>8.3013698599999994</v>
      </c>
      <c r="F610" s="51">
        <f t="shared" si="20"/>
        <v>3.93633269</v>
      </c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</row>
    <row r="611" spans="1:28" x14ac:dyDescent="0.15">
      <c r="A611" s="46" t="s">
        <v>1273</v>
      </c>
      <c r="B611" s="52" t="s">
        <v>7361</v>
      </c>
      <c r="C611" s="53" t="s">
        <v>1274</v>
      </c>
      <c r="D611" s="54" t="s">
        <v>8053</v>
      </c>
      <c r="E611" s="50">
        <f t="shared" si="20"/>
        <v>8.3150684899999998</v>
      </c>
      <c r="F611" s="51">
        <f t="shared" si="20"/>
        <v>3.9361597399999999</v>
      </c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</row>
    <row r="612" spans="1:28" x14ac:dyDescent="0.15">
      <c r="A612" s="46" t="s">
        <v>1275</v>
      </c>
      <c r="B612" s="52" t="s">
        <v>7361</v>
      </c>
      <c r="C612" s="53" t="s">
        <v>1276</v>
      </c>
      <c r="D612" s="54" t="s">
        <v>8054</v>
      </c>
      <c r="E612" s="50">
        <f t="shared" si="20"/>
        <v>8.3287671200000002</v>
      </c>
      <c r="F612" s="51">
        <f t="shared" si="20"/>
        <v>3.9359866000000001</v>
      </c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</row>
    <row r="613" spans="1:28" x14ac:dyDescent="0.15">
      <c r="A613" s="46" t="s">
        <v>1277</v>
      </c>
      <c r="B613" s="52" t="s">
        <v>7361</v>
      </c>
      <c r="C613" s="53" t="s">
        <v>1278</v>
      </c>
      <c r="D613" s="54" t="s">
        <v>8055</v>
      </c>
      <c r="E613" s="50">
        <f t="shared" si="20"/>
        <v>8.3424657500000006</v>
      </c>
      <c r="F613" s="51">
        <f t="shared" si="20"/>
        <v>3.9358134100000002</v>
      </c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</row>
    <row r="614" spans="1:28" x14ac:dyDescent="0.15">
      <c r="A614" s="46" t="s">
        <v>1279</v>
      </c>
      <c r="B614" s="52" t="s">
        <v>7361</v>
      </c>
      <c r="C614" s="53" t="s">
        <v>1280</v>
      </c>
      <c r="D614" s="54" t="s">
        <v>8056</v>
      </c>
      <c r="E614" s="50">
        <f t="shared" si="20"/>
        <v>8.3561643799999992</v>
      </c>
      <c r="F614" s="51">
        <f t="shared" si="20"/>
        <v>3.9356403100000001</v>
      </c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</row>
    <row r="615" spans="1:28" x14ac:dyDescent="0.15">
      <c r="A615" s="46" t="s">
        <v>1281</v>
      </c>
      <c r="B615" s="52" t="s">
        <v>7361</v>
      </c>
      <c r="C615" s="53" t="s">
        <v>1282</v>
      </c>
      <c r="D615" s="54" t="s">
        <v>8057</v>
      </c>
      <c r="E615" s="50">
        <f t="shared" si="20"/>
        <v>8.3698630099999995</v>
      </c>
      <c r="F615" s="51">
        <f t="shared" si="20"/>
        <v>3.9354674699999999</v>
      </c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</row>
    <row r="616" spans="1:28" x14ac:dyDescent="0.15">
      <c r="A616" s="46" t="s">
        <v>1283</v>
      </c>
      <c r="B616" s="52" t="s">
        <v>7361</v>
      </c>
      <c r="C616" s="53" t="s">
        <v>1284</v>
      </c>
      <c r="D616" s="54" t="s">
        <v>8058</v>
      </c>
      <c r="E616" s="50">
        <f t="shared" si="20"/>
        <v>8.3835616399999999</v>
      </c>
      <c r="F616" s="51">
        <f t="shared" si="20"/>
        <v>3.9352950299999998</v>
      </c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</row>
    <row r="617" spans="1:28" x14ac:dyDescent="0.15">
      <c r="A617" s="46" t="s">
        <v>1285</v>
      </c>
      <c r="B617" s="52" t="s">
        <v>7361</v>
      </c>
      <c r="C617" s="53" t="s">
        <v>1286</v>
      </c>
      <c r="D617" s="54" t="s">
        <v>8059</v>
      </c>
      <c r="E617" s="50">
        <f t="shared" si="20"/>
        <v>8.3972602700000003</v>
      </c>
      <c r="F617" s="51">
        <f t="shared" si="20"/>
        <v>3.93512314</v>
      </c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</row>
    <row r="618" spans="1:28" x14ac:dyDescent="0.15">
      <c r="A618" s="46" t="s">
        <v>1287</v>
      </c>
      <c r="B618" s="52" t="s">
        <v>7361</v>
      </c>
      <c r="C618" s="53" t="s">
        <v>1288</v>
      </c>
      <c r="D618" s="54" t="s">
        <v>8060</v>
      </c>
      <c r="E618" s="50">
        <f t="shared" si="20"/>
        <v>8.4109589000000007</v>
      </c>
      <c r="F618" s="51">
        <f t="shared" si="20"/>
        <v>3.9349519499999999</v>
      </c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</row>
    <row r="619" spans="1:28" x14ac:dyDescent="0.15">
      <c r="A619" s="46" t="s">
        <v>1289</v>
      </c>
      <c r="B619" s="52" t="s">
        <v>7361</v>
      </c>
      <c r="C619" s="53" t="s">
        <v>1290</v>
      </c>
      <c r="D619" s="54" t="s">
        <v>8061</v>
      </c>
      <c r="E619" s="50">
        <f t="shared" si="20"/>
        <v>8.4246575299999993</v>
      </c>
      <c r="F619" s="51">
        <f t="shared" si="20"/>
        <v>3.9347816099999999</v>
      </c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</row>
    <row r="620" spans="1:28" x14ac:dyDescent="0.15">
      <c r="A620" s="46" t="s">
        <v>1291</v>
      </c>
      <c r="B620" s="52" t="s">
        <v>7361</v>
      </c>
      <c r="C620" s="53" t="s">
        <v>1292</v>
      </c>
      <c r="D620" s="54" t="s">
        <v>8062</v>
      </c>
      <c r="E620" s="50">
        <f t="shared" si="20"/>
        <v>8.4383561599999997</v>
      </c>
      <c r="F620" s="51">
        <f t="shared" si="20"/>
        <v>3.9346122700000001</v>
      </c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</row>
    <row r="621" spans="1:28" x14ac:dyDescent="0.15">
      <c r="A621" s="46" t="s">
        <v>1293</v>
      </c>
      <c r="B621" s="52" t="s">
        <v>7361</v>
      </c>
      <c r="C621" s="53" t="s">
        <v>1294</v>
      </c>
      <c r="D621" s="54" t="s">
        <v>8063</v>
      </c>
      <c r="E621" s="50">
        <f t="shared" ref="E621:F650" si="21">VALUE(C621)</f>
        <v>8.45205479</v>
      </c>
      <c r="F621" s="51">
        <f t="shared" si="21"/>
        <v>3.93444408</v>
      </c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</row>
    <row r="622" spans="1:28" x14ac:dyDescent="0.15">
      <c r="A622" s="46" t="s">
        <v>1295</v>
      </c>
      <c r="B622" s="52" t="s">
        <v>7361</v>
      </c>
      <c r="C622" s="53" t="s">
        <v>1296</v>
      </c>
      <c r="D622" s="54" t="s">
        <v>8064</v>
      </c>
      <c r="E622" s="50">
        <f t="shared" si="21"/>
        <v>8.4657534200000004</v>
      </c>
      <c r="F622" s="51">
        <f t="shared" si="21"/>
        <v>3.93427719</v>
      </c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</row>
    <row r="623" spans="1:28" x14ac:dyDescent="0.15">
      <c r="A623" s="46" t="s">
        <v>1297</v>
      </c>
      <c r="B623" s="52" t="s">
        <v>7361</v>
      </c>
      <c r="C623" s="53" t="s">
        <v>1298</v>
      </c>
      <c r="D623" s="54" t="s">
        <v>8065</v>
      </c>
      <c r="E623" s="50">
        <f t="shared" si="21"/>
        <v>8.4794520500000008</v>
      </c>
      <c r="F623" s="51">
        <f t="shared" si="21"/>
        <v>3.93411175</v>
      </c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</row>
    <row r="624" spans="1:28" x14ac:dyDescent="0.15">
      <c r="A624" s="46" t="s">
        <v>1299</v>
      </c>
      <c r="B624" s="52" t="s">
        <v>7361</v>
      </c>
      <c r="C624" s="53" t="s">
        <v>1300</v>
      </c>
      <c r="D624" s="54" t="s">
        <v>8066</v>
      </c>
      <c r="E624" s="50">
        <f t="shared" si="21"/>
        <v>8.4931506799999994</v>
      </c>
      <c r="F624" s="51">
        <f t="shared" si="21"/>
        <v>3.93394792</v>
      </c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</row>
    <row r="625" spans="1:28" x14ac:dyDescent="0.15">
      <c r="A625" s="46" t="s">
        <v>1301</v>
      </c>
      <c r="B625" s="52" t="s">
        <v>7361</v>
      </c>
      <c r="C625" s="53" t="s">
        <v>1302</v>
      </c>
      <c r="D625" s="54" t="s">
        <v>8067</v>
      </c>
      <c r="E625" s="50">
        <f t="shared" si="21"/>
        <v>8.5068493200000006</v>
      </c>
      <c r="F625" s="51">
        <f t="shared" si="21"/>
        <v>3.9337856200000001</v>
      </c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</row>
    <row r="626" spans="1:28" x14ac:dyDescent="0.15">
      <c r="A626" s="46" t="s">
        <v>1303</v>
      </c>
      <c r="B626" s="52" t="s">
        <v>7361</v>
      </c>
      <c r="C626" s="53" t="s">
        <v>1304</v>
      </c>
      <c r="D626" s="54" t="s">
        <v>8068</v>
      </c>
      <c r="E626" s="50">
        <f t="shared" si="21"/>
        <v>8.5205479499999992</v>
      </c>
      <c r="F626" s="51">
        <f t="shared" si="21"/>
        <v>3.93362364</v>
      </c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</row>
    <row r="627" spans="1:28" x14ac:dyDescent="0.15">
      <c r="A627" s="46" t="s">
        <v>1305</v>
      </c>
      <c r="B627" s="52" t="s">
        <v>7361</v>
      </c>
      <c r="C627" s="53" t="s">
        <v>1306</v>
      </c>
      <c r="D627" s="54" t="s">
        <v>8069</v>
      </c>
      <c r="E627" s="50">
        <f t="shared" si="21"/>
        <v>8.5342465799999996</v>
      </c>
      <c r="F627" s="51">
        <f t="shared" si="21"/>
        <v>3.9334617700000001</v>
      </c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</row>
    <row r="628" spans="1:28" x14ac:dyDescent="0.15">
      <c r="A628" s="46" t="s">
        <v>1307</v>
      </c>
      <c r="B628" s="52" t="s">
        <v>7361</v>
      </c>
      <c r="C628" s="53" t="s">
        <v>1308</v>
      </c>
      <c r="D628" s="54" t="s">
        <v>8070</v>
      </c>
      <c r="E628" s="50">
        <f t="shared" si="21"/>
        <v>8.54794521</v>
      </c>
      <c r="F628" s="51">
        <f t="shared" si="21"/>
        <v>3.9333</v>
      </c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</row>
    <row r="629" spans="1:28" x14ac:dyDescent="0.15">
      <c r="A629" s="46" t="s">
        <v>1309</v>
      </c>
      <c r="B629" s="52" t="s">
        <v>7361</v>
      </c>
      <c r="C629" s="53" t="s">
        <v>1310</v>
      </c>
      <c r="D629" s="54" t="s">
        <v>8071</v>
      </c>
      <c r="E629" s="50">
        <f t="shared" si="21"/>
        <v>8.5616438400000003</v>
      </c>
      <c r="F629" s="51">
        <f t="shared" si="21"/>
        <v>3.9331383299999998</v>
      </c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</row>
    <row r="630" spans="1:28" x14ac:dyDescent="0.15">
      <c r="A630" s="46" t="s">
        <v>1311</v>
      </c>
      <c r="B630" s="52" t="s">
        <v>7361</v>
      </c>
      <c r="C630" s="53" t="s">
        <v>1312</v>
      </c>
      <c r="D630" s="54" t="s">
        <v>8072</v>
      </c>
      <c r="E630" s="50">
        <f t="shared" si="21"/>
        <v>8.5753424700000007</v>
      </c>
      <c r="F630" s="51">
        <f t="shared" si="21"/>
        <v>3.9329767499999999</v>
      </c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</row>
    <row r="631" spans="1:28" x14ac:dyDescent="0.15">
      <c r="A631" s="46" t="s">
        <v>1313</v>
      </c>
      <c r="B631" s="52" t="s">
        <v>7361</v>
      </c>
      <c r="C631" s="53" t="s">
        <v>1314</v>
      </c>
      <c r="D631" s="54" t="s">
        <v>8073</v>
      </c>
      <c r="E631" s="50">
        <f t="shared" si="21"/>
        <v>8.5890410999999993</v>
      </c>
      <c r="F631" s="51">
        <f t="shared" si="21"/>
        <v>3.9328152599999999</v>
      </c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</row>
    <row r="632" spans="1:28" x14ac:dyDescent="0.15">
      <c r="A632" s="46" t="s">
        <v>1315</v>
      </c>
      <c r="B632" s="52" t="s">
        <v>7361</v>
      </c>
      <c r="C632" s="53" t="s">
        <v>1316</v>
      </c>
      <c r="D632" s="54" t="s">
        <v>8074</v>
      </c>
      <c r="E632" s="50">
        <f t="shared" si="21"/>
        <v>8.6027397299999997</v>
      </c>
      <c r="F632" s="51">
        <f t="shared" si="21"/>
        <v>3.9326538599999998</v>
      </c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</row>
    <row r="633" spans="1:28" x14ac:dyDescent="0.15">
      <c r="A633" s="46" t="s">
        <v>1317</v>
      </c>
      <c r="B633" s="52" t="s">
        <v>7361</v>
      </c>
      <c r="C633" s="53" t="s">
        <v>1318</v>
      </c>
      <c r="D633" s="54" t="s">
        <v>8075</v>
      </c>
      <c r="E633" s="50">
        <f t="shared" si="21"/>
        <v>8.6164383600000001</v>
      </c>
      <c r="F633" s="51">
        <f t="shared" si="21"/>
        <v>3.9324925300000002</v>
      </c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</row>
    <row r="634" spans="1:28" x14ac:dyDescent="0.15">
      <c r="A634" s="46" t="s">
        <v>1319</v>
      </c>
      <c r="B634" s="52" t="s">
        <v>7361</v>
      </c>
      <c r="C634" s="53" t="s">
        <v>1320</v>
      </c>
      <c r="D634" s="54" t="s">
        <v>8076</v>
      </c>
      <c r="E634" s="50">
        <f t="shared" si="21"/>
        <v>8.6301369900000005</v>
      </c>
      <c r="F634" s="51">
        <f t="shared" si="21"/>
        <v>3.9323312800000001</v>
      </c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</row>
    <row r="635" spans="1:28" x14ac:dyDescent="0.15">
      <c r="A635" s="46" t="s">
        <v>1321</v>
      </c>
      <c r="B635" s="52" t="s">
        <v>7361</v>
      </c>
      <c r="C635" s="53" t="s">
        <v>1322</v>
      </c>
      <c r="D635" s="54" t="s">
        <v>8077</v>
      </c>
      <c r="E635" s="50">
        <f t="shared" si="21"/>
        <v>8.6438356200000008</v>
      </c>
      <c r="F635" s="51">
        <f t="shared" si="21"/>
        <v>3.9321700900000001</v>
      </c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</row>
    <row r="636" spans="1:28" x14ac:dyDescent="0.15">
      <c r="A636" s="46" t="s">
        <v>1323</v>
      </c>
      <c r="B636" s="52" t="s">
        <v>7361</v>
      </c>
      <c r="C636" s="53" t="s">
        <v>1324</v>
      </c>
      <c r="D636" s="54" t="s">
        <v>8078</v>
      </c>
      <c r="E636" s="50">
        <f t="shared" si="21"/>
        <v>8.6575342499999994</v>
      </c>
      <c r="F636" s="51">
        <f t="shared" si="21"/>
        <v>3.93200897</v>
      </c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</row>
    <row r="637" spans="1:28" x14ac:dyDescent="0.15">
      <c r="A637" s="46" t="s">
        <v>1325</v>
      </c>
      <c r="B637" s="52" t="s">
        <v>7361</v>
      </c>
      <c r="C637" s="53" t="s">
        <v>1326</v>
      </c>
      <c r="D637" s="54" t="s">
        <v>8079</v>
      </c>
      <c r="E637" s="50">
        <f t="shared" si="21"/>
        <v>8.6712328799999998</v>
      </c>
      <c r="F637" s="51">
        <f t="shared" si="21"/>
        <v>3.9318479200000001</v>
      </c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</row>
    <row r="638" spans="1:28" x14ac:dyDescent="0.15">
      <c r="A638" s="46" t="s">
        <v>1327</v>
      </c>
      <c r="B638" s="52" t="s">
        <v>7361</v>
      </c>
      <c r="C638" s="53" t="s">
        <v>1328</v>
      </c>
      <c r="D638" s="54" t="s">
        <v>8080</v>
      </c>
      <c r="E638" s="50">
        <f t="shared" si="21"/>
        <v>8.6849315100000002</v>
      </c>
      <c r="F638" s="51">
        <f t="shared" si="21"/>
        <v>3.9316869099999998</v>
      </c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</row>
    <row r="639" spans="1:28" x14ac:dyDescent="0.15">
      <c r="A639" s="46" t="s">
        <v>1329</v>
      </c>
      <c r="B639" s="52" t="s">
        <v>7361</v>
      </c>
      <c r="C639" s="53" t="s">
        <v>1330</v>
      </c>
      <c r="D639" s="54" t="s">
        <v>8081</v>
      </c>
      <c r="E639" s="50">
        <f t="shared" si="21"/>
        <v>8.6986301400000006</v>
      </c>
      <c r="F639" s="51">
        <f t="shared" si="21"/>
        <v>3.9315259600000001</v>
      </c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</row>
    <row r="640" spans="1:28" x14ac:dyDescent="0.15">
      <c r="A640" s="46" t="s">
        <v>1331</v>
      </c>
      <c r="B640" s="52" t="s">
        <v>7361</v>
      </c>
      <c r="C640" s="53" t="s">
        <v>1332</v>
      </c>
      <c r="D640" s="54" t="s">
        <v>8082</v>
      </c>
      <c r="E640" s="50">
        <f t="shared" si="21"/>
        <v>8.7123287699999992</v>
      </c>
      <c r="F640" s="51">
        <f t="shared" si="21"/>
        <v>3.9313650500000001</v>
      </c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</row>
    <row r="641" spans="1:28" x14ac:dyDescent="0.15">
      <c r="A641" s="46" t="s">
        <v>1333</v>
      </c>
      <c r="B641" s="52" t="s">
        <v>7361</v>
      </c>
      <c r="C641" s="53" t="s">
        <v>1334</v>
      </c>
      <c r="D641" s="54" t="s">
        <v>8083</v>
      </c>
      <c r="E641" s="50">
        <f t="shared" si="21"/>
        <v>8.7260273999999995</v>
      </c>
      <c r="F641" s="51">
        <f t="shared" si="21"/>
        <v>3.9312041899999999</v>
      </c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</row>
    <row r="642" spans="1:28" x14ac:dyDescent="0.15">
      <c r="A642" s="46" t="s">
        <v>1335</v>
      </c>
      <c r="B642" s="52" t="s">
        <v>7361</v>
      </c>
      <c r="C642" s="53" t="s">
        <v>1336</v>
      </c>
      <c r="D642" s="54" t="s">
        <v>8084</v>
      </c>
      <c r="E642" s="50">
        <f t="shared" si="21"/>
        <v>8.7397260299999999</v>
      </c>
      <c r="F642" s="51">
        <f t="shared" si="21"/>
        <v>3.9310433599999999</v>
      </c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</row>
    <row r="643" spans="1:28" x14ac:dyDescent="0.15">
      <c r="A643" s="46" t="s">
        <v>1337</v>
      </c>
      <c r="B643" s="52" t="s">
        <v>7361</v>
      </c>
      <c r="C643" s="53" t="s">
        <v>1338</v>
      </c>
      <c r="D643" s="54" t="s">
        <v>8085</v>
      </c>
      <c r="E643" s="50">
        <f t="shared" si="21"/>
        <v>8.7534246600000003</v>
      </c>
      <c r="F643" s="51">
        <f t="shared" si="21"/>
        <v>3.9308825700000001</v>
      </c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</row>
    <row r="644" spans="1:28" x14ac:dyDescent="0.15">
      <c r="A644" s="46" t="s">
        <v>1339</v>
      </c>
      <c r="B644" s="52" t="s">
        <v>7361</v>
      </c>
      <c r="C644" s="53" t="s">
        <v>1340</v>
      </c>
      <c r="D644" s="54" t="s">
        <v>8086</v>
      </c>
      <c r="E644" s="50">
        <f t="shared" si="21"/>
        <v>8.7671232900000007</v>
      </c>
      <c r="F644" s="51">
        <f t="shared" si="21"/>
        <v>3.9307218000000002</v>
      </c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</row>
    <row r="645" spans="1:28" x14ac:dyDescent="0.15">
      <c r="A645" s="46" t="s">
        <v>1341</v>
      </c>
      <c r="B645" s="52" t="s">
        <v>7361</v>
      </c>
      <c r="C645" s="53" t="s">
        <v>1342</v>
      </c>
      <c r="D645" s="54" t="s">
        <v>8087</v>
      </c>
      <c r="E645" s="50">
        <f t="shared" si="21"/>
        <v>8.7808219199999993</v>
      </c>
      <c r="F645" s="51">
        <f t="shared" si="21"/>
        <v>3.9305610500000001</v>
      </c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</row>
    <row r="646" spans="1:28" x14ac:dyDescent="0.15">
      <c r="A646" s="46" t="s">
        <v>1343</v>
      </c>
      <c r="B646" s="52" t="s">
        <v>7361</v>
      </c>
      <c r="C646" s="53" t="s">
        <v>1344</v>
      </c>
      <c r="D646" s="54" t="s">
        <v>8088</v>
      </c>
      <c r="E646" s="50">
        <f t="shared" si="21"/>
        <v>8.7945205499999997</v>
      </c>
      <c r="F646" s="51">
        <f t="shared" si="21"/>
        <v>3.9304003199999999</v>
      </c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</row>
    <row r="647" spans="1:28" x14ac:dyDescent="0.15">
      <c r="A647" s="46" t="s">
        <v>1345</v>
      </c>
      <c r="B647" s="52" t="s">
        <v>7361</v>
      </c>
      <c r="C647" s="53" t="s">
        <v>1346</v>
      </c>
      <c r="D647" s="54" t="s">
        <v>8089</v>
      </c>
      <c r="E647" s="50">
        <f t="shared" si="21"/>
        <v>8.80821918</v>
      </c>
      <c r="F647" s="51">
        <f t="shared" si="21"/>
        <v>3.9302396100000001</v>
      </c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</row>
    <row r="648" spans="1:28" x14ac:dyDescent="0.15">
      <c r="A648" s="46" t="s">
        <v>1347</v>
      </c>
      <c r="B648" s="52" t="s">
        <v>7361</v>
      </c>
      <c r="C648" s="53" t="s">
        <v>1348</v>
      </c>
      <c r="D648" s="54" t="s">
        <v>8090</v>
      </c>
      <c r="E648" s="50">
        <f t="shared" si="21"/>
        <v>8.8219178100000004</v>
      </c>
      <c r="F648" s="51">
        <f t="shared" si="21"/>
        <v>3.9300788999999998</v>
      </c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</row>
    <row r="649" spans="1:28" x14ac:dyDescent="0.15">
      <c r="A649" s="46" t="s">
        <v>1349</v>
      </c>
      <c r="B649" s="52" t="s">
        <v>7361</v>
      </c>
      <c r="C649" s="53" t="s">
        <v>1350</v>
      </c>
      <c r="D649" s="54" t="s">
        <v>8091</v>
      </c>
      <c r="E649" s="50">
        <f t="shared" si="21"/>
        <v>8.8356164400000008</v>
      </c>
      <c r="F649" s="51">
        <f t="shared" si="21"/>
        <v>3.9299181999999999</v>
      </c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</row>
    <row r="650" spans="1:28" x14ac:dyDescent="0.15">
      <c r="A650" s="46" t="s">
        <v>1351</v>
      </c>
      <c r="B650" s="52" t="s">
        <v>7361</v>
      </c>
      <c r="C650" s="53" t="s">
        <v>1352</v>
      </c>
      <c r="D650" s="54" t="s">
        <v>8092</v>
      </c>
      <c r="E650" s="50">
        <f t="shared" si="21"/>
        <v>8.8493150699999994</v>
      </c>
      <c r="F650" s="51">
        <f t="shared" si="21"/>
        <v>3.9297575</v>
      </c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</row>
    <row r="651" spans="1:28" x14ac:dyDescent="0.15">
      <c r="A651" s="46" t="s">
        <v>1353</v>
      </c>
      <c r="B651" s="52" t="s">
        <v>7361</v>
      </c>
      <c r="C651" s="53" t="s">
        <v>1354</v>
      </c>
      <c r="D651" s="54" t="s">
        <v>8093</v>
      </c>
      <c r="E651" s="50">
        <f t="shared" ref="E651:F681" si="22">VALUE(C651)</f>
        <v>8.8630136999999998</v>
      </c>
      <c r="F651" s="51">
        <f t="shared" si="22"/>
        <v>3.9295967900000002</v>
      </c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</row>
    <row r="652" spans="1:28" x14ac:dyDescent="0.15">
      <c r="A652" s="46" t="s">
        <v>1355</v>
      </c>
      <c r="B652" s="52" t="s">
        <v>7361</v>
      </c>
      <c r="C652" s="53" t="s">
        <v>1356</v>
      </c>
      <c r="D652" s="54" t="s">
        <v>8094</v>
      </c>
      <c r="E652" s="50">
        <f t="shared" si="22"/>
        <v>8.8767123300000002</v>
      </c>
      <c r="F652" s="51">
        <f t="shared" si="22"/>
        <v>3.9294360699999999</v>
      </c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</row>
    <row r="653" spans="1:28" x14ac:dyDescent="0.15">
      <c r="A653" s="46" t="s">
        <v>1357</v>
      </c>
      <c r="B653" s="52" t="s">
        <v>7361</v>
      </c>
      <c r="C653" s="53" t="s">
        <v>1358</v>
      </c>
      <c r="D653" s="54" t="s">
        <v>8095</v>
      </c>
      <c r="E653" s="50">
        <f t="shared" si="22"/>
        <v>8.8904109600000005</v>
      </c>
      <c r="F653" s="51">
        <f t="shared" si="22"/>
        <v>3.9292753399999998</v>
      </c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</row>
    <row r="654" spans="1:28" x14ac:dyDescent="0.15">
      <c r="A654" s="46" t="s">
        <v>1359</v>
      </c>
      <c r="B654" s="52" t="s">
        <v>7361</v>
      </c>
      <c r="C654" s="53" t="s">
        <v>1360</v>
      </c>
      <c r="D654" s="54" t="s">
        <v>8096</v>
      </c>
      <c r="E654" s="50">
        <f t="shared" si="22"/>
        <v>8.9041095899999991</v>
      </c>
      <c r="F654" s="51">
        <f t="shared" si="22"/>
        <v>3.9291145799999998</v>
      </c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</row>
    <row r="655" spans="1:28" x14ac:dyDescent="0.15">
      <c r="A655" s="46" t="s">
        <v>1361</v>
      </c>
      <c r="B655" s="52" t="s">
        <v>7361</v>
      </c>
      <c r="C655" s="53" t="s">
        <v>1362</v>
      </c>
      <c r="D655" s="54" t="s">
        <v>8097</v>
      </c>
      <c r="E655" s="50">
        <f t="shared" si="22"/>
        <v>8.9178082199999995</v>
      </c>
      <c r="F655" s="51">
        <f t="shared" si="22"/>
        <v>3.9289538099999999</v>
      </c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</row>
    <row r="656" spans="1:28" x14ac:dyDescent="0.15">
      <c r="A656" s="46" t="s">
        <v>1363</v>
      </c>
      <c r="B656" s="52" t="s">
        <v>7361</v>
      </c>
      <c r="C656" s="53" t="s">
        <v>1364</v>
      </c>
      <c r="D656" s="54" t="s">
        <v>8098</v>
      </c>
      <c r="E656" s="50">
        <f t="shared" si="22"/>
        <v>8.9315068499999999</v>
      </c>
      <c r="F656" s="51">
        <f t="shared" si="22"/>
        <v>3.9287930000000002</v>
      </c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</row>
    <row r="657" spans="1:28" x14ac:dyDescent="0.15">
      <c r="A657" s="46" t="s">
        <v>1365</v>
      </c>
      <c r="B657" s="52" t="s">
        <v>7361</v>
      </c>
      <c r="C657" s="53" t="s">
        <v>1366</v>
      </c>
      <c r="D657" s="54" t="s">
        <v>8099</v>
      </c>
      <c r="E657" s="50">
        <f t="shared" si="22"/>
        <v>8.9452054800000003</v>
      </c>
      <c r="F657" s="51">
        <f t="shared" si="22"/>
        <v>3.9286321599999998</v>
      </c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</row>
    <row r="658" spans="1:28" x14ac:dyDescent="0.15">
      <c r="A658" s="46" t="s">
        <v>1367</v>
      </c>
      <c r="B658" s="52" t="s">
        <v>7361</v>
      </c>
      <c r="C658" s="53" t="s">
        <v>1368</v>
      </c>
      <c r="D658" s="54" t="s">
        <v>8100</v>
      </c>
      <c r="E658" s="50">
        <f t="shared" si="22"/>
        <v>8.9589041100000006</v>
      </c>
      <c r="F658" s="51">
        <f t="shared" si="22"/>
        <v>3.9284712800000001</v>
      </c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</row>
    <row r="659" spans="1:28" x14ac:dyDescent="0.15">
      <c r="A659" s="46" t="s">
        <v>1369</v>
      </c>
      <c r="B659" s="52" t="s">
        <v>7361</v>
      </c>
      <c r="C659" s="53" t="s">
        <v>1370</v>
      </c>
      <c r="D659" s="54" t="s">
        <v>8101</v>
      </c>
      <c r="E659" s="50">
        <f t="shared" si="22"/>
        <v>8.9726027399999992</v>
      </c>
      <c r="F659" s="51">
        <f t="shared" si="22"/>
        <v>3.9283103599999998</v>
      </c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</row>
    <row r="660" spans="1:28" x14ac:dyDescent="0.15">
      <c r="A660" s="46" t="s">
        <v>1371</v>
      </c>
      <c r="B660" s="52" t="s">
        <v>7361</v>
      </c>
      <c r="C660" s="53" t="s">
        <v>1372</v>
      </c>
      <c r="D660" s="54" t="s">
        <v>8102</v>
      </c>
      <c r="E660" s="50">
        <f t="shared" si="22"/>
        <v>8.9863013699999996</v>
      </c>
      <c r="F660" s="51">
        <f t="shared" si="22"/>
        <v>3.9281493900000002</v>
      </c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</row>
    <row r="661" spans="1:28" x14ac:dyDescent="0.15">
      <c r="A661" s="46" t="s">
        <v>1373</v>
      </c>
      <c r="B661" s="52" t="s">
        <v>7361</v>
      </c>
      <c r="C661" s="53" t="s">
        <v>1374</v>
      </c>
      <c r="D661" s="54" t="s">
        <v>8103</v>
      </c>
      <c r="E661" s="50">
        <f t="shared" si="22"/>
        <v>9</v>
      </c>
      <c r="F661" s="51">
        <f t="shared" si="22"/>
        <v>3.92798837</v>
      </c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</row>
    <row r="662" spans="1:28" x14ac:dyDescent="0.15">
      <c r="A662" s="46" t="s">
        <v>1375</v>
      </c>
      <c r="B662" s="52" t="s">
        <v>7361</v>
      </c>
      <c r="C662" s="53" t="s">
        <v>1376</v>
      </c>
      <c r="D662" s="54" t="s">
        <v>8104</v>
      </c>
      <c r="E662" s="50">
        <f t="shared" si="22"/>
        <v>9.0136986300000004</v>
      </c>
      <c r="F662" s="51">
        <f t="shared" si="22"/>
        <v>3.9278292800000001</v>
      </c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</row>
    <row r="663" spans="1:28" x14ac:dyDescent="0.15">
      <c r="A663" s="46" t="s">
        <v>1377</v>
      </c>
      <c r="B663" s="52" t="s">
        <v>7361</v>
      </c>
      <c r="C663" s="53" t="s">
        <v>1378</v>
      </c>
      <c r="D663" s="54" t="s">
        <v>8105</v>
      </c>
      <c r="E663" s="50">
        <f t="shared" si="22"/>
        <v>9.0273972600000008</v>
      </c>
      <c r="F663" s="51">
        <f t="shared" si="22"/>
        <v>3.9276739799999998</v>
      </c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</row>
    <row r="664" spans="1:28" x14ac:dyDescent="0.15">
      <c r="A664" s="46" t="s">
        <v>1379</v>
      </c>
      <c r="B664" s="52" t="s">
        <v>7361</v>
      </c>
      <c r="C664" s="53" t="s">
        <v>1380</v>
      </c>
      <c r="D664" s="54" t="s">
        <v>8106</v>
      </c>
      <c r="E664" s="50">
        <f t="shared" si="22"/>
        <v>9.0410958899999994</v>
      </c>
      <c r="F664" s="51">
        <f t="shared" si="22"/>
        <v>3.92752233</v>
      </c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</row>
    <row r="665" spans="1:28" x14ac:dyDescent="0.15">
      <c r="A665" s="46" t="s">
        <v>1381</v>
      </c>
      <c r="B665" s="52" t="s">
        <v>7361</v>
      </c>
      <c r="C665" s="53" t="s">
        <v>1382</v>
      </c>
      <c r="D665" s="54" t="s">
        <v>8107</v>
      </c>
      <c r="E665" s="50">
        <f t="shared" si="22"/>
        <v>9.0547945199999997</v>
      </c>
      <c r="F665" s="51">
        <f t="shared" si="22"/>
        <v>3.9273741499999999</v>
      </c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</row>
    <row r="666" spans="1:28" x14ac:dyDescent="0.15">
      <c r="A666" s="46" t="s">
        <v>1383</v>
      </c>
      <c r="B666" s="52" t="s">
        <v>7361</v>
      </c>
      <c r="C666" s="53" t="s">
        <v>1384</v>
      </c>
      <c r="D666" s="54" t="s">
        <v>8108</v>
      </c>
      <c r="E666" s="50">
        <f t="shared" si="22"/>
        <v>9.0684931500000001</v>
      </c>
      <c r="F666" s="51">
        <f t="shared" si="22"/>
        <v>3.9272292900000001</v>
      </c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</row>
    <row r="667" spans="1:28" x14ac:dyDescent="0.15">
      <c r="A667" s="46" t="s">
        <v>1385</v>
      </c>
      <c r="B667" s="52" t="s">
        <v>7361</v>
      </c>
      <c r="C667" s="53" t="s">
        <v>1386</v>
      </c>
      <c r="D667" s="54" t="s">
        <v>8109</v>
      </c>
      <c r="E667" s="50">
        <f t="shared" si="22"/>
        <v>9.0821917800000005</v>
      </c>
      <c r="F667" s="51">
        <f t="shared" si="22"/>
        <v>3.9270875699999999</v>
      </c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</row>
    <row r="668" spans="1:28" x14ac:dyDescent="0.15">
      <c r="A668" s="46" t="s">
        <v>1387</v>
      </c>
      <c r="B668" s="52" t="s">
        <v>7361</v>
      </c>
      <c r="C668" s="53" t="s">
        <v>1388</v>
      </c>
      <c r="D668" s="54" t="s">
        <v>8110</v>
      </c>
      <c r="E668" s="50">
        <f t="shared" si="22"/>
        <v>9.0958904100000009</v>
      </c>
      <c r="F668" s="51">
        <f t="shared" si="22"/>
        <v>3.9269488400000001</v>
      </c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</row>
    <row r="669" spans="1:28" x14ac:dyDescent="0.15">
      <c r="A669" s="46" t="s">
        <v>1389</v>
      </c>
      <c r="B669" s="52" t="s">
        <v>7361</v>
      </c>
      <c r="C669" s="53" t="s">
        <v>1390</v>
      </c>
      <c r="D669" s="54" t="s">
        <v>8111</v>
      </c>
      <c r="E669" s="50">
        <f t="shared" si="22"/>
        <v>9.1095890399999995</v>
      </c>
      <c r="F669" s="51">
        <f t="shared" si="22"/>
        <v>3.92681294</v>
      </c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</row>
    <row r="670" spans="1:28" x14ac:dyDescent="0.15">
      <c r="A670" s="46" t="s">
        <v>1391</v>
      </c>
      <c r="B670" s="52" t="s">
        <v>7361</v>
      </c>
      <c r="C670" s="53" t="s">
        <v>1392</v>
      </c>
      <c r="D670" s="54" t="s">
        <v>8112</v>
      </c>
      <c r="E670" s="50">
        <f t="shared" si="22"/>
        <v>9.1232876699999998</v>
      </c>
      <c r="F670" s="51">
        <f t="shared" si="22"/>
        <v>3.9266796899999998</v>
      </c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</row>
    <row r="671" spans="1:28" x14ac:dyDescent="0.15">
      <c r="A671" s="46" t="s">
        <v>1393</v>
      </c>
      <c r="B671" s="52" t="s">
        <v>7361</v>
      </c>
      <c r="C671" s="53" t="s">
        <v>1394</v>
      </c>
      <c r="D671" s="54" t="s">
        <v>8113</v>
      </c>
      <c r="E671" s="50">
        <f t="shared" si="22"/>
        <v>9.1369863000000002</v>
      </c>
      <c r="F671" s="51">
        <f t="shared" si="22"/>
        <v>3.9265489499999999</v>
      </c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</row>
    <row r="672" spans="1:28" x14ac:dyDescent="0.15">
      <c r="A672" s="46" t="s">
        <v>1395</v>
      </c>
      <c r="B672" s="52" t="s">
        <v>7361</v>
      </c>
      <c r="C672" s="53" t="s">
        <v>1396</v>
      </c>
      <c r="D672" s="54" t="s">
        <v>8114</v>
      </c>
      <c r="E672" s="50">
        <f t="shared" si="22"/>
        <v>9.1506849300000006</v>
      </c>
      <c r="F672" s="51">
        <f t="shared" si="22"/>
        <v>3.9264205400000001</v>
      </c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</row>
    <row r="673" spans="1:28" x14ac:dyDescent="0.15">
      <c r="A673" s="46" t="s">
        <v>1397</v>
      </c>
      <c r="B673" s="52" t="s">
        <v>7361</v>
      </c>
      <c r="C673" s="53" t="s">
        <v>1398</v>
      </c>
      <c r="D673" s="54" t="s">
        <v>8115</v>
      </c>
      <c r="E673" s="50">
        <f t="shared" si="22"/>
        <v>9.1643835599999992</v>
      </c>
      <c r="F673" s="51">
        <f t="shared" si="22"/>
        <v>3.9262942999999999</v>
      </c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</row>
    <row r="674" spans="1:28" x14ac:dyDescent="0.15">
      <c r="A674" s="46" t="s">
        <v>1399</v>
      </c>
      <c r="B674" s="52" t="s">
        <v>7361</v>
      </c>
      <c r="C674" s="53" t="s">
        <v>1400</v>
      </c>
      <c r="D674" s="54" t="s">
        <v>8116</v>
      </c>
      <c r="E674" s="50">
        <f t="shared" si="22"/>
        <v>9.1780821899999996</v>
      </c>
      <c r="F674" s="51">
        <f t="shared" si="22"/>
        <v>3.92617007</v>
      </c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</row>
    <row r="675" spans="1:28" x14ac:dyDescent="0.15">
      <c r="A675" s="46" t="s">
        <v>1401</v>
      </c>
      <c r="B675" s="52" t="s">
        <v>7361</v>
      </c>
      <c r="C675" s="53" t="s">
        <v>1402</v>
      </c>
      <c r="D675" s="54" t="s">
        <v>8117</v>
      </c>
      <c r="E675" s="50">
        <f t="shared" si="22"/>
        <v>9.19178082</v>
      </c>
      <c r="F675" s="51">
        <f t="shared" si="22"/>
        <v>3.9260476899999999</v>
      </c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</row>
    <row r="676" spans="1:28" x14ac:dyDescent="0.15">
      <c r="A676" s="46" t="s">
        <v>1403</v>
      </c>
      <c r="B676" s="52" t="s">
        <v>7361</v>
      </c>
      <c r="C676" s="53" t="s">
        <v>1404</v>
      </c>
      <c r="D676" s="54" t="s">
        <v>8118</v>
      </c>
      <c r="E676" s="50">
        <f t="shared" si="22"/>
        <v>9.2054794500000003</v>
      </c>
      <c r="F676" s="51">
        <f t="shared" si="22"/>
        <v>3.9259269899999998</v>
      </c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</row>
    <row r="677" spans="1:28" x14ac:dyDescent="0.15">
      <c r="A677" s="46" t="s">
        <v>1405</v>
      </c>
      <c r="B677" s="52" t="s">
        <v>7361</v>
      </c>
      <c r="C677" s="53" t="s">
        <v>1406</v>
      </c>
      <c r="D677" s="54" t="s">
        <v>8119</v>
      </c>
      <c r="E677" s="50">
        <f t="shared" si="22"/>
        <v>9.2191780800000007</v>
      </c>
      <c r="F677" s="51">
        <f t="shared" si="22"/>
        <v>3.9258078099999998</v>
      </c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</row>
    <row r="678" spans="1:28" x14ac:dyDescent="0.15">
      <c r="A678" s="46" t="s">
        <v>1407</v>
      </c>
      <c r="B678" s="52" t="s">
        <v>7361</v>
      </c>
      <c r="C678" s="53" t="s">
        <v>1408</v>
      </c>
      <c r="D678" s="54" t="s">
        <v>8120</v>
      </c>
      <c r="E678" s="50">
        <f t="shared" si="22"/>
        <v>9.2328767099999993</v>
      </c>
      <c r="F678" s="51">
        <f t="shared" si="22"/>
        <v>3.92568999</v>
      </c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</row>
    <row r="679" spans="1:28" x14ac:dyDescent="0.15">
      <c r="A679" s="46" t="s">
        <v>1409</v>
      </c>
      <c r="B679" s="52" t="s">
        <v>7361</v>
      </c>
      <c r="C679" s="53" t="s">
        <v>1410</v>
      </c>
      <c r="D679" s="54" t="s">
        <v>8121</v>
      </c>
      <c r="E679" s="50">
        <f t="shared" si="22"/>
        <v>9.2465753399999997</v>
      </c>
      <c r="F679" s="51">
        <f t="shared" si="22"/>
        <v>3.92557336</v>
      </c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</row>
    <row r="680" spans="1:28" x14ac:dyDescent="0.15">
      <c r="A680" s="46" t="s">
        <v>1411</v>
      </c>
      <c r="B680" s="52" t="s">
        <v>7361</v>
      </c>
      <c r="C680" s="53" t="s">
        <v>1412</v>
      </c>
      <c r="D680" s="54" t="s">
        <v>8122</v>
      </c>
      <c r="E680" s="50">
        <f t="shared" si="22"/>
        <v>9.2602739700000001</v>
      </c>
      <c r="F680" s="51">
        <f t="shared" si="22"/>
        <v>3.92545777</v>
      </c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</row>
    <row r="681" spans="1:28" x14ac:dyDescent="0.15">
      <c r="A681" s="46" t="s">
        <v>1413</v>
      </c>
      <c r="B681" s="52" t="s">
        <v>7361</v>
      </c>
      <c r="C681" s="53" t="s">
        <v>1414</v>
      </c>
      <c r="D681" s="54" t="s">
        <v>8123</v>
      </c>
      <c r="E681" s="50">
        <f t="shared" si="22"/>
        <v>9.2739726000000005</v>
      </c>
      <c r="F681" s="51">
        <f t="shared" si="22"/>
        <v>3.92534304</v>
      </c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</row>
    <row r="682" spans="1:28" x14ac:dyDescent="0.15">
      <c r="A682" s="46" t="s">
        <v>1415</v>
      </c>
      <c r="B682" s="52" t="s">
        <v>7361</v>
      </c>
      <c r="C682" s="53" t="s">
        <v>1416</v>
      </c>
      <c r="D682" s="54" t="s">
        <v>8124</v>
      </c>
      <c r="E682" s="50">
        <f t="shared" ref="E682:F711" si="23">VALUE(C682)</f>
        <v>9.2876712300000008</v>
      </c>
      <c r="F682" s="51">
        <f t="shared" si="23"/>
        <v>3.9252290200000002</v>
      </c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</row>
    <row r="683" spans="1:28" x14ac:dyDescent="0.15">
      <c r="A683" s="46" t="s">
        <v>1417</v>
      </c>
      <c r="B683" s="52" t="s">
        <v>7361</v>
      </c>
      <c r="C683" s="53" t="s">
        <v>1418</v>
      </c>
      <c r="D683" s="54" t="s">
        <v>8125</v>
      </c>
      <c r="E683" s="50">
        <f t="shared" si="23"/>
        <v>9.3013698599999994</v>
      </c>
      <c r="F683" s="51">
        <f t="shared" si="23"/>
        <v>3.9251155400000002</v>
      </c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</row>
    <row r="684" spans="1:28" x14ac:dyDescent="0.15">
      <c r="A684" s="46" t="s">
        <v>1419</v>
      </c>
      <c r="B684" s="52" t="s">
        <v>7361</v>
      </c>
      <c r="C684" s="53" t="s">
        <v>1420</v>
      </c>
      <c r="D684" s="54" t="s">
        <v>8126</v>
      </c>
      <c r="E684" s="50">
        <f t="shared" si="23"/>
        <v>9.3150684899999998</v>
      </c>
      <c r="F684" s="51">
        <f t="shared" si="23"/>
        <v>3.92500245</v>
      </c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</row>
    <row r="685" spans="1:28" x14ac:dyDescent="0.15">
      <c r="A685" s="46" t="s">
        <v>1421</v>
      </c>
      <c r="B685" s="52" t="s">
        <v>7361</v>
      </c>
      <c r="C685" s="53" t="s">
        <v>1422</v>
      </c>
      <c r="D685" s="54" t="s">
        <v>8127</v>
      </c>
      <c r="E685" s="50">
        <f t="shared" si="23"/>
        <v>9.3287671200000002</v>
      </c>
      <c r="F685" s="51">
        <f t="shared" si="23"/>
        <v>3.9248895699999999</v>
      </c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</row>
    <row r="686" spans="1:28" x14ac:dyDescent="0.15">
      <c r="A686" s="46" t="s">
        <v>1423</v>
      </c>
      <c r="B686" s="52" t="s">
        <v>7361</v>
      </c>
      <c r="C686" s="53" t="s">
        <v>1424</v>
      </c>
      <c r="D686" s="54" t="s">
        <v>8128</v>
      </c>
      <c r="E686" s="50">
        <f t="shared" si="23"/>
        <v>9.3424657500000006</v>
      </c>
      <c r="F686" s="51">
        <f t="shared" si="23"/>
        <v>3.92477674</v>
      </c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</row>
    <row r="687" spans="1:28" x14ac:dyDescent="0.15">
      <c r="A687" s="46" t="s">
        <v>1425</v>
      </c>
      <c r="B687" s="52" t="s">
        <v>7361</v>
      </c>
      <c r="C687" s="53" t="s">
        <v>1426</v>
      </c>
      <c r="D687" s="54" t="s">
        <v>8129</v>
      </c>
      <c r="E687" s="50">
        <f t="shared" si="23"/>
        <v>9.3561643799999992</v>
      </c>
      <c r="F687" s="51">
        <f t="shared" si="23"/>
        <v>3.9246638100000002</v>
      </c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</row>
    <row r="688" spans="1:28" x14ac:dyDescent="0.15">
      <c r="A688" s="46" t="s">
        <v>1427</v>
      </c>
      <c r="B688" s="52" t="s">
        <v>7361</v>
      </c>
      <c r="C688" s="53" t="s">
        <v>1428</v>
      </c>
      <c r="D688" s="54" t="s">
        <v>8130</v>
      </c>
      <c r="E688" s="50">
        <f t="shared" si="23"/>
        <v>9.3698630099999995</v>
      </c>
      <c r="F688" s="51">
        <f t="shared" si="23"/>
        <v>3.9245506099999998</v>
      </c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</row>
    <row r="689" spans="1:28" x14ac:dyDescent="0.15">
      <c r="A689" s="46" t="s">
        <v>1429</v>
      </c>
      <c r="B689" s="52" t="s">
        <v>7361</v>
      </c>
      <c r="C689" s="53" t="s">
        <v>1430</v>
      </c>
      <c r="D689" s="54" t="s">
        <v>8131</v>
      </c>
      <c r="E689" s="50">
        <f t="shared" si="23"/>
        <v>9.3835616399999999</v>
      </c>
      <c r="F689" s="51">
        <f t="shared" si="23"/>
        <v>3.9244369699999999</v>
      </c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</row>
    <row r="690" spans="1:28" x14ac:dyDescent="0.15">
      <c r="A690" s="46" t="s">
        <v>1431</v>
      </c>
      <c r="B690" s="52" t="s">
        <v>7361</v>
      </c>
      <c r="C690" s="53" t="s">
        <v>1432</v>
      </c>
      <c r="D690" s="54" t="s">
        <v>8132</v>
      </c>
      <c r="E690" s="50">
        <f t="shared" si="23"/>
        <v>9.3972602700000003</v>
      </c>
      <c r="F690" s="51">
        <f t="shared" si="23"/>
        <v>3.9243227300000001</v>
      </c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</row>
    <row r="691" spans="1:28" x14ac:dyDescent="0.15">
      <c r="A691" s="46" t="s">
        <v>1433</v>
      </c>
      <c r="B691" s="52" t="s">
        <v>7361</v>
      </c>
      <c r="C691" s="53" t="s">
        <v>1434</v>
      </c>
      <c r="D691" s="54" t="s">
        <v>8133</v>
      </c>
      <c r="E691" s="50">
        <f t="shared" si="23"/>
        <v>9.4109589000000007</v>
      </c>
      <c r="F691" s="51">
        <f t="shared" si="23"/>
        <v>3.92420773</v>
      </c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</row>
    <row r="692" spans="1:28" x14ac:dyDescent="0.15">
      <c r="A692" s="46" t="s">
        <v>1435</v>
      </c>
      <c r="B692" s="52" t="s">
        <v>7361</v>
      </c>
      <c r="C692" s="53" t="s">
        <v>1436</v>
      </c>
      <c r="D692" s="54" t="s">
        <v>8134</v>
      </c>
      <c r="E692" s="50">
        <f t="shared" si="23"/>
        <v>9.4246575299999993</v>
      </c>
      <c r="F692" s="51">
        <f t="shared" si="23"/>
        <v>3.9240918100000002</v>
      </c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</row>
    <row r="693" spans="1:28" x14ac:dyDescent="0.15">
      <c r="A693" s="46" t="s">
        <v>1437</v>
      </c>
      <c r="B693" s="52" t="s">
        <v>7361</v>
      </c>
      <c r="C693" s="53" t="s">
        <v>1438</v>
      </c>
      <c r="D693" s="54" t="s">
        <v>8135</v>
      </c>
      <c r="E693" s="50">
        <f t="shared" si="23"/>
        <v>9.4383561599999997</v>
      </c>
      <c r="F693" s="51">
        <f t="shared" si="23"/>
        <v>3.9239748099999998</v>
      </c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</row>
    <row r="694" spans="1:28" x14ac:dyDescent="0.15">
      <c r="A694" s="46" t="s">
        <v>1439</v>
      </c>
      <c r="B694" s="52" t="s">
        <v>7361</v>
      </c>
      <c r="C694" s="53" t="s">
        <v>1440</v>
      </c>
      <c r="D694" s="54" t="s">
        <v>8136</v>
      </c>
      <c r="E694" s="50">
        <f t="shared" si="23"/>
        <v>9.45205479</v>
      </c>
      <c r="F694" s="51">
        <f t="shared" si="23"/>
        <v>3.92385655</v>
      </c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</row>
    <row r="695" spans="1:28" x14ac:dyDescent="0.15">
      <c r="A695" s="46" t="s">
        <v>1441</v>
      </c>
      <c r="B695" s="52" t="s">
        <v>7361</v>
      </c>
      <c r="C695" s="53" t="s">
        <v>1442</v>
      </c>
      <c r="D695" s="54" t="s">
        <v>8137</v>
      </c>
      <c r="E695" s="50">
        <f t="shared" si="23"/>
        <v>9.4657534200000004</v>
      </c>
      <c r="F695" s="51">
        <f t="shared" si="23"/>
        <v>3.9237368799999999</v>
      </c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</row>
    <row r="696" spans="1:28" x14ac:dyDescent="0.15">
      <c r="A696" s="46" t="s">
        <v>1443</v>
      </c>
      <c r="B696" s="52" t="s">
        <v>7361</v>
      </c>
      <c r="C696" s="53" t="s">
        <v>1444</v>
      </c>
      <c r="D696" s="54" t="s">
        <v>8138</v>
      </c>
      <c r="E696" s="50">
        <f t="shared" si="23"/>
        <v>9.4794520500000008</v>
      </c>
      <c r="F696" s="51">
        <f t="shared" si="23"/>
        <v>3.92361564</v>
      </c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</row>
    <row r="697" spans="1:28" x14ac:dyDescent="0.15">
      <c r="A697" s="46" t="s">
        <v>1445</v>
      </c>
      <c r="B697" s="52" t="s">
        <v>7361</v>
      </c>
      <c r="C697" s="53" t="s">
        <v>1446</v>
      </c>
      <c r="D697" s="54" t="s">
        <v>8139</v>
      </c>
      <c r="E697" s="50">
        <f t="shared" si="23"/>
        <v>9.4931506799999994</v>
      </c>
      <c r="F697" s="51">
        <f t="shared" si="23"/>
        <v>3.92349266</v>
      </c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</row>
    <row r="698" spans="1:28" x14ac:dyDescent="0.15">
      <c r="A698" s="46" t="s">
        <v>1447</v>
      </c>
      <c r="B698" s="52" t="s">
        <v>7361</v>
      </c>
      <c r="C698" s="53" t="s">
        <v>1448</v>
      </c>
      <c r="D698" s="54" t="s">
        <v>8140</v>
      </c>
      <c r="E698" s="50">
        <f t="shared" si="23"/>
        <v>9.5068493200000006</v>
      </c>
      <c r="F698" s="51">
        <f t="shared" si="23"/>
        <v>3.92336866</v>
      </c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</row>
    <row r="699" spans="1:28" x14ac:dyDescent="0.15">
      <c r="A699" s="46" t="s">
        <v>1449</v>
      </c>
      <c r="B699" s="52" t="s">
        <v>7361</v>
      </c>
      <c r="C699" s="53" t="s">
        <v>1450</v>
      </c>
      <c r="D699" s="54" t="s">
        <v>8141</v>
      </c>
      <c r="E699" s="50">
        <f t="shared" si="23"/>
        <v>9.5205479499999992</v>
      </c>
      <c r="F699" s="51">
        <f t="shared" si="23"/>
        <v>3.92324875</v>
      </c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</row>
    <row r="700" spans="1:28" x14ac:dyDescent="0.15">
      <c r="A700" s="46" t="s">
        <v>1451</v>
      </c>
      <c r="B700" s="52" t="s">
        <v>7361</v>
      </c>
      <c r="C700" s="53" t="s">
        <v>1452</v>
      </c>
      <c r="D700" s="54" t="s">
        <v>8142</v>
      </c>
      <c r="E700" s="50">
        <f t="shared" si="23"/>
        <v>9.5342465799999996</v>
      </c>
      <c r="F700" s="51">
        <f t="shared" si="23"/>
        <v>3.92313372</v>
      </c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</row>
    <row r="701" spans="1:28" x14ac:dyDescent="0.15">
      <c r="A701" s="46" t="s">
        <v>1453</v>
      </c>
      <c r="B701" s="52" t="s">
        <v>7361</v>
      </c>
      <c r="C701" s="53" t="s">
        <v>1454</v>
      </c>
      <c r="D701" s="54" t="s">
        <v>8143</v>
      </c>
      <c r="E701" s="50">
        <f t="shared" si="23"/>
        <v>9.54794521</v>
      </c>
      <c r="F701" s="51">
        <f t="shared" si="23"/>
        <v>3.9230234899999998</v>
      </c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</row>
    <row r="702" spans="1:28" x14ac:dyDescent="0.15">
      <c r="A702" s="46" t="s">
        <v>1455</v>
      </c>
      <c r="B702" s="52" t="s">
        <v>7361</v>
      </c>
      <c r="C702" s="53" t="s">
        <v>1456</v>
      </c>
      <c r="D702" s="54" t="s">
        <v>8144</v>
      </c>
      <c r="E702" s="50">
        <f t="shared" si="23"/>
        <v>9.5616438400000003</v>
      </c>
      <c r="F702" s="51">
        <f t="shared" si="23"/>
        <v>3.9229179699999999</v>
      </c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</row>
    <row r="703" spans="1:28" x14ac:dyDescent="0.15">
      <c r="A703" s="46" t="s">
        <v>1457</v>
      </c>
      <c r="B703" s="52" t="s">
        <v>7361</v>
      </c>
      <c r="C703" s="53" t="s">
        <v>1458</v>
      </c>
      <c r="D703" s="54" t="s">
        <v>8145</v>
      </c>
      <c r="E703" s="50">
        <f t="shared" si="23"/>
        <v>9.5753424700000007</v>
      </c>
      <c r="F703" s="51">
        <f t="shared" si="23"/>
        <v>3.9228170599999999</v>
      </c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</row>
    <row r="704" spans="1:28" x14ac:dyDescent="0.15">
      <c r="A704" s="46" t="s">
        <v>1459</v>
      </c>
      <c r="B704" s="52" t="s">
        <v>7361</v>
      </c>
      <c r="C704" s="53" t="s">
        <v>1460</v>
      </c>
      <c r="D704" s="54" t="s">
        <v>8146</v>
      </c>
      <c r="E704" s="50">
        <f t="shared" si="23"/>
        <v>9.5890410999999993</v>
      </c>
      <c r="F704" s="51">
        <f t="shared" si="23"/>
        <v>3.9227206899999998</v>
      </c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</row>
    <row r="705" spans="1:28" x14ac:dyDescent="0.15">
      <c r="A705" s="46" t="s">
        <v>1461</v>
      </c>
      <c r="B705" s="52" t="s">
        <v>7361</v>
      </c>
      <c r="C705" s="53" t="s">
        <v>1462</v>
      </c>
      <c r="D705" s="54" t="s">
        <v>8147</v>
      </c>
      <c r="E705" s="50">
        <f t="shared" si="23"/>
        <v>9.6027397299999997</v>
      </c>
      <c r="F705" s="51">
        <f t="shared" si="23"/>
        <v>3.9226287700000002</v>
      </c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</row>
    <row r="706" spans="1:28" x14ac:dyDescent="0.15">
      <c r="A706" s="46" t="s">
        <v>1463</v>
      </c>
      <c r="B706" s="52" t="s">
        <v>7361</v>
      </c>
      <c r="C706" s="53" t="s">
        <v>1464</v>
      </c>
      <c r="D706" s="54" t="s">
        <v>8148</v>
      </c>
      <c r="E706" s="50">
        <f t="shared" si="23"/>
        <v>9.6164383600000001</v>
      </c>
      <c r="F706" s="51">
        <f t="shared" si="23"/>
        <v>3.9225412</v>
      </c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</row>
    <row r="707" spans="1:28" x14ac:dyDescent="0.15">
      <c r="A707" s="46" t="s">
        <v>1465</v>
      </c>
      <c r="B707" s="52" t="s">
        <v>7361</v>
      </c>
      <c r="C707" s="53" t="s">
        <v>1466</v>
      </c>
      <c r="D707" s="54" t="s">
        <v>8149</v>
      </c>
      <c r="E707" s="50">
        <f t="shared" si="23"/>
        <v>9.6301369900000005</v>
      </c>
      <c r="F707" s="51">
        <f t="shared" si="23"/>
        <v>3.9224579099999999</v>
      </c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</row>
    <row r="708" spans="1:28" x14ac:dyDescent="0.15">
      <c r="A708" s="46" t="s">
        <v>1467</v>
      </c>
      <c r="B708" s="52" t="s">
        <v>7361</v>
      </c>
      <c r="C708" s="53" t="s">
        <v>1468</v>
      </c>
      <c r="D708" s="54" t="s">
        <v>8150</v>
      </c>
      <c r="E708" s="50">
        <f t="shared" si="23"/>
        <v>9.6438356200000008</v>
      </c>
      <c r="F708" s="51">
        <f t="shared" si="23"/>
        <v>3.9223787899999998</v>
      </c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</row>
    <row r="709" spans="1:28" x14ac:dyDescent="0.15">
      <c r="A709" s="46" t="s">
        <v>1469</v>
      </c>
      <c r="B709" s="52" t="s">
        <v>7361</v>
      </c>
      <c r="C709" s="53" t="s">
        <v>1470</v>
      </c>
      <c r="D709" s="54" t="s">
        <v>8151</v>
      </c>
      <c r="E709" s="50">
        <f t="shared" si="23"/>
        <v>9.6575342499999994</v>
      </c>
      <c r="F709" s="51">
        <f t="shared" si="23"/>
        <v>3.92230378</v>
      </c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</row>
    <row r="710" spans="1:28" x14ac:dyDescent="0.15">
      <c r="A710" s="46" t="s">
        <v>1471</v>
      </c>
      <c r="B710" s="52" t="s">
        <v>7361</v>
      </c>
      <c r="C710" s="53" t="s">
        <v>1472</v>
      </c>
      <c r="D710" s="54" t="s">
        <v>8152</v>
      </c>
      <c r="E710" s="50">
        <f t="shared" si="23"/>
        <v>9.6712328799999998</v>
      </c>
      <c r="F710" s="51">
        <f t="shared" si="23"/>
        <v>3.9222327799999999</v>
      </c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</row>
    <row r="711" spans="1:28" x14ac:dyDescent="0.15">
      <c r="A711" s="46" t="s">
        <v>1473</v>
      </c>
      <c r="B711" s="52" t="s">
        <v>7361</v>
      </c>
      <c r="C711" s="53" t="s">
        <v>1474</v>
      </c>
      <c r="D711" s="54" t="s">
        <v>8153</v>
      </c>
      <c r="E711" s="50">
        <f t="shared" si="23"/>
        <v>9.6849315100000002</v>
      </c>
      <c r="F711" s="51">
        <f t="shared" si="23"/>
        <v>3.9221656999999999</v>
      </c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</row>
    <row r="712" spans="1:28" x14ac:dyDescent="0.15">
      <c r="A712" s="46" t="s">
        <v>1475</v>
      </c>
      <c r="B712" s="52" t="s">
        <v>7361</v>
      </c>
      <c r="C712" s="53" t="s">
        <v>1476</v>
      </c>
      <c r="D712" s="54" t="s">
        <v>8154</v>
      </c>
      <c r="E712" s="50">
        <f t="shared" ref="E712:F742" si="24">VALUE(C712)</f>
        <v>9.6986301400000006</v>
      </c>
      <c r="F712" s="51">
        <f t="shared" si="24"/>
        <v>3.9221024500000001</v>
      </c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</row>
    <row r="713" spans="1:28" x14ac:dyDescent="0.15">
      <c r="A713" s="46" t="s">
        <v>1477</v>
      </c>
      <c r="B713" s="52" t="s">
        <v>7361</v>
      </c>
      <c r="C713" s="53" t="s">
        <v>1478</v>
      </c>
      <c r="D713" s="54" t="s">
        <v>8155</v>
      </c>
      <c r="E713" s="50">
        <f t="shared" si="24"/>
        <v>9.7123287699999992</v>
      </c>
      <c r="F713" s="51">
        <f t="shared" si="24"/>
        <v>3.9220429499999998</v>
      </c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</row>
    <row r="714" spans="1:28" x14ac:dyDescent="0.15">
      <c r="A714" s="46" t="s">
        <v>1479</v>
      </c>
      <c r="B714" s="52" t="s">
        <v>7361</v>
      </c>
      <c r="C714" s="53" t="s">
        <v>1480</v>
      </c>
      <c r="D714" s="54" t="s">
        <v>8156</v>
      </c>
      <c r="E714" s="50">
        <f t="shared" si="24"/>
        <v>9.7260273999999995</v>
      </c>
      <c r="F714" s="51">
        <f t="shared" si="24"/>
        <v>3.9219871199999998</v>
      </c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</row>
    <row r="715" spans="1:28" x14ac:dyDescent="0.15">
      <c r="A715" s="46" t="s">
        <v>1481</v>
      </c>
      <c r="B715" s="52" t="s">
        <v>7361</v>
      </c>
      <c r="C715" s="53" t="s">
        <v>1482</v>
      </c>
      <c r="D715" s="54" t="s">
        <v>8157</v>
      </c>
      <c r="E715" s="50">
        <f t="shared" si="24"/>
        <v>9.7397260299999999</v>
      </c>
      <c r="F715" s="51">
        <f t="shared" si="24"/>
        <v>3.92193485</v>
      </c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</row>
    <row r="716" spans="1:28" x14ac:dyDescent="0.15">
      <c r="A716" s="46" t="s">
        <v>1483</v>
      </c>
      <c r="B716" s="52" t="s">
        <v>7361</v>
      </c>
      <c r="C716" s="53" t="s">
        <v>1484</v>
      </c>
      <c r="D716" s="54" t="s">
        <v>8158</v>
      </c>
      <c r="E716" s="50">
        <f t="shared" si="24"/>
        <v>9.7534246600000003</v>
      </c>
      <c r="F716" s="51">
        <f t="shared" si="24"/>
        <v>3.9218860800000002</v>
      </c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</row>
    <row r="717" spans="1:28" x14ac:dyDescent="0.15">
      <c r="A717" s="46" t="s">
        <v>1485</v>
      </c>
      <c r="B717" s="52" t="s">
        <v>7361</v>
      </c>
      <c r="C717" s="53" t="s">
        <v>1486</v>
      </c>
      <c r="D717" s="54" t="s">
        <v>8159</v>
      </c>
      <c r="E717" s="50">
        <f t="shared" si="24"/>
        <v>9.7671232900000007</v>
      </c>
      <c r="F717" s="51">
        <f t="shared" si="24"/>
        <v>3.9218407000000002</v>
      </c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</row>
    <row r="718" spans="1:28" x14ac:dyDescent="0.15">
      <c r="A718" s="46" t="s">
        <v>1487</v>
      </c>
      <c r="B718" s="52" t="s">
        <v>7361</v>
      </c>
      <c r="C718" s="53" t="s">
        <v>1488</v>
      </c>
      <c r="D718" s="54" t="s">
        <v>8160</v>
      </c>
      <c r="E718" s="50">
        <f t="shared" si="24"/>
        <v>9.7808219199999993</v>
      </c>
      <c r="F718" s="51">
        <f t="shared" si="24"/>
        <v>3.9217986300000001</v>
      </c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</row>
    <row r="719" spans="1:28" x14ac:dyDescent="0.15">
      <c r="A719" s="46" t="s">
        <v>1489</v>
      </c>
      <c r="B719" s="52" t="s">
        <v>7361</v>
      </c>
      <c r="C719" s="53" t="s">
        <v>1490</v>
      </c>
      <c r="D719" s="54" t="s">
        <v>8161</v>
      </c>
      <c r="E719" s="50">
        <f t="shared" si="24"/>
        <v>9.7945205499999997</v>
      </c>
      <c r="F719" s="51">
        <f t="shared" si="24"/>
        <v>3.9217597999999998</v>
      </c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</row>
    <row r="720" spans="1:28" x14ac:dyDescent="0.15">
      <c r="A720" s="46" t="s">
        <v>1491</v>
      </c>
      <c r="B720" s="52" t="s">
        <v>7361</v>
      </c>
      <c r="C720" s="53" t="s">
        <v>1492</v>
      </c>
      <c r="D720" s="54" t="s">
        <v>8162</v>
      </c>
      <c r="E720" s="50">
        <f t="shared" si="24"/>
        <v>9.80821918</v>
      </c>
      <c r="F720" s="51">
        <f t="shared" si="24"/>
        <v>3.9217240900000001</v>
      </c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</row>
    <row r="721" spans="1:28" x14ac:dyDescent="0.15">
      <c r="A721" s="46" t="s">
        <v>1493</v>
      </c>
      <c r="B721" s="52" t="s">
        <v>7361</v>
      </c>
      <c r="C721" s="53" t="s">
        <v>1494</v>
      </c>
      <c r="D721" s="54" t="s">
        <v>8163</v>
      </c>
      <c r="E721" s="50">
        <f t="shared" si="24"/>
        <v>9.8219178100000004</v>
      </c>
      <c r="F721" s="51">
        <f t="shared" si="24"/>
        <v>3.92169144</v>
      </c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</row>
    <row r="722" spans="1:28" x14ac:dyDescent="0.15">
      <c r="A722" s="46" t="s">
        <v>1495</v>
      </c>
      <c r="B722" s="52" t="s">
        <v>7361</v>
      </c>
      <c r="C722" s="53" t="s">
        <v>1496</v>
      </c>
      <c r="D722" s="54" t="s">
        <v>8164</v>
      </c>
      <c r="E722" s="50">
        <f t="shared" si="24"/>
        <v>9.8356164400000008</v>
      </c>
      <c r="F722" s="51">
        <f t="shared" si="24"/>
        <v>3.9216617500000002</v>
      </c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</row>
    <row r="723" spans="1:28" x14ac:dyDescent="0.15">
      <c r="A723" s="46" t="s">
        <v>1497</v>
      </c>
      <c r="B723" s="52" t="s">
        <v>7361</v>
      </c>
      <c r="C723" s="53" t="s">
        <v>1498</v>
      </c>
      <c r="D723" s="54" t="s">
        <v>8165</v>
      </c>
      <c r="E723" s="50">
        <f t="shared" si="24"/>
        <v>9.8493150699999994</v>
      </c>
      <c r="F723" s="51">
        <f t="shared" si="24"/>
        <v>3.9216349400000001</v>
      </c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</row>
    <row r="724" spans="1:28" x14ac:dyDescent="0.15">
      <c r="A724" s="46" t="s">
        <v>1499</v>
      </c>
      <c r="B724" s="52" t="s">
        <v>7361</v>
      </c>
      <c r="C724" s="53" t="s">
        <v>1500</v>
      </c>
      <c r="D724" s="54" t="s">
        <v>8166</v>
      </c>
      <c r="E724" s="50">
        <f t="shared" si="24"/>
        <v>9.8630136999999998</v>
      </c>
      <c r="F724" s="51">
        <f t="shared" si="24"/>
        <v>3.92161092</v>
      </c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</row>
    <row r="725" spans="1:28" x14ac:dyDescent="0.15">
      <c r="A725" s="46" t="s">
        <v>1501</v>
      </c>
      <c r="B725" s="52" t="s">
        <v>7361</v>
      </c>
      <c r="C725" s="53" t="s">
        <v>1502</v>
      </c>
      <c r="D725" s="54" t="s">
        <v>8167</v>
      </c>
      <c r="E725" s="50">
        <f t="shared" si="24"/>
        <v>9.8767123300000002</v>
      </c>
      <c r="F725" s="51">
        <f t="shared" si="24"/>
        <v>3.9215895999999999</v>
      </c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</row>
    <row r="726" spans="1:28" x14ac:dyDescent="0.15">
      <c r="A726" s="46" t="s">
        <v>1503</v>
      </c>
      <c r="B726" s="52" t="s">
        <v>7361</v>
      </c>
      <c r="C726" s="53" t="s">
        <v>1504</v>
      </c>
      <c r="D726" s="54" t="s">
        <v>8168</v>
      </c>
      <c r="E726" s="50">
        <f t="shared" si="24"/>
        <v>9.8904109600000005</v>
      </c>
      <c r="F726" s="51">
        <f t="shared" si="24"/>
        <v>3.9215708899999999</v>
      </c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</row>
    <row r="727" spans="1:28" x14ac:dyDescent="0.15">
      <c r="A727" s="46" t="s">
        <v>1505</v>
      </c>
      <c r="B727" s="52" t="s">
        <v>7361</v>
      </c>
      <c r="C727" s="53" t="s">
        <v>1506</v>
      </c>
      <c r="D727" s="54" t="s">
        <v>8169</v>
      </c>
      <c r="E727" s="50">
        <f t="shared" si="24"/>
        <v>9.9041095899999991</v>
      </c>
      <c r="F727" s="51">
        <f t="shared" si="24"/>
        <v>3.9215547100000001</v>
      </c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</row>
    <row r="728" spans="1:28" x14ac:dyDescent="0.15">
      <c r="A728" s="46" t="s">
        <v>1507</v>
      </c>
      <c r="B728" s="52" t="s">
        <v>7361</v>
      </c>
      <c r="C728" s="53" t="s">
        <v>1508</v>
      </c>
      <c r="D728" s="54" t="s">
        <v>8170</v>
      </c>
      <c r="E728" s="50">
        <f t="shared" si="24"/>
        <v>9.9178082199999995</v>
      </c>
      <c r="F728" s="51">
        <f t="shared" si="24"/>
        <v>3.9215409700000001</v>
      </c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</row>
    <row r="729" spans="1:28" x14ac:dyDescent="0.15">
      <c r="A729" s="46" t="s">
        <v>1509</v>
      </c>
      <c r="B729" s="52" t="s">
        <v>7361</v>
      </c>
      <c r="C729" s="53" t="s">
        <v>1510</v>
      </c>
      <c r="D729" s="54" t="s">
        <v>8171</v>
      </c>
      <c r="E729" s="50">
        <f t="shared" si="24"/>
        <v>9.9315068499999999</v>
      </c>
      <c r="F729" s="51">
        <f t="shared" si="24"/>
        <v>3.92152959</v>
      </c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</row>
    <row r="730" spans="1:28" x14ac:dyDescent="0.15">
      <c r="A730" s="46" t="s">
        <v>1511</v>
      </c>
      <c r="B730" s="52" t="s">
        <v>7361</v>
      </c>
      <c r="C730" s="53" t="s">
        <v>1512</v>
      </c>
      <c r="D730" s="54" t="s">
        <v>8172</v>
      </c>
      <c r="E730" s="50">
        <f t="shared" si="24"/>
        <v>9.9452054800000003</v>
      </c>
      <c r="F730" s="51">
        <f t="shared" si="24"/>
        <v>3.9215204699999999</v>
      </c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</row>
    <row r="731" spans="1:28" x14ac:dyDescent="0.15">
      <c r="A731" s="46" t="s">
        <v>1513</v>
      </c>
      <c r="B731" s="52" t="s">
        <v>7361</v>
      </c>
      <c r="C731" s="53" t="s">
        <v>1514</v>
      </c>
      <c r="D731" s="54" t="s">
        <v>8173</v>
      </c>
      <c r="E731" s="50">
        <f t="shared" si="24"/>
        <v>9.9589041100000006</v>
      </c>
      <c r="F731" s="51">
        <f t="shared" si="24"/>
        <v>3.9215135299999999</v>
      </c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</row>
    <row r="732" spans="1:28" x14ac:dyDescent="0.15">
      <c r="A732" s="46" t="s">
        <v>1515</v>
      </c>
      <c r="B732" s="52" t="s">
        <v>7361</v>
      </c>
      <c r="C732" s="53" t="s">
        <v>1516</v>
      </c>
      <c r="D732" s="54" t="s">
        <v>8174</v>
      </c>
      <c r="E732" s="50">
        <f t="shared" si="24"/>
        <v>9.9726027399999992</v>
      </c>
      <c r="F732" s="51">
        <f t="shared" si="24"/>
        <v>3.9215086800000001</v>
      </c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</row>
    <row r="733" spans="1:28" x14ac:dyDescent="0.15">
      <c r="A733" s="46" t="s">
        <v>1517</v>
      </c>
      <c r="B733" s="52" t="s">
        <v>7361</v>
      </c>
      <c r="C733" s="53" t="s">
        <v>1518</v>
      </c>
      <c r="D733" s="54" t="s">
        <v>8175</v>
      </c>
      <c r="E733" s="50">
        <f t="shared" si="24"/>
        <v>9.9863013699999996</v>
      </c>
      <c r="F733" s="51">
        <f t="shared" si="24"/>
        <v>3.9215058300000001</v>
      </c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</row>
    <row r="734" spans="1:28" x14ac:dyDescent="0.15">
      <c r="A734" s="46" t="s">
        <v>1519</v>
      </c>
      <c r="B734" s="52" t="s">
        <v>7361</v>
      </c>
      <c r="C734" s="53" t="s">
        <v>1520</v>
      </c>
      <c r="D734" s="54" t="s">
        <v>8176</v>
      </c>
      <c r="E734" s="50">
        <f t="shared" si="24"/>
        <v>10</v>
      </c>
      <c r="F734" s="51">
        <f t="shared" si="24"/>
        <v>3.9215049</v>
      </c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</row>
    <row r="735" spans="1:28" x14ac:dyDescent="0.15">
      <c r="A735" s="46" t="s">
        <v>1521</v>
      </c>
      <c r="B735" s="52" t="s">
        <v>7361</v>
      </c>
      <c r="C735" s="53" t="s">
        <v>1522</v>
      </c>
      <c r="D735" s="54" t="s">
        <v>8177</v>
      </c>
      <c r="E735" s="50">
        <f t="shared" si="24"/>
        <v>10.01369863</v>
      </c>
      <c r="F735" s="51">
        <f t="shared" si="24"/>
        <v>3.9215180699999999</v>
      </c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</row>
    <row r="736" spans="1:28" x14ac:dyDescent="0.15">
      <c r="A736" s="46" t="s">
        <v>1523</v>
      </c>
      <c r="B736" s="52" t="s">
        <v>7361</v>
      </c>
      <c r="C736" s="53" t="s">
        <v>1524</v>
      </c>
      <c r="D736" s="54" t="s">
        <v>8178</v>
      </c>
      <c r="E736" s="50">
        <f t="shared" si="24"/>
        <v>10.027397260000001</v>
      </c>
      <c r="F736" s="51">
        <f t="shared" si="24"/>
        <v>3.92155684</v>
      </c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</row>
    <row r="737" spans="1:28" x14ac:dyDescent="0.15">
      <c r="A737" s="46" t="s">
        <v>1525</v>
      </c>
      <c r="B737" s="52" t="s">
        <v>7361</v>
      </c>
      <c r="C737" s="53" t="s">
        <v>1526</v>
      </c>
      <c r="D737" s="54" t="s">
        <v>8179</v>
      </c>
      <c r="E737" s="50">
        <f t="shared" si="24"/>
        <v>10.041095889999999</v>
      </c>
      <c r="F737" s="51">
        <f t="shared" si="24"/>
        <v>3.9216201100000001</v>
      </c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</row>
    <row r="738" spans="1:28" x14ac:dyDescent="0.15">
      <c r="A738" s="46" t="s">
        <v>1527</v>
      </c>
      <c r="B738" s="52" t="s">
        <v>7361</v>
      </c>
      <c r="C738" s="53" t="s">
        <v>1528</v>
      </c>
      <c r="D738" s="54" t="s">
        <v>8180</v>
      </c>
      <c r="E738" s="50">
        <f t="shared" si="24"/>
        <v>10.05479452</v>
      </c>
      <c r="F738" s="51">
        <f t="shared" si="24"/>
        <v>3.9217067999999999</v>
      </c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</row>
    <row r="739" spans="1:28" x14ac:dyDescent="0.15">
      <c r="A739" s="46" t="s">
        <v>1529</v>
      </c>
      <c r="B739" s="52" t="s">
        <v>7361</v>
      </c>
      <c r="C739" s="53" t="s">
        <v>1530</v>
      </c>
      <c r="D739" s="54" t="s">
        <v>8181</v>
      </c>
      <c r="E739" s="50">
        <f t="shared" si="24"/>
        <v>10.06849315</v>
      </c>
      <c r="F739" s="51">
        <f t="shared" si="24"/>
        <v>3.9218157900000001</v>
      </c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</row>
    <row r="740" spans="1:28" x14ac:dyDescent="0.15">
      <c r="A740" s="46" t="s">
        <v>1531</v>
      </c>
      <c r="B740" s="52" t="s">
        <v>7361</v>
      </c>
      <c r="C740" s="53" t="s">
        <v>1532</v>
      </c>
      <c r="D740" s="54" t="s">
        <v>8182</v>
      </c>
      <c r="E740" s="50">
        <f t="shared" si="24"/>
        <v>10.08219178</v>
      </c>
      <c r="F740" s="51">
        <f t="shared" si="24"/>
        <v>3.9219460100000001</v>
      </c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</row>
    <row r="741" spans="1:28" x14ac:dyDescent="0.15">
      <c r="A741" s="46" t="s">
        <v>1533</v>
      </c>
      <c r="B741" s="52" t="s">
        <v>7361</v>
      </c>
      <c r="C741" s="53" t="s">
        <v>1534</v>
      </c>
      <c r="D741" s="54" t="s">
        <v>8183</v>
      </c>
      <c r="E741" s="50">
        <f t="shared" si="24"/>
        <v>10.095890410000001</v>
      </c>
      <c r="F741" s="51">
        <f t="shared" si="24"/>
        <v>3.92209633</v>
      </c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</row>
    <row r="742" spans="1:28" x14ac:dyDescent="0.15">
      <c r="A742" s="46" t="s">
        <v>1535</v>
      </c>
      <c r="B742" s="52" t="s">
        <v>7361</v>
      </c>
      <c r="C742" s="53" t="s">
        <v>1536</v>
      </c>
      <c r="D742" s="54" t="s">
        <v>8184</v>
      </c>
      <c r="E742" s="50">
        <f t="shared" si="24"/>
        <v>10.109589039999999</v>
      </c>
      <c r="F742" s="51">
        <f t="shared" si="24"/>
        <v>3.9222656800000002</v>
      </c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</row>
    <row r="743" spans="1:28" x14ac:dyDescent="0.15">
      <c r="A743" s="46" t="s">
        <v>1537</v>
      </c>
      <c r="B743" s="52" t="s">
        <v>7361</v>
      </c>
      <c r="C743" s="53" t="s">
        <v>1538</v>
      </c>
      <c r="D743" s="54" t="s">
        <v>8185</v>
      </c>
      <c r="E743" s="50">
        <f t="shared" ref="E743:F772" si="25">VALUE(C743)</f>
        <v>10.12328767</v>
      </c>
      <c r="F743" s="51">
        <f t="shared" si="25"/>
        <v>3.9224529499999998</v>
      </c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</row>
    <row r="744" spans="1:28" x14ac:dyDescent="0.15">
      <c r="A744" s="46" t="s">
        <v>1539</v>
      </c>
      <c r="B744" s="52" t="s">
        <v>7361</v>
      </c>
      <c r="C744" s="53" t="s">
        <v>1540</v>
      </c>
      <c r="D744" s="54" t="s">
        <v>8186</v>
      </c>
      <c r="E744" s="50">
        <f t="shared" si="25"/>
        <v>10.1369863</v>
      </c>
      <c r="F744" s="51">
        <f t="shared" si="25"/>
        <v>3.9226570399999998</v>
      </c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</row>
    <row r="745" spans="1:28" x14ac:dyDescent="0.15">
      <c r="A745" s="46" t="s">
        <v>1541</v>
      </c>
      <c r="B745" s="52" t="s">
        <v>7361</v>
      </c>
      <c r="C745" s="53" t="s">
        <v>1542</v>
      </c>
      <c r="D745" s="54" t="s">
        <v>8187</v>
      </c>
      <c r="E745" s="50">
        <f t="shared" si="25"/>
        <v>10.150684930000001</v>
      </c>
      <c r="F745" s="51">
        <f t="shared" si="25"/>
        <v>3.9228768600000001</v>
      </c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</row>
    <row r="746" spans="1:28" x14ac:dyDescent="0.15">
      <c r="A746" s="46" t="s">
        <v>1543</v>
      </c>
      <c r="B746" s="52" t="s">
        <v>7361</v>
      </c>
      <c r="C746" s="53" t="s">
        <v>1544</v>
      </c>
      <c r="D746" s="54" t="s">
        <v>8188</v>
      </c>
      <c r="E746" s="50">
        <f t="shared" si="25"/>
        <v>10.164383559999999</v>
      </c>
      <c r="F746" s="51">
        <f t="shared" si="25"/>
        <v>3.9231113099999999</v>
      </c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</row>
    <row r="747" spans="1:28" x14ac:dyDescent="0.15">
      <c r="A747" s="46" t="s">
        <v>1545</v>
      </c>
      <c r="B747" s="52" t="s">
        <v>7361</v>
      </c>
      <c r="C747" s="53" t="s">
        <v>1546</v>
      </c>
      <c r="D747" s="54" t="s">
        <v>8189</v>
      </c>
      <c r="E747" s="50">
        <f t="shared" si="25"/>
        <v>10.17808219</v>
      </c>
      <c r="F747" s="51">
        <f t="shared" si="25"/>
        <v>3.9233593</v>
      </c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</row>
    <row r="748" spans="1:28" x14ac:dyDescent="0.15">
      <c r="A748" s="46" t="s">
        <v>1547</v>
      </c>
      <c r="B748" s="52" t="s">
        <v>7361</v>
      </c>
      <c r="C748" s="53" t="s">
        <v>1548</v>
      </c>
      <c r="D748" s="54" t="s">
        <v>8190</v>
      </c>
      <c r="E748" s="50">
        <f t="shared" si="25"/>
        <v>10.19178082</v>
      </c>
      <c r="F748" s="51">
        <f t="shared" si="25"/>
        <v>3.92361972</v>
      </c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</row>
    <row r="749" spans="1:28" x14ac:dyDescent="0.15">
      <c r="A749" s="46" t="s">
        <v>1549</v>
      </c>
      <c r="B749" s="52" t="s">
        <v>7361</v>
      </c>
      <c r="C749" s="53" t="s">
        <v>1550</v>
      </c>
      <c r="D749" s="54" t="s">
        <v>8191</v>
      </c>
      <c r="E749" s="50">
        <f t="shared" si="25"/>
        <v>10.20547945</v>
      </c>
      <c r="F749" s="51">
        <f t="shared" si="25"/>
        <v>3.92389148</v>
      </c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</row>
    <row r="750" spans="1:28" x14ac:dyDescent="0.15">
      <c r="A750" s="46" t="s">
        <v>1551</v>
      </c>
      <c r="B750" s="52" t="s">
        <v>7361</v>
      </c>
      <c r="C750" s="53" t="s">
        <v>1552</v>
      </c>
      <c r="D750" s="54" t="s">
        <v>8192</v>
      </c>
      <c r="E750" s="50">
        <f t="shared" si="25"/>
        <v>10.219178080000001</v>
      </c>
      <c r="F750" s="51">
        <f t="shared" si="25"/>
        <v>3.9241734799999999</v>
      </c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</row>
    <row r="751" spans="1:28" x14ac:dyDescent="0.15">
      <c r="A751" s="46" t="s">
        <v>1553</v>
      </c>
      <c r="B751" s="52" t="s">
        <v>7361</v>
      </c>
      <c r="C751" s="53" t="s">
        <v>1554</v>
      </c>
      <c r="D751" s="54" t="s">
        <v>8193</v>
      </c>
      <c r="E751" s="50">
        <f t="shared" si="25"/>
        <v>10.232876709999999</v>
      </c>
      <c r="F751" s="51">
        <f t="shared" si="25"/>
        <v>3.9244646200000002</v>
      </c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</row>
    <row r="752" spans="1:28" x14ac:dyDescent="0.15">
      <c r="A752" s="46" t="s">
        <v>1555</v>
      </c>
      <c r="B752" s="52" t="s">
        <v>7361</v>
      </c>
      <c r="C752" s="53" t="s">
        <v>1556</v>
      </c>
      <c r="D752" s="54" t="s">
        <v>8194</v>
      </c>
      <c r="E752" s="50">
        <f t="shared" si="25"/>
        <v>10.24657534</v>
      </c>
      <c r="F752" s="51">
        <f t="shared" si="25"/>
        <v>3.92476381</v>
      </c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</row>
    <row r="753" spans="1:28" x14ac:dyDescent="0.15">
      <c r="A753" s="46" t="s">
        <v>1557</v>
      </c>
      <c r="B753" s="52" t="s">
        <v>7361</v>
      </c>
      <c r="C753" s="53" t="s">
        <v>1558</v>
      </c>
      <c r="D753" s="54" t="s">
        <v>8195</v>
      </c>
      <c r="E753" s="50">
        <f t="shared" si="25"/>
        <v>10.26027397</v>
      </c>
      <c r="F753" s="51">
        <f t="shared" si="25"/>
        <v>3.9250699500000001</v>
      </c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</row>
    <row r="754" spans="1:28" x14ac:dyDescent="0.15">
      <c r="A754" s="46" t="s">
        <v>1559</v>
      </c>
      <c r="B754" s="52" t="s">
        <v>7361</v>
      </c>
      <c r="C754" s="53" t="s">
        <v>1560</v>
      </c>
      <c r="D754" s="54" t="s">
        <v>8196</v>
      </c>
      <c r="E754" s="50">
        <f t="shared" si="25"/>
        <v>10.2739726</v>
      </c>
      <c r="F754" s="51">
        <f t="shared" si="25"/>
        <v>3.9253819399999998</v>
      </c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</row>
    <row r="755" spans="1:28" x14ac:dyDescent="0.15">
      <c r="A755" s="46" t="s">
        <v>1561</v>
      </c>
      <c r="B755" s="52" t="s">
        <v>7361</v>
      </c>
      <c r="C755" s="53" t="s">
        <v>1562</v>
      </c>
      <c r="D755" s="54" t="s">
        <v>8197</v>
      </c>
      <c r="E755" s="50">
        <f t="shared" si="25"/>
        <v>10.287671230000001</v>
      </c>
      <c r="F755" s="51">
        <f t="shared" si="25"/>
        <v>3.9256986899999999</v>
      </c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</row>
    <row r="756" spans="1:28" x14ac:dyDescent="0.15">
      <c r="A756" s="46" t="s">
        <v>1563</v>
      </c>
      <c r="B756" s="52" t="s">
        <v>7361</v>
      </c>
      <c r="C756" s="53" t="s">
        <v>1564</v>
      </c>
      <c r="D756" s="54" t="s">
        <v>8198</v>
      </c>
      <c r="E756" s="50">
        <f t="shared" si="25"/>
        <v>10.301369859999999</v>
      </c>
      <c r="F756" s="51">
        <f t="shared" si="25"/>
        <v>3.92601909</v>
      </c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</row>
    <row r="757" spans="1:28" x14ac:dyDescent="0.15">
      <c r="A757" s="46" t="s">
        <v>1565</v>
      </c>
      <c r="B757" s="52" t="s">
        <v>7361</v>
      </c>
      <c r="C757" s="53" t="s">
        <v>1566</v>
      </c>
      <c r="D757" s="54" t="s">
        <v>8199</v>
      </c>
      <c r="E757" s="50">
        <f t="shared" si="25"/>
        <v>10.31506849</v>
      </c>
      <c r="F757" s="51">
        <f t="shared" si="25"/>
        <v>3.9263420600000001</v>
      </c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</row>
    <row r="758" spans="1:28" x14ac:dyDescent="0.15">
      <c r="A758" s="46" t="s">
        <v>1567</v>
      </c>
      <c r="B758" s="52" t="s">
        <v>7361</v>
      </c>
      <c r="C758" s="53" t="s">
        <v>1568</v>
      </c>
      <c r="D758" s="54" t="s">
        <v>8200</v>
      </c>
      <c r="E758" s="50">
        <f t="shared" si="25"/>
        <v>10.32876712</v>
      </c>
      <c r="F758" s="51">
        <f t="shared" si="25"/>
        <v>3.9266664900000001</v>
      </c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</row>
    <row r="759" spans="1:28" x14ac:dyDescent="0.15">
      <c r="A759" s="46" t="s">
        <v>1569</v>
      </c>
      <c r="B759" s="52" t="s">
        <v>7361</v>
      </c>
      <c r="C759" s="53" t="s">
        <v>1570</v>
      </c>
      <c r="D759" s="54" t="s">
        <v>8201</v>
      </c>
      <c r="E759" s="50">
        <f t="shared" si="25"/>
        <v>10.342465750000001</v>
      </c>
      <c r="F759" s="51">
        <f t="shared" si="25"/>
        <v>3.9269912800000002</v>
      </c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</row>
    <row r="760" spans="1:28" x14ac:dyDescent="0.15">
      <c r="A760" s="46" t="s">
        <v>1571</v>
      </c>
      <c r="B760" s="52" t="s">
        <v>7361</v>
      </c>
      <c r="C760" s="53" t="s">
        <v>1572</v>
      </c>
      <c r="D760" s="54" t="s">
        <v>8202</v>
      </c>
      <c r="E760" s="50">
        <f t="shared" si="25"/>
        <v>10.356164379999999</v>
      </c>
      <c r="F760" s="51">
        <f t="shared" si="25"/>
        <v>3.9273153399999998</v>
      </c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</row>
    <row r="761" spans="1:28" x14ac:dyDescent="0.15">
      <c r="A761" s="46" t="s">
        <v>1573</v>
      </c>
      <c r="B761" s="52" t="s">
        <v>7361</v>
      </c>
      <c r="C761" s="53" t="s">
        <v>1574</v>
      </c>
      <c r="D761" s="54" t="s">
        <v>8203</v>
      </c>
      <c r="E761" s="50">
        <f t="shared" si="25"/>
        <v>10.36986301</v>
      </c>
      <c r="F761" s="51">
        <f t="shared" si="25"/>
        <v>3.9276375799999999</v>
      </c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</row>
    <row r="762" spans="1:28" x14ac:dyDescent="0.15">
      <c r="A762" s="46" t="s">
        <v>1575</v>
      </c>
      <c r="B762" s="52" t="s">
        <v>7361</v>
      </c>
      <c r="C762" s="53" t="s">
        <v>1576</v>
      </c>
      <c r="D762" s="54" t="s">
        <v>8204</v>
      </c>
      <c r="E762" s="50">
        <f t="shared" si="25"/>
        <v>10.38356164</v>
      </c>
      <c r="F762" s="51">
        <f t="shared" si="25"/>
        <v>3.92795688</v>
      </c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</row>
    <row r="763" spans="1:28" x14ac:dyDescent="0.15">
      <c r="A763" s="46" t="s">
        <v>1577</v>
      </c>
      <c r="B763" s="52" t="s">
        <v>7361</v>
      </c>
      <c r="C763" s="53" t="s">
        <v>1578</v>
      </c>
      <c r="D763" s="54" t="s">
        <v>8205</v>
      </c>
      <c r="E763" s="50">
        <f t="shared" si="25"/>
        <v>10.39726027</v>
      </c>
      <c r="F763" s="51">
        <f t="shared" si="25"/>
        <v>3.9282721700000001</v>
      </c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</row>
    <row r="764" spans="1:28" x14ac:dyDescent="0.15">
      <c r="A764" s="46" t="s">
        <v>1579</v>
      </c>
      <c r="B764" s="52" t="s">
        <v>7361</v>
      </c>
      <c r="C764" s="53" t="s">
        <v>1580</v>
      </c>
      <c r="D764" s="54" t="s">
        <v>8206</v>
      </c>
      <c r="E764" s="50">
        <f t="shared" si="25"/>
        <v>10.410958900000001</v>
      </c>
      <c r="F764" s="51">
        <f t="shared" si="25"/>
        <v>3.9285823299999998</v>
      </c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</row>
    <row r="765" spans="1:28" x14ac:dyDescent="0.15">
      <c r="A765" s="46" t="s">
        <v>1581</v>
      </c>
      <c r="B765" s="52" t="s">
        <v>7361</v>
      </c>
      <c r="C765" s="53" t="s">
        <v>1582</v>
      </c>
      <c r="D765" s="54" t="s">
        <v>8207</v>
      </c>
      <c r="E765" s="50">
        <f t="shared" si="25"/>
        <v>10.424657529999999</v>
      </c>
      <c r="F765" s="51">
        <f t="shared" si="25"/>
        <v>3.92888628</v>
      </c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</row>
    <row r="766" spans="1:28" x14ac:dyDescent="0.15">
      <c r="A766" s="46" t="s">
        <v>1583</v>
      </c>
      <c r="B766" s="52" t="s">
        <v>7361</v>
      </c>
      <c r="C766" s="53" t="s">
        <v>1584</v>
      </c>
      <c r="D766" s="54" t="s">
        <v>8208</v>
      </c>
      <c r="E766" s="50">
        <f t="shared" si="25"/>
        <v>10.43835616</v>
      </c>
      <c r="F766" s="51">
        <f t="shared" si="25"/>
        <v>3.9291829100000002</v>
      </c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</row>
    <row r="767" spans="1:28" x14ac:dyDescent="0.15">
      <c r="A767" s="46" t="s">
        <v>1585</v>
      </c>
      <c r="B767" s="52" t="s">
        <v>7361</v>
      </c>
      <c r="C767" s="53" t="s">
        <v>1586</v>
      </c>
      <c r="D767" s="54" t="s">
        <v>8209</v>
      </c>
      <c r="E767" s="50">
        <f t="shared" si="25"/>
        <v>10.45205479</v>
      </c>
      <c r="F767" s="51">
        <f t="shared" si="25"/>
        <v>3.92947113</v>
      </c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</row>
    <row r="768" spans="1:28" x14ac:dyDescent="0.15">
      <c r="A768" s="46" t="s">
        <v>1587</v>
      </c>
      <c r="B768" s="52" t="s">
        <v>7361</v>
      </c>
      <c r="C768" s="53" t="s">
        <v>1588</v>
      </c>
      <c r="D768" s="54" t="s">
        <v>8210</v>
      </c>
      <c r="E768" s="50">
        <f t="shared" si="25"/>
        <v>10.46575342</v>
      </c>
      <c r="F768" s="51">
        <f t="shared" si="25"/>
        <v>3.9297498399999999</v>
      </c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</row>
    <row r="769" spans="1:28" x14ac:dyDescent="0.15">
      <c r="A769" s="46" t="s">
        <v>1589</v>
      </c>
      <c r="B769" s="52" t="s">
        <v>7361</v>
      </c>
      <c r="C769" s="53" t="s">
        <v>1590</v>
      </c>
      <c r="D769" s="54" t="s">
        <v>8211</v>
      </c>
      <c r="E769" s="50">
        <f t="shared" si="25"/>
        <v>10.479452050000001</v>
      </c>
      <c r="F769" s="51">
        <f t="shared" si="25"/>
        <v>3.9300179399999999</v>
      </c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</row>
    <row r="770" spans="1:28" x14ac:dyDescent="0.15">
      <c r="A770" s="46" t="s">
        <v>1591</v>
      </c>
      <c r="B770" s="52" t="s">
        <v>7361</v>
      </c>
      <c r="C770" s="53" t="s">
        <v>1592</v>
      </c>
      <c r="D770" s="54" t="s">
        <v>8212</v>
      </c>
      <c r="E770" s="50">
        <f t="shared" si="25"/>
        <v>10.493150679999999</v>
      </c>
      <c r="F770" s="51">
        <f t="shared" si="25"/>
        <v>3.93027433</v>
      </c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</row>
    <row r="771" spans="1:28" x14ac:dyDescent="0.15">
      <c r="A771" s="46" t="s">
        <v>1593</v>
      </c>
      <c r="B771" s="52" t="s">
        <v>7361</v>
      </c>
      <c r="C771" s="53" t="s">
        <v>1594</v>
      </c>
      <c r="D771" s="54" t="s">
        <v>8213</v>
      </c>
      <c r="E771" s="50">
        <f t="shared" si="25"/>
        <v>10.506849320000001</v>
      </c>
      <c r="F771" s="51">
        <f t="shared" si="25"/>
        <v>3.93052556</v>
      </c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</row>
    <row r="772" spans="1:28" x14ac:dyDescent="0.15">
      <c r="A772" s="46" t="s">
        <v>1595</v>
      </c>
      <c r="B772" s="52" t="s">
        <v>7361</v>
      </c>
      <c r="C772" s="53" t="s">
        <v>1596</v>
      </c>
      <c r="D772" s="54" t="s">
        <v>8214</v>
      </c>
      <c r="E772" s="50">
        <f t="shared" si="25"/>
        <v>10.520547949999999</v>
      </c>
      <c r="F772" s="51">
        <f t="shared" si="25"/>
        <v>3.93081602</v>
      </c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</row>
    <row r="773" spans="1:28" x14ac:dyDescent="0.15">
      <c r="A773" s="46" t="s">
        <v>1597</v>
      </c>
      <c r="B773" s="52" t="s">
        <v>7361</v>
      </c>
      <c r="C773" s="53" t="s">
        <v>1598</v>
      </c>
      <c r="D773" s="54" t="s">
        <v>8215</v>
      </c>
      <c r="E773" s="50">
        <f t="shared" ref="E773:F788" si="26">VALUE(C773)</f>
        <v>10.53424658</v>
      </c>
      <c r="F773" s="51">
        <f t="shared" si="26"/>
        <v>3.9311514000000001</v>
      </c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</row>
    <row r="774" spans="1:28" x14ac:dyDescent="0.15">
      <c r="A774" s="46" t="s">
        <v>1599</v>
      </c>
      <c r="B774" s="52" t="s">
        <v>7361</v>
      </c>
      <c r="C774" s="53" t="s">
        <v>1600</v>
      </c>
      <c r="D774" s="54" t="s">
        <v>8216</v>
      </c>
      <c r="E774" s="50">
        <f t="shared" si="26"/>
        <v>10.54794521</v>
      </c>
      <c r="F774" s="51">
        <f t="shared" si="26"/>
        <v>3.9315297500000002</v>
      </c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</row>
    <row r="775" spans="1:28" x14ac:dyDescent="0.15">
      <c r="A775" s="46" t="s">
        <v>1601</v>
      </c>
      <c r="B775" s="52" t="s">
        <v>7361</v>
      </c>
      <c r="C775" s="53" t="s">
        <v>1602</v>
      </c>
      <c r="D775" s="54" t="s">
        <v>8217</v>
      </c>
      <c r="E775" s="50">
        <f t="shared" si="26"/>
        <v>10.56164384</v>
      </c>
      <c r="F775" s="51">
        <f t="shared" si="26"/>
        <v>3.9319490799999999</v>
      </c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</row>
    <row r="776" spans="1:28" x14ac:dyDescent="0.15">
      <c r="A776" s="46" t="s">
        <v>1603</v>
      </c>
      <c r="B776" s="52" t="s">
        <v>7361</v>
      </c>
      <c r="C776" s="53" t="s">
        <v>1604</v>
      </c>
      <c r="D776" s="54" t="s">
        <v>8218</v>
      </c>
      <c r="E776" s="50">
        <f t="shared" si="26"/>
        <v>10.575342470000001</v>
      </c>
      <c r="F776" s="51">
        <f t="shared" si="26"/>
        <v>3.9324074499999999</v>
      </c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</row>
    <row r="777" spans="1:28" x14ac:dyDescent="0.15">
      <c r="A777" s="46" t="s">
        <v>1605</v>
      </c>
      <c r="B777" s="52" t="s">
        <v>7361</v>
      </c>
      <c r="C777" s="53" t="s">
        <v>1606</v>
      </c>
      <c r="D777" s="54" t="s">
        <v>8219</v>
      </c>
      <c r="E777" s="50">
        <f t="shared" si="26"/>
        <v>10.589041099999999</v>
      </c>
      <c r="F777" s="51">
        <f t="shared" si="26"/>
        <v>3.9329028699999999</v>
      </c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</row>
    <row r="778" spans="1:28" x14ac:dyDescent="0.15">
      <c r="A778" s="46" t="s">
        <v>1607</v>
      </c>
      <c r="B778" s="52" t="s">
        <v>7361</v>
      </c>
      <c r="C778" s="53" t="s">
        <v>1608</v>
      </c>
      <c r="D778" s="54" t="s">
        <v>8220</v>
      </c>
      <c r="E778" s="50">
        <f t="shared" si="26"/>
        <v>10.60273973</v>
      </c>
      <c r="F778" s="51">
        <f t="shared" si="26"/>
        <v>3.9334333799999999</v>
      </c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</row>
    <row r="779" spans="1:28" x14ac:dyDescent="0.15">
      <c r="A779" s="46" t="s">
        <v>1609</v>
      </c>
      <c r="B779" s="52" t="s">
        <v>7361</v>
      </c>
      <c r="C779" s="53" t="s">
        <v>1610</v>
      </c>
      <c r="D779" s="54" t="s">
        <v>8221</v>
      </c>
      <c r="E779" s="50">
        <f t="shared" si="26"/>
        <v>10.61643836</v>
      </c>
      <c r="F779" s="51">
        <f t="shared" si="26"/>
        <v>3.9339970100000001</v>
      </c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</row>
    <row r="780" spans="1:28" x14ac:dyDescent="0.15">
      <c r="A780" s="46" t="s">
        <v>1611</v>
      </c>
      <c r="B780" s="52" t="s">
        <v>7361</v>
      </c>
      <c r="C780" s="53" t="s">
        <v>1612</v>
      </c>
      <c r="D780" s="54" t="s">
        <v>8222</v>
      </c>
      <c r="E780" s="50">
        <f t="shared" si="26"/>
        <v>10.63013699</v>
      </c>
      <c r="F780" s="51">
        <f t="shared" si="26"/>
        <v>3.9345917899999998</v>
      </c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</row>
    <row r="781" spans="1:28" x14ac:dyDescent="0.15">
      <c r="A781" s="46" t="s">
        <v>1613</v>
      </c>
      <c r="B781" s="52" t="s">
        <v>7361</v>
      </c>
      <c r="C781" s="53" t="s">
        <v>1614</v>
      </c>
      <c r="D781" s="54" t="s">
        <v>8223</v>
      </c>
      <c r="E781" s="50">
        <f t="shared" si="26"/>
        <v>10.643835620000001</v>
      </c>
      <c r="F781" s="51">
        <f t="shared" si="26"/>
        <v>3.9352157700000001</v>
      </c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</row>
    <row r="782" spans="1:28" x14ac:dyDescent="0.15">
      <c r="A782" s="46" t="s">
        <v>1615</v>
      </c>
      <c r="B782" s="52" t="s">
        <v>7361</v>
      </c>
      <c r="C782" s="53" t="s">
        <v>1616</v>
      </c>
      <c r="D782" s="54" t="s">
        <v>8224</v>
      </c>
      <c r="E782" s="50">
        <f t="shared" si="26"/>
        <v>10.657534249999999</v>
      </c>
      <c r="F782" s="51">
        <f t="shared" si="26"/>
        <v>3.9358669599999998</v>
      </c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</row>
    <row r="783" spans="1:28" x14ac:dyDescent="0.15">
      <c r="A783" s="46" t="s">
        <v>1617</v>
      </c>
      <c r="B783" s="52" t="s">
        <v>7361</v>
      </c>
      <c r="C783" s="53" t="s">
        <v>1618</v>
      </c>
      <c r="D783" s="54" t="s">
        <v>8225</v>
      </c>
      <c r="E783" s="50">
        <f t="shared" si="26"/>
        <v>10.67123288</v>
      </c>
      <c r="F783" s="51">
        <f t="shared" si="26"/>
        <v>3.9365434100000001</v>
      </c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</row>
    <row r="784" spans="1:28" x14ac:dyDescent="0.15">
      <c r="A784" s="46" t="s">
        <v>1619</v>
      </c>
      <c r="B784" s="52" t="s">
        <v>7361</v>
      </c>
      <c r="C784" s="53" t="s">
        <v>1620</v>
      </c>
      <c r="D784" s="54" t="s">
        <v>8226</v>
      </c>
      <c r="E784" s="50">
        <f t="shared" si="26"/>
        <v>10.68493151</v>
      </c>
      <c r="F784" s="51">
        <f t="shared" si="26"/>
        <v>3.9372431300000001</v>
      </c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</row>
    <row r="785" spans="1:28" x14ac:dyDescent="0.15">
      <c r="A785" s="46" t="s">
        <v>1621</v>
      </c>
      <c r="B785" s="52" t="s">
        <v>7361</v>
      </c>
      <c r="C785" s="53" t="s">
        <v>1622</v>
      </c>
      <c r="D785" s="54" t="s">
        <v>8227</v>
      </c>
      <c r="E785" s="50">
        <f t="shared" si="26"/>
        <v>10.698630140000001</v>
      </c>
      <c r="F785" s="51">
        <f t="shared" si="26"/>
        <v>3.9379641799999998</v>
      </c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</row>
    <row r="786" spans="1:28" x14ac:dyDescent="0.15">
      <c r="A786" s="46" t="s">
        <v>1623</v>
      </c>
      <c r="B786" s="52" t="s">
        <v>7361</v>
      </c>
      <c r="C786" s="53" t="s">
        <v>1624</v>
      </c>
      <c r="D786" s="54" t="s">
        <v>8228</v>
      </c>
      <c r="E786" s="50">
        <f t="shared" si="26"/>
        <v>10.712328769999999</v>
      </c>
      <c r="F786" s="51">
        <f t="shared" si="26"/>
        <v>3.9387045700000001</v>
      </c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</row>
    <row r="787" spans="1:28" x14ac:dyDescent="0.15">
      <c r="A787" s="46" t="s">
        <v>1625</v>
      </c>
      <c r="B787" s="52" t="s">
        <v>7361</v>
      </c>
      <c r="C787" s="53" t="s">
        <v>1626</v>
      </c>
      <c r="D787" s="54" t="s">
        <v>8229</v>
      </c>
      <c r="E787" s="50">
        <f t="shared" si="26"/>
        <v>10.7260274</v>
      </c>
      <c r="F787" s="51">
        <f t="shared" si="26"/>
        <v>3.9394623499999999</v>
      </c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</row>
    <row r="788" spans="1:28" x14ac:dyDescent="0.15">
      <c r="A788" s="46" t="s">
        <v>1627</v>
      </c>
      <c r="B788" s="52" t="s">
        <v>7361</v>
      </c>
      <c r="C788" s="53" t="s">
        <v>1628</v>
      </c>
      <c r="D788" s="54" t="s">
        <v>8230</v>
      </c>
      <c r="E788" s="50">
        <f t="shared" si="26"/>
        <v>10.73972603</v>
      </c>
      <c r="F788" s="51">
        <f t="shared" si="26"/>
        <v>3.9402355299999998</v>
      </c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</row>
    <row r="789" spans="1:28" x14ac:dyDescent="0.15">
      <c r="A789" s="46" t="s">
        <v>1629</v>
      </c>
      <c r="B789" s="52" t="s">
        <v>7361</v>
      </c>
      <c r="C789" s="53" t="s">
        <v>1630</v>
      </c>
      <c r="D789" s="54" t="s">
        <v>8231</v>
      </c>
      <c r="E789" s="50">
        <f t="shared" ref="E789:F819" si="27">VALUE(C789)</f>
        <v>10.75342466</v>
      </c>
      <c r="F789" s="51">
        <f t="shared" si="27"/>
        <v>3.9410221700000001</v>
      </c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</row>
    <row r="790" spans="1:28" x14ac:dyDescent="0.15">
      <c r="A790" s="46" t="s">
        <v>1631</v>
      </c>
      <c r="B790" s="52" t="s">
        <v>7361</v>
      </c>
      <c r="C790" s="53" t="s">
        <v>1632</v>
      </c>
      <c r="D790" s="54" t="s">
        <v>8232</v>
      </c>
      <c r="E790" s="50">
        <f t="shared" si="27"/>
        <v>10.767123290000001</v>
      </c>
      <c r="F790" s="51">
        <f t="shared" si="27"/>
        <v>3.94182028</v>
      </c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</row>
    <row r="791" spans="1:28" x14ac:dyDescent="0.15">
      <c r="A791" s="46" t="s">
        <v>1633</v>
      </c>
      <c r="B791" s="52" t="s">
        <v>7361</v>
      </c>
      <c r="C791" s="53" t="s">
        <v>1634</v>
      </c>
      <c r="D791" s="54" t="s">
        <v>8233</v>
      </c>
      <c r="E791" s="50">
        <f t="shared" si="27"/>
        <v>10.780821919999999</v>
      </c>
      <c r="F791" s="51">
        <f t="shared" si="27"/>
        <v>3.9426279000000002</v>
      </c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</row>
    <row r="792" spans="1:28" x14ac:dyDescent="0.15">
      <c r="A792" s="46" t="s">
        <v>1635</v>
      </c>
      <c r="B792" s="52" t="s">
        <v>7361</v>
      </c>
      <c r="C792" s="53" t="s">
        <v>1636</v>
      </c>
      <c r="D792" s="54" t="s">
        <v>8234</v>
      </c>
      <c r="E792" s="50">
        <f t="shared" si="27"/>
        <v>10.79452055</v>
      </c>
      <c r="F792" s="51">
        <f t="shared" si="27"/>
        <v>3.9434430699999998</v>
      </c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</row>
    <row r="793" spans="1:28" x14ac:dyDescent="0.15">
      <c r="A793" s="46" t="s">
        <v>1637</v>
      </c>
      <c r="B793" s="52" t="s">
        <v>7361</v>
      </c>
      <c r="C793" s="53" t="s">
        <v>1638</v>
      </c>
      <c r="D793" s="54" t="s">
        <v>8235</v>
      </c>
      <c r="E793" s="50">
        <f t="shared" si="27"/>
        <v>10.80821918</v>
      </c>
      <c r="F793" s="51">
        <f t="shared" si="27"/>
        <v>3.9442638099999998</v>
      </c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</row>
    <row r="794" spans="1:28" x14ac:dyDescent="0.15">
      <c r="A794" s="46" t="s">
        <v>1639</v>
      </c>
      <c r="B794" s="52" t="s">
        <v>7361</v>
      </c>
      <c r="C794" s="53" t="s">
        <v>1640</v>
      </c>
      <c r="D794" s="54" t="s">
        <v>8236</v>
      </c>
      <c r="E794" s="50">
        <f t="shared" si="27"/>
        <v>10.82191781</v>
      </c>
      <c r="F794" s="51">
        <f t="shared" si="27"/>
        <v>3.9450881500000001</v>
      </c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</row>
    <row r="795" spans="1:28" x14ac:dyDescent="0.15">
      <c r="A795" s="46" t="s">
        <v>1641</v>
      </c>
      <c r="B795" s="52" t="s">
        <v>7361</v>
      </c>
      <c r="C795" s="53" t="s">
        <v>1642</v>
      </c>
      <c r="D795" s="54" t="s">
        <v>8237</v>
      </c>
      <c r="E795" s="50">
        <f t="shared" si="27"/>
        <v>10.835616440000001</v>
      </c>
      <c r="F795" s="51">
        <f t="shared" si="27"/>
        <v>3.9459141400000002</v>
      </c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</row>
    <row r="796" spans="1:28" x14ac:dyDescent="0.15">
      <c r="A796" s="46" t="s">
        <v>1643</v>
      </c>
      <c r="B796" s="52" t="s">
        <v>7361</v>
      </c>
      <c r="C796" s="53" t="s">
        <v>1644</v>
      </c>
      <c r="D796" s="54" t="s">
        <v>8238</v>
      </c>
      <c r="E796" s="50">
        <f t="shared" si="27"/>
        <v>10.849315069999999</v>
      </c>
      <c r="F796" s="51">
        <f t="shared" si="27"/>
        <v>3.9467398</v>
      </c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</row>
    <row r="797" spans="1:28" x14ac:dyDescent="0.15">
      <c r="A797" s="46" t="s">
        <v>1645</v>
      </c>
      <c r="B797" s="52" t="s">
        <v>7361</v>
      </c>
      <c r="C797" s="53" t="s">
        <v>1646</v>
      </c>
      <c r="D797" s="54" t="s">
        <v>8239</v>
      </c>
      <c r="E797" s="50">
        <f t="shared" si="27"/>
        <v>10.8630137</v>
      </c>
      <c r="F797" s="51">
        <f t="shared" si="27"/>
        <v>3.9475631600000001</v>
      </c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</row>
    <row r="798" spans="1:28" x14ac:dyDescent="0.15">
      <c r="A798" s="46" t="s">
        <v>1647</v>
      </c>
      <c r="B798" s="52" t="s">
        <v>7361</v>
      </c>
      <c r="C798" s="53" t="s">
        <v>1648</v>
      </c>
      <c r="D798" s="54" t="s">
        <v>8240</v>
      </c>
      <c r="E798" s="50">
        <f t="shared" si="27"/>
        <v>10.87671233</v>
      </c>
      <c r="F798" s="51">
        <f t="shared" si="27"/>
        <v>3.9483822599999998</v>
      </c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</row>
    <row r="799" spans="1:28" x14ac:dyDescent="0.15">
      <c r="A799" s="46" t="s">
        <v>1649</v>
      </c>
      <c r="B799" s="52" t="s">
        <v>7361</v>
      </c>
      <c r="C799" s="53" t="s">
        <v>1650</v>
      </c>
      <c r="D799" s="54" t="s">
        <v>8241</v>
      </c>
      <c r="E799" s="50">
        <f t="shared" si="27"/>
        <v>10.890410960000001</v>
      </c>
      <c r="F799" s="51">
        <f t="shared" si="27"/>
        <v>3.9491951300000001</v>
      </c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</row>
    <row r="800" spans="1:28" x14ac:dyDescent="0.15">
      <c r="A800" s="46" t="s">
        <v>1651</v>
      </c>
      <c r="B800" s="52" t="s">
        <v>7361</v>
      </c>
      <c r="C800" s="53" t="s">
        <v>1652</v>
      </c>
      <c r="D800" s="54" t="s">
        <v>8242</v>
      </c>
      <c r="E800" s="50">
        <f t="shared" si="27"/>
        <v>10.904109589999999</v>
      </c>
      <c r="F800" s="51">
        <f t="shared" si="27"/>
        <v>3.9499998000000001</v>
      </c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</row>
    <row r="801" spans="1:28" x14ac:dyDescent="0.15">
      <c r="A801" s="46" t="s">
        <v>1653</v>
      </c>
      <c r="B801" s="52" t="s">
        <v>7361</v>
      </c>
      <c r="C801" s="53" t="s">
        <v>1654</v>
      </c>
      <c r="D801" s="54" t="s">
        <v>8243</v>
      </c>
      <c r="E801" s="50">
        <f t="shared" si="27"/>
        <v>10.91780822</v>
      </c>
      <c r="F801" s="51">
        <f t="shared" si="27"/>
        <v>3.9507943000000001</v>
      </c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</row>
    <row r="802" spans="1:28" x14ac:dyDescent="0.15">
      <c r="A802" s="46" t="s">
        <v>1655</v>
      </c>
      <c r="B802" s="52" t="s">
        <v>7361</v>
      </c>
      <c r="C802" s="53" t="s">
        <v>1656</v>
      </c>
      <c r="D802" s="54" t="s">
        <v>8244</v>
      </c>
      <c r="E802" s="50">
        <f t="shared" si="27"/>
        <v>10.93150685</v>
      </c>
      <c r="F802" s="51">
        <f t="shared" si="27"/>
        <v>3.9515766700000001</v>
      </c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</row>
    <row r="803" spans="1:28" x14ac:dyDescent="0.15">
      <c r="A803" s="46" t="s">
        <v>1657</v>
      </c>
      <c r="B803" s="52" t="s">
        <v>7361</v>
      </c>
      <c r="C803" s="53" t="s">
        <v>1658</v>
      </c>
      <c r="D803" s="54" t="s">
        <v>8245</v>
      </c>
      <c r="E803" s="50">
        <f t="shared" si="27"/>
        <v>10.94520548</v>
      </c>
      <c r="F803" s="51">
        <f t="shared" si="27"/>
        <v>3.9523449400000001</v>
      </c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</row>
    <row r="804" spans="1:28" x14ac:dyDescent="0.15">
      <c r="A804" s="46" t="s">
        <v>1659</v>
      </c>
      <c r="B804" s="52" t="s">
        <v>7361</v>
      </c>
      <c r="C804" s="53" t="s">
        <v>1660</v>
      </c>
      <c r="D804" s="54" t="s">
        <v>8246</v>
      </c>
      <c r="E804" s="50">
        <f t="shared" si="27"/>
        <v>10.958904110000001</v>
      </c>
      <c r="F804" s="51">
        <f t="shared" si="27"/>
        <v>3.9530971400000001</v>
      </c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</row>
    <row r="805" spans="1:28" x14ac:dyDescent="0.15">
      <c r="A805" s="46" t="s">
        <v>1661</v>
      </c>
      <c r="B805" s="52" t="s">
        <v>7361</v>
      </c>
      <c r="C805" s="53" t="s">
        <v>1662</v>
      </c>
      <c r="D805" s="54" t="s">
        <v>8247</v>
      </c>
      <c r="E805" s="50">
        <f t="shared" si="27"/>
        <v>10.972602739999999</v>
      </c>
      <c r="F805" s="51">
        <f t="shared" si="27"/>
        <v>3.95383131</v>
      </c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</row>
    <row r="806" spans="1:28" x14ac:dyDescent="0.15">
      <c r="A806" s="46" t="s">
        <v>1663</v>
      </c>
      <c r="B806" s="52" t="s">
        <v>7361</v>
      </c>
      <c r="C806" s="53" t="s">
        <v>1664</v>
      </c>
      <c r="D806" s="54" t="s">
        <v>8248</v>
      </c>
      <c r="E806" s="50">
        <f t="shared" si="27"/>
        <v>10.98630137</v>
      </c>
      <c r="F806" s="51">
        <f t="shared" si="27"/>
        <v>3.9545454599999998</v>
      </c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</row>
    <row r="807" spans="1:28" x14ac:dyDescent="0.15">
      <c r="A807" s="46" t="s">
        <v>1665</v>
      </c>
      <c r="B807" s="52" t="s">
        <v>7361</v>
      </c>
      <c r="C807" s="53" t="s">
        <v>1666</v>
      </c>
      <c r="D807" s="54" t="s">
        <v>8249</v>
      </c>
      <c r="E807" s="50">
        <f t="shared" si="27"/>
        <v>11</v>
      </c>
      <c r="F807" s="51">
        <f t="shared" si="27"/>
        <v>3.9552376499999999</v>
      </c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</row>
    <row r="808" spans="1:28" x14ac:dyDescent="0.15">
      <c r="A808" s="46" t="s">
        <v>1667</v>
      </c>
      <c r="B808" s="52" t="s">
        <v>7361</v>
      </c>
      <c r="C808" s="53" t="s">
        <v>1668</v>
      </c>
      <c r="D808" s="54" t="s">
        <v>8250</v>
      </c>
      <c r="E808" s="50">
        <f t="shared" si="27"/>
        <v>11.01369863</v>
      </c>
      <c r="F808" s="51">
        <f t="shared" si="27"/>
        <v>3.9559368699999999</v>
      </c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</row>
    <row r="809" spans="1:28" x14ac:dyDescent="0.15">
      <c r="A809" s="46" t="s">
        <v>1669</v>
      </c>
      <c r="B809" s="52" t="s">
        <v>7361</v>
      </c>
      <c r="C809" s="53" t="s">
        <v>1670</v>
      </c>
      <c r="D809" s="54" t="s">
        <v>8251</v>
      </c>
      <c r="E809" s="50">
        <f t="shared" si="27"/>
        <v>11.027397260000001</v>
      </c>
      <c r="F809" s="51">
        <f t="shared" si="27"/>
        <v>3.9566724099999999</v>
      </c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</row>
    <row r="810" spans="1:28" x14ac:dyDescent="0.15">
      <c r="A810" s="46" t="s">
        <v>1671</v>
      </c>
      <c r="B810" s="52" t="s">
        <v>7361</v>
      </c>
      <c r="C810" s="53" t="s">
        <v>1672</v>
      </c>
      <c r="D810" s="54" t="s">
        <v>8252</v>
      </c>
      <c r="E810" s="50">
        <f t="shared" si="27"/>
        <v>11.041095889999999</v>
      </c>
      <c r="F810" s="51">
        <f t="shared" si="27"/>
        <v>3.95744271</v>
      </c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</row>
    <row r="811" spans="1:28" x14ac:dyDescent="0.15">
      <c r="A811" s="46" t="s">
        <v>1673</v>
      </c>
      <c r="B811" s="52" t="s">
        <v>7361</v>
      </c>
      <c r="C811" s="53" t="s">
        <v>1674</v>
      </c>
      <c r="D811" s="54" t="s">
        <v>8253</v>
      </c>
      <c r="E811" s="50">
        <f t="shared" si="27"/>
        <v>11.05479452</v>
      </c>
      <c r="F811" s="51">
        <f t="shared" si="27"/>
        <v>3.9582462199999999</v>
      </c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</row>
    <row r="812" spans="1:28" x14ac:dyDescent="0.15">
      <c r="A812" s="46" t="s">
        <v>1675</v>
      </c>
      <c r="B812" s="52" t="s">
        <v>7361</v>
      </c>
      <c r="C812" s="53" t="s">
        <v>1676</v>
      </c>
      <c r="D812" s="54" t="s">
        <v>8254</v>
      </c>
      <c r="E812" s="50">
        <f t="shared" si="27"/>
        <v>11.06849315</v>
      </c>
      <c r="F812" s="51">
        <f t="shared" si="27"/>
        <v>3.9590813699999998</v>
      </c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</row>
    <row r="813" spans="1:28" x14ac:dyDescent="0.15">
      <c r="A813" s="46" t="s">
        <v>1677</v>
      </c>
      <c r="B813" s="52" t="s">
        <v>7361</v>
      </c>
      <c r="C813" s="53" t="s">
        <v>1678</v>
      </c>
      <c r="D813" s="54" t="s">
        <v>8255</v>
      </c>
      <c r="E813" s="50">
        <f t="shared" si="27"/>
        <v>11.08219178</v>
      </c>
      <c r="F813" s="51">
        <f t="shared" si="27"/>
        <v>3.9599466200000002</v>
      </c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</row>
    <row r="814" spans="1:28" x14ac:dyDescent="0.15">
      <c r="A814" s="46" t="s">
        <v>1679</v>
      </c>
      <c r="B814" s="52" t="s">
        <v>7361</v>
      </c>
      <c r="C814" s="53" t="s">
        <v>1680</v>
      </c>
      <c r="D814" s="54" t="s">
        <v>8256</v>
      </c>
      <c r="E814" s="50">
        <f t="shared" si="27"/>
        <v>11.095890410000001</v>
      </c>
      <c r="F814" s="51">
        <f t="shared" si="27"/>
        <v>3.9608403999999999</v>
      </c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</row>
    <row r="815" spans="1:28" x14ac:dyDescent="0.15">
      <c r="A815" s="46" t="s">
        <v>1681</v>
      </c>
      <c r="B815" s="52" t="s">
        <v>7361</v>
      </c>
      <c r="C815" s="53" t="s">
        <v>1682</v>
      </c>
      <c r="D815" s="54" t="s">
        <v>8257</v>
      </c>
      <c r="E815" s="50">
        <f t="shared" si="27"/>
        <v>11.109589039999999</v>
      </c>
      <c r="F815" s="51">
        <f t="shared" si="27"/>
        <v>3.96176116</v>
      </c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</row>
    <row r="816" spans="1:28" x14ac:dyDescent="0.15">
      <c r="A816" s="46" t="s">
        <v>1683</v>
      </c>
      <c r="B816" s="52" t="s">
        <v>7361</v>
      </c>
      <c r="C816" s="53" t="s">
        <v>1684</v>
      </c>
      <c r="D816" s="54" t="s">
        <v>8258</v>
      </c>
      <c r="E816" s="50">
        <f t="shared" si="27"/>
        <v>11.12328767</v>
      </c>
      <c r="F816" s="51">
        <f t="shared" si="27"/>
        <v>3.9627073400000001</v>
      </c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</row>
    <row r="817" spans="1:28" x14ac:dyDescent="0.15">
      <c r="A817" s="46" t="s">
        <v>1685</v>
      </c>
      <c r="B817" s="52" t="s">
        <v>7361</v>
      </c>
      <c r="C817" s="53" t="s">
        <v>1686</v>
      </c>
      <c r="D817" s="54" t="s">
        <v>8259</v>
      </c>
      <c r="E817" s="50">
        <f t="shared" si="27"/>
        <v>11.1369863</v>
      </c>
      <c r="F817" s="51">
        <f t="shared" si="27"/>
        <v>3.96367739</v>
      </c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</row>
    <row r="818" spans="1:28" x14ac:dyDescent="0.15">
      <c r="A818" s="46" t="s">
        <v>1687</v>
      </c>
      <c r="B818" s="52" t="s">
        <v>7361</v>
      </c>
      <c r="C818" s="53" t="s">
        <v>1688</v>
      </c>
      <c r="D818" s="54" t="s">
        <v>8260</v>
      </c>
      <c r="E818" s="50">
        <f t="shared" si="27"/>
        <v>11.150684930000001</v>
      </c>
      <c r="F818" s="51">
        <f t="shared" si="27"/>
        <v>3.9646697500000001</v>
      </c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</row>
    <row r="819" spans="1:28" x14ac:dyDescent="0.15">
      <c r="A819" s="46" t="s">
        <v>1689</v>
      </c>
      <c r="B819" s="52" t="s">
        <v>7361</v>
      </c>
      <c r="C819" s="53" t="s">
        <v>1690</v>
      </c>
      <c r="D819" s="54" t="s">
        <v>8261</v>
      </c>
      <c r="E819" s="50">
        <f t="shared" si="27"/>
        <v>11.164383559999999</v>
      </c>
      <c r="F819" s="51">
        <f t="shared" si="27"/>
        <v>3.9656828599999998</v>
      </c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</row>
    <row r="820" spans="1:28" x14ac:dyDescent="0.15">
      <c r="A820" s="46" t="s">
        <v>1691</v>
      </c>
      <c r="B820" s="52" t="s">
        <v>7361</v>
      </c>
      <c r="C820" s="53" t="s">
        <v>1692</v>
      </c>
      <c r="D820" s="54" t="s">
        <v>8262</v>
      </c>
      <c r="E820" s="50">
        <f t="shared" ref="E820:F849" si="28">VALUE(C820)</f>
        <v>11.17808219</v>
      </c>
      <c r="F820" s="51">
        <f t="shared" si="28"/>
        <v>3.9667151700000001</v>
      </c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</row>
    <row r="821" spans="1:28" x14ac:dyDescent="0.15">
      <c r="A821" s="46" t="s">
        <v>1693</v>
      </c>
      <c r="B821" s="52" t="s">
        <v>7361</v>
      </c>
      <c r="C821" s="53" t="s">
        <v>1694</v>
      </c>
      <c r="D821" s="54" t="s">
        <v>8263</v>
      </c>
      <c r="E821" s="50">
        <f t="shared" si="28"/>
        <v>11.19178082</v>
      </c>
      <c r="F821" s="51">
        <f t="shared" si="28"/>
        <v>3.9677651200000001</v>
      </c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</row>
    <row r="822" spans="1:28" x14ac:dyDescent="0.15">
      <c r="A822" s="46" t="s">
        <v>1695</v>
      </c>
      <c r="B822" s="52" t="s">
        <v>7361</v>
      </c>
      <c r="C822" s="53" t="s">
        <v>1696</v>
      </c>
      <c r="D822" s="54" t="s">
        <v>8264</v>
      </c>
      <c r="E822" s="50">
        <f t="shared" si="28"/>
        <v>11.20547945</v>
      </c>
      <c r="F822" s="51">
        <f t="shared" si="28"/>
        <v>3.9688311500000002</v>
      </c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</row>
    <row r="823" spans="1:28" x14ac:dyDescent="0.15">
      <c r="A823" s="46" t="s">
        <v>1697</v>
      </c>
      <c r="B823" s="52" t="s">
        <v>7361</v>
      </c>
      <c r="C823" s="53" t="s">
        <v>1698</v>
      </c>
      <c r="D823" s="54" t="s">
        <v>8265</v>
      </c>
      <c r="E823" s="50">
        <f t="shared" si="28"/>
        <v>11.219178080000001</v>
      </c>
      <c r="F823" s="51">
        <f t="shared" si="28"/>
        <v>3.9699117099999999</v>
      </c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</row>
    <row r="824" spans="1:28" x14ac:dyDescent="0.15">
      <c r="A824" s="46" t="s">
        <v>1699</v>
      </c>
      <c r="B824" s="52" t="s">
        <v>7361</v>
      </c>
      <c r="C824" s="53" t="s">
        <v>1700</v>
      </c>
      <c r="D824" s="54" t="s">
        <v>8266</v>
      </c>
      <c r="E824" s="50">
        <f t="shared" si="28"/>
        <v>11.232876709999999</v>
      </c>
      <c r="F824" s="51">
        <f t="shared" si="28"/>
        <v>3.9710052400000002</v>
      </c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</row>
    <row r="825" spans="1:28" x14ac:dyDescent="0.15">
      <c r="A825" s="46" t="s">
        <v>1701</v>
      </c>
      <c r="B825" s="52" t="s">
        <v>7361</v>
      </c>
      <c r="C825" s="53" t="s">
        <v>1702</v>
      </c>
      <c r="D825" s="54" t="s">
        <v>8267</v>
      </c>
      <c r="E825" s="50">
        <f t="shared" si="28"/>
        <v>11.24657534</v>
      </c>
      <c r="F825" s="51">
        <f t="shared" si="28"/>
        <v>3.97211018</v>
      </c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</row>
    <row r="826" spans="1:28" x14ac:dyDescent="0.15">
      <c r="A826" s="46" t="s">
        <v>1703</v>
      </c>
      <c r="B826" s="52" t="s">
        <v>7361</v>
      </c>
      <c r="C826" s="53" t="s">
        <v>1704</v>
      </c>
      <c r="D826" s="54" t="s">
        <v>8268</v>
      </c>
      <c r="E826" s="50">
        <f t="shared" si="28"/>
        <v>11.26027397</v>
      </c>
      <c r="F826" s="51">
        <f t="shared" si="28"/>
        <v>3.9732249799999999</v>
      </c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</row>
    <row r="827" spans="1:28" x14ac:dyDescent="0.15">
      <c r="A827" s="46" t="s">
        <v>1705</v>
      </c>
      <c r="B827" s="52" t="s">
        <v>7361</v>
      </c>
      <c r="C827" s="53" t="s">
        <v>1706</v>
      </c>
      <c r="D827" s="54" t="s">
        <v>8269</v>
      </c>
      <c r="E827" s="50">
        <f t="shared" si="28"/>
        <v>11.2739726</v>
      </c>
      <c r="F827" s="51">
        <f t="shared" si="28"/>
        <v>3.9743480799999999</v>
      </c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</row>
    <row r="828" spans="1:28" x14ac:dyDescent="0.15">
      <c r="A828" s="46" t="s">
        <v>1707</v>
      </c>
      <c r="B828" s="52" t="s">
        <v>7361</v>
      </c>
      <c r="C828" s="53" t="s">
        <v>1708</v>
      </c>
      <c r="D828" s="54" t="s">
        <v>8270</v>
      </c>
      <c r="E828" s="50">
        <f t="shared" si="28"/>
        <v>11.287671230000001</v>
      </c>
      <c r="F828" s="51">
        <f t="shared" si="28"/>
        <v>3.9754779299999998</v>
      </c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</row>
    <row r="829" spans="1:28" x14ac:dyDescent="0.15">
      <c r="A829" s="46" t="s">
        <v>1709</v>
      </c>
      <c r="B829" s="52" t="s">
        <v>7361</v>
      </c>
      <c r="C829" s="53" t="s">
        <v>1710</v>
      </c>
      <c r="D829" s="54" t="s">
        <v>8271</v>
      </c>
      <c r="E829" s="50">
        <f t="shared" si="28"/>
        <v>11.301369859999999</v>
      </c>
      <c r="F829" s="51">
        <f t="shared" si="28"/>
        <v>3.9766129700000001</v>
      </c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</row>
    <row r="830" spans="1:28" x14ac:dyDescent="0.15">
      <c r="A830" s="46" t="s">
        <v>1711</v>
      </c>
      <c r="B830" s="52" t="s">
        <v>7361</v>
      </c>
      <c r="C830" s="53" t="s">
        <v>1712</v>
      </c>
      <c r="D830" s="54" t="s">
        <v>8272</v>
      </c>
      <c r="E830" s="50">
        <f t="shared" si="28"/>
        <v>11.31506849</v>
      </c>
      <c r="F830" s="51">
        <f t="shared" si="28"/>
        <v>3.9777516300000002</v>
      </c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</row>
    <row r="831" spans="1:28" x14ac:dyDescent="0.15">
      <c r="A831" s="46" t="s">
        <v>1713</v>
      </c>
      <c r="B831" s="52" t="s">
        <v>7361</v>
      </c>
      <c r="C831" s="53" t="s">
        <v>1714</v>
      </c>
      <c r="D831" s="54" t="s">
        <v>8273</v>
      </c>
      <c r="E831" s="50">
        <f t="shared" si="28"/>
        <v>11.32876712</v>
      </c>
      <c r="F831" s="51">
        <f t="shared" si="28"/>
        <v>3.97889238</v>
      </c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</row>
    <row r="832" spans="1:28" x14ac:dyDescent="0.15">
      <c r="A832" s="46" t="s">
        <v>1715</v>
      </c>
      <c r="B832" s="52" t="s">
        <v>7361</v>
      </c>
      <c r="C832" s="53" t="s">
        <v>1716</v>
      </c>
      <c r="D832" s="54" t="s">
        <v>8274</v>
      </c>
      <c r="E832" s="50">
        <f t="shared" si="28"/>
        <v>11.342465750000001</v>
      </c>
      <c r="F832" s="51">
        <f t="shared" si="28"/>
        <v>3.9800336399999998</v>
      </c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</row>
    <row r="833" spans="1:28" x14ac:dyDescent="0.15">
      <c r="A833" s="46" t="s">
        <v>1717</v>
      </c>
      <c r="B833" s="52" t="s">
        <v>7361</v>
      </c>
      <c r="C833" s="53" t="s">
        <v>1718</v>
      </c>
      <c r="D833" s="54" t="s">
        <v>8275</v>
      </c>
      <c r="E833" s="50">
        <f t="shared" si="28"/>
        <v>11.356164379999999</v>
      </c>
      <c r="F833" s="51">
        <f t="shared" si="28"/>
        <v>3.9811738600000002</v>
      </c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</row>
    <row r="834" spans="1:28" x14ac:dyDescent="0.15">
      <c r="A834" s="46" t="s">
        <v>1719</v>
      </c>
      <c r="B834" s="52" t="s">
        <v>7361</v>
      </c>
      <c r="C834" s="53" t="s">
        <v>1720</v>
      </c>
      <c r="D834" s="54" t="s">
        <v>8276</v>
      </c>
      <c r="E834" s="50">
        <f t="shared" si="28"/>
        <v>11.36986301</v>
      </c>
      <c r="F834" s="51">
        <f t="shared" si="28"/>
        <v>3.9823114899999998</v>
      </c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</row>
    <row r="835" spans="1:28" x14ac:dyDescent="0.15">
      <c r="A835" s="46" t="s">
        <v>1721</v>
      </c>
      <c r="B835" s="52" t="s">
        <v>7361</v>
      </c>
      <c r="C835" s="53" t="s">
        <v>1722</v>
      </c>
      <c r="D835" s="54" t="s">
        <v>8277</v>
      </c>
      <c r="E835" s="50">
        <f t="shared" si="28"/>
        <v>11.38356164</v>
      </c>
      <c r="F835" s="51">
        <f t="shared" si="28"/>
        <v>3.9834449699999999</v>
      </c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</row>
    <row r="836" spans="1:28" x14ac:dyDescent="0.15">
      <c r="A836" s="46" t="s">
        <v>1723</v>
      </c>
      <c r="B836" s="52" t="s">
        <v>7361</v>
      </c>
      <c r="C836" s="53" t="s">
        <v>1724</v>
      </c>
      <c r="D836" s="54" t="s">
        <v>8278</v>
      </c>
      <c r="E836" s="50">
        <f t="shared" si="28"/>
        <v>11.39726027</v>
      </c>
      <c r="F836" s="51">
        <f t="shared" si="28"/>
        <v>3.9845727399999999</v>
      </c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</row>
    <row r="837" spans="1:28" x14ac:dyDescent="0.15">
      <c r="A837" s="46" t="s">
        <v>1725</v>
      </c>
      <c r="B837" s="52" t="s">
        <v>7361</v>
      </c>
      <c r="C837" s="53" t="s">
        <v>1726</v>
      </c>
      <c r="D837" s="54" t="s">
        <v>8279</v>
      </c>
      <c r="E837" s="50">
        <f t="shared" si="28"/>
        <v>11.410958900000001</v>
      </c>
      <c r="F837" s="51">
        <f t="shared" si="28"/>
        <v>3.9856932500000002</v>
      </c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</row>
    <row r="838" spans="1:28" x14ac:dyDescent="0.15">
      <c r="A838" s="46" t="s">
        <v>1727</v>
      </c>
      <c r="B838" s="52" t="s">
        <v>7361</v>
      </c>
      <c r="C838" s="53" t="s">
        <v>1728</v>
      </c>
      <c r="D838" s="54" t="s">
        <v>8280</v>
      </c>
      <c r="E838" s="50">
        <f t="shared" si="28"/>
        <v>11.424657529999999</v>
      </c>
      <c r="F838" s="51">
        <f t="shared" si="28"/>
        <v>3.9868049399999999</v>
      </c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</row>
    <row r="839" spans="1:28" x14ac:dyDescent="0.15">
      <c r="A839" s="46" t="s">
        <v>1729</v>
      </c>
      <c r="B839" s="52" t="s">
        <v>7361</v>
      </c>
      <c r="C839" s="53" t="s">
        <v>1730</v>
      </c>
      <c r="D839" s="54" t="s">
        <v>8281</v>
      </c>
      <c r="E839" s="50">
        <f t="shared" si="28"/>
        <v>11.43835616</v>
      </c>
      <c r="F839" s="51">
        <f t="shared" si="28"/>
        <v>3.98790625</v>
      </c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</row>
    <row r="840" spans="1:28" x14ac:dyDescent="0.15">
      <c r="A840" s="46" t="s">
        <v>1731</v>
      </c>
      <c r="B840" s="52" t="s">
        <v>7361</v>
      </c>
      <c r="C840" s="53" t="s">
        <v>1732</v>
      </c>
      <c r="D840" s="54" t="s">
        <v>8282</v>
      </c>
      <c r="E840" s="50">
        <f t="shared" si="28"/>
        <v>11.45205479</v>
      </c>
      <c r="F840" s="51">
        <f t="shared" si="28"/>
        <v>3.9889956299999998</v>
      </c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</row>
    <row r="841" spans="1:28" x14ac:dyDescent="0.15">
      <c r="A841" s="46" t="s">
        <v>1733</v>
      </c>
      <c r="B841" s="52" t="s">
        <v>7361</v>
      </c>
      <c r="C841" s="53" t="s">
        <v>1734</v>
      </c>
      <c r="D841" s="54" t="s">
        <v>8283</v>
      </c>
      <c r="E841" s="50">
        <f t="shared" si="28"/>
        <v>11.46575342</v>
      </c>
      <c r="F841" s="51">
        <f t="shared" si="28"/>
        <v>3.9900715199999999</v>
      </c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</row>
    <row r="842" spans="1:28" x14ac:dyDescent="0.15">
      <c r="A842" s="46" t="s">
        <v>1735</v>
      </c>
      <c r="B842" s="52" t="s">
        <v>7361</v>
      </c>
      <c r="C842" s="53" t="s">
        <v>1736</v>
      </c>
      <c r="D842" s="54" t="s">
        <v>8284</v>
      </c>
      <c r="E842" s="50">
        <f t="shared" si="28"/>
        <v>11.479452050000001</v>
      </c>
      <c r="F842" s="51">
        <f t="shared" si="28"/>
        <v>3.9911323599999999</v>
      </c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</row>
    <row r="843" spans="1:28" x14ac:dyDescent="0.15">
      <c r="A843" s="46" t="s">
        <v>1737</v>
      </c>
      <c r="B843" s="52" t="s">
        <v>7361</v>
      </c>
      <c r="C843" s="53" t="s">
        <v>1738</v>
      </c>
      <c r="D843" s="54" t="s">
        <v>8285</v>
      </c>
      <c r="E843" s="50">
        <f t="shared" si="28"/>
        <v>11.493150679999999</v>
      </c>
      <c r="F843" s="51">
        <f t="shared" si="28"/>
        <v>3.9921766000000001</v>
      </c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</row>
    <row r="844" spans="1:28" x14ac:dyDescent="0.15">
      <c r="A844" s="46" t="s">
        <v>1739</v>
      </c>
      <c r="B844" s="52" t="s">
        <v>7361</v>
      </c>
      <c r="C844" s="53" t="s">
        <v>1740</v>
      </c>
      <c r="D844" s="54" t="s">
        <v>8286</v>
      </c>
      <c r="E844" s="50">
        <f t="shared" si="28"/>
        <v>11.506849320000001</v>
      </c>
      <c r="F844" s="51">
        <f t="shared" si="28"/>
        <v>3.99320852</v>
      </c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</row>
    <row r="845" spans="1:28" x14ac:dyDescent="0.15">
      <c r="A845" s="46" t="s">
        <v>1741</v>
      </c>
      <c r="B845" s="52" t="s">
        <v>7361</v>
      </c>
      <c r="C845" s="53" t="s">
        <v>1742</v>
      </c>
      <c r="D845" s="54" t="s">
        <v>8287</v>
      </c>
      <c r="E845" s="50">
        <f t="shared" si="28"/>
        <v>11.520547949999999</v>
      </c>
      <c r="F845" s="51">
        <f t="shared" si="28"/>
        <v>3.9942617600000001</v>
      </c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</row>
    <row r="846" spans="1:28" x14ac:dyDescent="0.15">
      <c r="A846" s="46" t="s">
        <v>1743</v>
      </c>
      <c r="B846" s="52" t="s">
        <v>7361</v>
      </c>
      <c r="C846" s="53" t="s">
        <v>1744</v>
      </c>
      <c r="D846" s="54" t="s">
        <v>8288</v>
      </c>
      <c r="E846" s="50">
        <f t="shared" si="28"/>
        <v>11.53424658</v>
      </c>
      <c r="F846" s="51">
        <f t="shared" si="28"/>
        <v>3.9953409899999999</v>
      </c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</row>
    <row r="847" spans="1:28" x14ac:dyDescent="0.15">
      <c r="A847" s="46" t="s">
        <v>1745</v>
      </c>
      <c r="B847" s="52" t="s">
        <v>7361</v>
      </c>
      <c r="C847" s="53" t="s">
        <v>1746</v>
      </c>
      <c r="D847" s="54" t="s">
        <v>8289</v>
      </c>
      <c r="E847" s="50">
        <f t="shared" si="28"/>
        <v>11.54794521</v>
      </c>
      <c r="F847" s="51">
        <f t="shared" si="28"/>
        <v>3.99644507</v>
      </c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</row>
    <row r="848" spans="1:28" x14ac:dyDescent="0.15">
      <c r="A848" s="46" t="s">
        <v>1747</v>
      </c>
      <c r="B848" s="52" t="s">
        <v>7361</v>
      </c>
      <c r="C848" s="53" t="s">
        <v>1748</v>
      </c>
      <c r="D848" s="54" t="s">
        <v>8290</v>
      </c>
      <c r="E848" s="50">
        <f t="shared" si="28"/>
        <v>11.56164384</v>
      </c>
      <c r="F848" s="51">
        <f t="shared" si="28"/>
        <v>3.9975728799999999</v>
      </c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</row>
    <row r="849" spans="1:28" x14ac:dyDescent="0.15">
      <c r="A849" s="46" t="s">
        <v>1749</v>
      </c>
      <c r="B849" s="52" t="s">
        <v>7361</v>
      </c>
      <c r="C849" s="53" t="s">
        <v>1750</v>
      </c>
      <c r="D849" s="54" t="s">
        <v>8291</v>
      </c>
      <c r="E849" s="50">
        <f t="shared" si="28"/>
        <v>11.575342470000001</v>
      </c>
      <c r="F849" s="51">
        <f t="shared" si="28"/>
        <v>3.9987232700000002</v>
      </c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</row>
    <row r="850" spans="1:28" x14ac:dyDescent="0.15">
      <c r="A850" s="46" t="s">
        <v>1751</v>
      </c>
      <c r="B850" s="52" t="s">
        <v>7361</v>
      </c>
      <c r="C850" s="53" t="s">
        <v>1752</v>
      </c>
      <c r="D850" s="54" t="s">
        <v>8292</v>
      </c>
      <c r="E850" s="50">
        <f t="shared" ref="E850:F880" si="29">VALUE(C850)</f>
        <v>11.589041099999999</v>
      </c>
      <c r="F850" s="51">
        <f t="shared" si="29"/>
        <v>3.9998950899999999</v>
      </c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</row>
    <row r="851" spans="1:28" x14ac:dyDescent="0.15">
      <c r="A851" s="46" t="s">
        <v>1753</v>
      </c>
      <c r="B851" s="52" t="s">
        <v>7361</v>
      </c>
      <c r="C851" s="53" t="s">
        <v>1754</v>
      </c>
      <c r="D851" s="54" t="s">
        <v>8293</v>
      </c>
      <c r="E851" s="50">
        <f t="shared" si="29"/>
        <v>11.60273973</v>
      </c>
      <c r="F851" s="51">
        <f t="shared" si="29"/>
        <v>4.0010872300000004</v>
      </c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</row>
    <row r="852" spans="1:28" x14ac:dyDescent="0.15">
      <c r="A852" s="46" t="s">
        <v>1755</v>
      </c>
      <c r="B852" s="52" t="s">
        <v>7361</v>
      </c>
      <c r="C852" s="53" t="s">
        <v>1756</v>
      </c>
      <c r="D852" s="54" t="s">
        <v>8294</v>
      </c>
      <c r="E852" s="50">
        <f t="shared" si="29"/>
        <v>11.61643836</v>
      </c>
      <c r="F852" s="51">
        <f t="shared" si="29"/>
        <v>4.0022985200000001</v>
      </c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</row>
    <row r="853" spans="1:28" x14ac:dyDescent="0.15">
      <c r="A853" s="46" t="s">
        <v>1757</v>
      </c>
      <c r="B853" s="52" t="s">
        <v>7361</v>
      </c>
      <c r="C853" s="53" t="s">
        <v>1758</v>
      </c>
      <c r="D853" s="54" t="s">
        <v>8295</v>
      </c>
      <c r="E853" s="50">
        <f t="shared" si="29"/>
        <v>11.63013699</v>
      </c>
      <c r="F853" s="51">
        <f t="shared" si="29"/>
        <v>4.0035278400000003</v>
      </c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</row>
    <row r="854" spans="1:28" x14ac:dyDescent="0.15">
      <c r="A854" s="46" t="s">
        <v>1759</v>
      </c>
      <c r="B854" s="52" t="s">
        <v>7361</v>
      </c>
      <c r="C854" s="53" t="s">
        <v>1760</v>
      </c>
      <c r="D854" s="54" t="s">
        <v>8296</v>
      </c>
      <c r="E854" s="50">
        <f t="shared" si="29"/>
        <v>11.643835620000001</v>
      </c>
      <c r="F854" s="51">
        <f t="shared" si="29"/>
        <v>4.0047740599999999</v>
      </c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</row>
    <row r="855" spans="1:28" x14ac:dyDescent="0.15">
      <c r="A855" s="46" t="s">
        <v>1761</v>
      </c>
      <c r="B855" s="52" t="s">
        <v>7361</v>
      </c>
      <c r="C855" s="53" t="s">
        <v>1762</v>
      </c>
      <c r="D855" s="54" t="s">
        <v>8297</v>
      </c>
      <c r="E855" s="50">
        <f t="shared" si="29"/>
        <v>11.657534249999999</v>
      </c>
      <c r="F855" s="51">
        <f t="shared" si="29"/>
        <v>4.0060360199999998</v>
      </c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</row>
    <row r="856" spans="1:28" x14ac:dyDescent="0.15">
      <c r="A856" s="46" t="s">
        <v>1763</v>
      </c>
      <c r="B856" s="52" t="s">
        <v>7361</v>
      </c>
      <c r="C856" s="53" t="s">
        <v>1764</v>
      </c>
      <c r="D856" s="54" t="s">
        <v>8298</v>
      </c>
      <c r="E856" s="50">
        <f t="shared" si="29"/>
        <v>11.67123288</v>
      </c>
      <c r="F856" s="51">
        <f t="shared" si="29"/>
        <v>4.0073125899999997</v>
      </c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</row>
    <row r="857" spans="1:28" x14ac:dyDescent="0.15">
      <c r="A857" s="46" t="s">
        <v>1765</v>
      </c>
      <c r="B857" s="52" t="s">
        <v>7361</v>
      </c>
      <c r="C857" s="53" t="s">
        <v>1766</v>
      </c>
      <c r="D857" s="54" t="s">
        <v>8299</v>
      </c>
      <c r="E857" s="50">
        <f t="shared" si="29"/>
        <v>11.68493151</v>
      </c>
      <c r="F857" s="51">
        <f t="shared" si="29"/>
        <v>4.0086026300000004</v>
      </c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</row>
    <row r="858" spans="1:28" x14ac:dyDescent="0.15">
      <c r="A858" s="46" t="s">
        <v>1767</v>
      </c>
      <c r="B858" s="52" t="s">
        <v>7361</v>
      </c>
      <c r="C858" s="53" t="s">
        <v>1768</v>
      </c>
      <c r="D858" s="54" t="s">
        <v>8300</v>
      </c>
      <c r="E858" s="50">
        <f t="shared" si="29"/>
        <v>11.698630140000001</v>
      </c>
      <c r="F858" s="51">
        <f t="shared" si="29"/>
        <v>4.0099050099999998</v>
      </c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</row>
    <row r="859" spans="1:28" x14ac:dyDescent="0.15">
      <c r="A859" s="46" t="s">
        <v>1769</v>
      </c>
      <c r="B859" s="52" t="s">
        <v>7361</v>
      </c>
      <c r="C859" s="53" t="s">
        <v>1770</v>
      </c>
      <c r="D859" s="54" t="s">
        <v>8301</v>
      </c>
      <c r="E859" s="50">
        <f t="shared" si="29"/>
        <v>11.712328769999999</v>
      </c>
      <c r="F859" s="51">
        <f t="shared" si="29"/>
        <v>4.0112185800000004</v>
      </c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</row>
    <row r="860" spans="1:28" x14ac:dyDescent="0.15">
      <c r="A860" s="46" t="s">
        <v>1771</v>
      </c>
      <c r="B860" s="52" t="s">
        <v>7361</v>
      </c>
      <c r="C860" s="53" t="s">
        <v>1772</v>
      </c>
      <c r="D860" s="54" t="s">
        <v>8302</v>
      </c>
      <c r="E860" s="50">
        <f t="shared" si="29"/>
        <v>11.7260274</v>
      </c>
      <c r="F860" s="51">
        <f t="shared" si="29"/>
        <v>4.0125422100000003</v>
      </c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</row>
    <row r="861" spans="1:28" x14ac:dyDescent="0.15">
      <c r="A861" s="46" t="s">
        <v>1773</v>
      </c>
      <c r="B861" s="52" t="s">
        <v>7361</v>
      </c>
      <c r="C861" s="53" t="s">
        <v>1774</v>
      </c>
      <c r="D861" s="54" t="s">
        <v>8303</v>
      </c>
      <c r="E861" s="50">
        <f t="shared" si="29"/>
        <v>11.73972603</v>
      </c>
      <c r="F861" s="51">
        <f t="shared" si="29"/>
        <v>4.0138747600000002</v>
      </c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</row>
    <row r="862" spans="1:28" x14ac:dyDescent="0.15">
      <c r="A862" s="46" t="s">
        <v>1775</v>
      </c>
      <c r="B862" s="52" t="s">
        <v>7361</v>
      </c>
      <c r="C862" s="53" t="s">
        <v>1776</v>
      </c>
      <c r="D862" s="54" t="s">
        <v>8304</v>
      </c>
      <c r="E862" s="50">
        <f t="shared" si="29"/>
        <v>11.75342466</v>
      </c>
      <c r="F862" s="51">
        <f t="shared" si="29"/>
        <v>4.0152150799999999</v>
      </c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</row>
    <row r="863" spans="1:28" x14ac:dyDescent="0.15">
      <c r="A863" s="46" t="s">
        <v>1777</v>
      </c>
      <c r="B863" s="52" t="s">
        <v>7361</v>
      </c>
      <c r="C863" s="53" t="s">
        <v>1778</v>
      </c>
      <c r="D863" s="54" t="s">
        <v>8305</v>
      </c>
      <c r="E863" s="50">
        <f t="shared" si="29"/>
        <v>11.767123290000001</v>
      </c>
      <c r="F863" s="51">
        <f t="shared" si="29"/>
        <v>4.0165620500000001</v>
      </c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</row>
    <row r="864" spans="1:28" x14ac:dyDescent="0.15">
      <c r="A864" s="46" t="s">
        <v>1779</v>
      </c>
      <c r="B864" s="52" t="s">
        <v>7361</v>
      </c>
      <c r="C864" s="53" t="s">
        <v>1780</v>
      </c>
      <c r="D864" s="54" t="s">
        <v>8306</v>
      </c>
      <c r="E864" s="50">
        <f t="shared" si="29"/>
        <v>11.780821919999999</v>
      </c>
      <c r="F864" s="51">
        <f t="shared" si="29"/>
        <v>4.0179145199999997</v>
      </c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</row>
    <row r="865" spans="1:28" x14ac:dyDescent="0.15">
      <c r="A865" s="46" t="s">
        <v>1781</v>
      </c>
      <c r="B865" s="52" t="s">
        <v>7361</v>
      </c>
      <c r="C865" s="53" t="s">
        <v>1782</v>
      </c>
      <c r="D865" s="54" t="s">
        <v>8307</v>
      </c>
      <c r="E865" s="50">
        <f t="shared" si="29"/>
        <v>11.79452055</v>
      </c>
      <c r="F865" s="51">
        <f t="shared" si="29"/>
        <v>4.0192713600000003</v>
      </c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</row>
    <row r="866" spans="1:28" x14ac:dyDescent="0.15">
      <c r="A866" s="46" t="s">
        <v>1783</v>
      </c>
      <c r="B866" s="52" t="s">
        <v>7361</v>
      </c>
      <c r="C866" s="53" t="s">
        <v>1784</v>
      </c>
      <c r="D866" s="54" t="s">
        <v>8308</v>
      </c>
      <c r="E866" s="50">
        <f t="shared" si="29"/>
        <v>11.80821918</v>
      </c>
      <c r="F866" s="51">
        <f t="shared" si="29"/>
        <v>4.02063142</v>
      </c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</row>
    <row r="867" spans="1:28" x14ac:dyDescent="0.15">
      <c r="A867" s="46" t="s">
        <v>1785</v>
      </c>
      <c r="B867" s="52" t="s">
        <v>7361</v>
      </c>
      <c r="C867" s="53" t="s">
        <v>1786</v>
      </c>
      <c r="D867" s="54" t="s">
        <v>8309</v>
      </c>
      <c r="E867" s="50">
        <f t="shared" si="29"/>
        <v>11.82191781</v>
      </c>
      <c r="F867" s="51">
        <f t="shared" si="29"/>
        <v>4.0219935700000002</v>
      </c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</row>
    <row r="868" spans="1:28" x14ac:dyDescent="0.15">
      <c r="A868" s="46" t="s">
        <v>1787</v>
      </c>
      <c r="B868" s="52" t="s">
        <v>7361</v>
      </c>
      <c r="C868" s="53" t="s">
        <v>1788</v>
      </c>
      <c r="D868" s="54" t="s">
        <v>8310</v>
      </c>
      <c r="E868" s="50">
        <f t="shared" si="29"/>
        <v>11.835616440000001</v>
      </c>
      <c r="F868" s="51">
        <f t="shared" si="29"/>
        <v>4.0233566700000001</v>
      </c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</row>
    <row r="869" spans="1:28" x14ac:dyDescent="0.15">
      <c r="A869" s="46" t="s">
        <v>1789</v>
      </c>
      <c r="B869" s="52" t="s">
        <v>7361</v>
      </c>
      <c r="C869" s="53" t="s">
        <v>1790</v>
      </c>
      <c r="D869" s="54" t="s">
        <v>8311</v>
      </c>
      <c r="E869" s="50">
        <f t="shared" si="29"/>
        <v>11.849315069999999</v>
      </c>
      <c r="F869" s="51">
        <f t="shared" si="29"/>
        <v>4.0247195700000002</v>
      </c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</row>
    <row r="870" spans="1:28" x14ac:dyDescent="0.15">
      <c r="A870" s="46" t="s">
        <v>1791</v>
      </c>
      <c r="B870" s="52" t="s">
        <v>7361</v>
      </c>
      <c r="C870" s="53" t="s">
        <v>1792</v>
      </c>
      <c r="D870" s="54" t="s">
        <v>8312</v>
      </c>
      <c r="E870" s="50">
        <f t="shared" si="29"/>
        <v>11.8630137</v>
      </c>
      <c r="F870" s="51">
        <f t="shared" si="29"/>
        <v>4.0260811500000004</v>
      </c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</row>
    <row r="871" spans="1:28" x14ac:dyDescent="0.15">
      <c r="A871" s="46" t="s">
        <v>1793</v>
      </c>
      <c r="B871" s="52" t="s">
        <v>7361</v>
      </c>
      <c r="C871" s="53" t="s">
        <v>1794</v>
      </c>
      <c r="D871" s="54" t="s">
        <v>8313</v>
      </c>
      <c r="E871" s="50">
        <f t="shared" si="29"/>
        <v>11.87671233</v>
      </c>
      <c r="F871" s="51">
        <f t="shared" si="29"/>
        <v>4.0274402699999996</v>
      </c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</row>
    <row r="872" spans="1:28" x14ac:dyDescent="0.15">
      <c r="A872" s="46" t="s">
        <v>1795</v>
      </c>
      <c r="B872" s="52" t="s">
        <v>7361</v>
      </c>
      <c r="C872" s="53" t="s">
        <v>1796</v>
      </c>
      <c r="D872" s="54" t="s">
        <v>8314</v>
      </c>
      <c r="E872" s="50">
        <f t="shared" si="29"/>
        <v>11.890410960000001</v>
      </c>
      <c r="F872" s="51">
        <f t="shared" si="29"/>
        <v>4.0287957700000003</v>
      </c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</row>
    <row r="873" spans="1:28" x14ac:dyDescent="0.15">
      <c r="A873" s="46" t="s">
        <v>1797</v>
      </c>
      <c r="B873" s="52" t="s">
        <v>7361</v>
      </c>
      <c r="C873" s="53" t="s">
        <v>1798</v>
      </c>
      <c r="D873" s="54" t="s">
        <v>8315</v>
      </c>
      <c r="E873" s="50">
        <f t="shared" si="29"/>
        <v>11.904109589999999</v>
      </c>
      <c r="F873" s="51">
        <f t="shared" si="29"/>
        <v>4.0301465399999996</v>
      </c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</row>
    <row r="874" spans="1:28" x14ac:dyDescent="0.15">
      <c r="A874" s="46" t="s">
        <v>1799</v>
      </c>
      <c r="B874" s="52" t="s">
        <v>7361</v>
      </c>
      <c r="C874" s="53" t="s">
        <v>1800</v>
      </c>
      <c r="D874" s="54" t="s">
        <v>8316</v>
      </c>
      <c r="E874" s="50">
        <f t="shared" si="29"/>
        <v>11.91780822</v>
      </c>
      <c r="F874" s="51">
        <f t="shared" si="29"/>
        <v>4.03149142</v>
      </c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</row>
    <row r="875" spans="1:28" x14ac:dyDescent="0.15">
      <c r="A875" s="46" t="s">
        <v>1801</v>
      </c>
      <c r="B875" s="52" t="s">
        <v>7361</v>
      </c>
      <c r="C875" s="53" t="s">
        <v>1802</v>
      </c>
      <c r="D875" s="54" t="s">
        <v>8317</v>
      </c>
      <c r="E875" s="50">
        <f t="shared" si="29"/>
        <v>11.93150685</v>
      </c>
      <c r="F875" s="51">
        <f t="shared" si="29"/>
        <v>4.0328292799999996</v>
      </c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</row>
    <row r="876" spans="1:28" x14ac:dyDescent="0.15">
      <c r="A876" s="46" t="s">
        <v>1803</v>
      </c>
      <c r="B876" s="52" t="s">
        <v>7361</v>
      </c>
      <c r="C876" s="53" t="s">
        <v>1804</v>
      </c>
      <c r="D876" s="54" t="s">
        <v>8318</v>
      </c>
      <c r="E876" s="50">
        <f t="shared" si="29"/>
        <v>11.94520548</v>
      </c>
      <c r="F876" s="51">
        <f t="shared" si="29"/>
        <v>4.0341589799999999</v>
      </c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</row>
    <row r="877" spans="1:28" x14ac:dyDescent="0.15">
      <c r="A877" s="46" t="s">
        <v>1805</v>
      </c>
      <c r="B877" s="52" t="s">
        <v>7361</v>
      </c>
      <c r="C877" s="53" t="s">
        <v>1806</v>
      </c>
      <c r="D877" s="54" t="s">
        <v>8319</v>
      </c>
      <c r="E877" s="50">
        <f t="shared" si="29"/>
        <v>11.958904110000001</v>
      </c>
      <c r="F877" s="51">
        <f t="shared" si="29"/>
        <v>4.0354793799999999</v>
      </c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</row>
    <row r="878" spans="1:28" x14ac:dyDescent="0.15">
      <c r="A878" s="46" t="s">
        <v>1807</v>
      </c>
      <c r="B878" s="52" t="s">
        <v>7361</v>
      </c>
      <c r="C878" s="53" t="s">
        <v>1808</v>
      </c>
      <c r="D878" s="54" t="s">
        <v>8320</v>
      </c>
      <c r="E878" s="50">
        <f t="shared" si="29"/>
        <v>11.972602739999999</v>
      </c>
      <c r="F878" s="51">
        <f t="shared" si="29"/>
        <v>4.0367893500000003</v>
      </c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</row>
    <row r="879" spans="1:28" x14ac:dyDescent="0.15">
      <c r="A879" s="46" t="s">
        <v>1809</v>
      </c>
      <c r="B879" s="52" t="s">
        <v>7361</v>
      </c>
      <c r="C879" s="53" t="s">
        <v>1810</v>
      </c>
      <c r="D879" s="54" t="s">
        <v>8321</v>
      </c>
      <c r="E879" s="50">
        <f t="shared" si="29"/>
        <v>11.98630137</v>
      </c>
      <c r="F879" s="51">
        <f t="shared" si="29"/>
        <v>4.0380877399999999</v>
      </c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</row>
    <row r="880" spans="1:28" x14ac:dyDescent="0.15">
      <c r="A880" s="46" t="s">
        <v>1811</v>
      </c>
      <c r="B880" s="52" t="s">
        <v>7361</v>
      </c>
      <c r="C880" s="53" t="s">
        <v>1812</v>
      </c>
      <c r="D880" s="54" t="s">
        <v>8322</v>
      </c>
      <c r="E880" s="50">
        <f t="shared" si="29"/>
        <v>12</v>
      </c>
      <c r="F880" s="51">
        <f t="shared" si="29"/>
        <v>4.0393734200000004</v>
      </c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</row>
    <row r="881" spans="1:28" x14ac:dyDescent="0.15">
      <c r="A881" s="46" t="s">
        <v>1813</v>
      </c>
      <c r="B881" s="52" t="s">
        <v>7361</v>
      </c>
      <c r="C881" s="53" t="s">
        <v>1814</v>
      </c>
      <c r="D881" s="54" t="s">
        <v>8323</v>
      </c>
      <c r="E881" s="50">
        <f t="shared" ref="E881:F910" si="30">VALUE(C881)</f>
        <v>12.01369863</v>
      </c>
      <c r="F881" s="51">
        <f t="shared" si="30"/>
        <v>4.0406608500000001</v>
      </c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</row>
    <row r="882" spans="1:28" x14ac:dyDescent="0.15">
      <c r="A882" s="46" t="s">
        <v>1815</v>
      </c>
      <c r="B882" s="52" t="s">
        <v>7361</v>
      </c>
      <c r="C882" s="53" t="s">
        <v>1816</v>
      </c>
      <c r="D882" s="54" t="s">
        <v>8324</v>
      </c>
      <c r="E882" s="50">
        <f t="shared" si="30"/>
        <v>12.027397260000001</v>
      </c>
      <c r="F882" s="51">
        <f t="shared" si="30"/>
        <v>4.0419647999999997</v>
      </c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</row>
    <row r="883" spans="1:28" x14ac:dyDescent="0.15">
      <c r="A883" s="46" t="s">
        <v>1817</v>
      </c>
      <c r="B883" s="52" t="s">
        <v>7361</v>
      </c>
      <c r="C883" s="53" t="s">
        <v>1818</v>
      </c>
      <c r="D883" s="54" t="s">
        <v>8325</v>
      </c>
      <c r="E883" s="50">
        <f t="shared" si="30"/>
        <v>12.041095889999999</v>
      </c>
      <c r="F883" s="51">
        <f t="shared" si="30"/>
        <v>4.0432845400000001</v>
      </c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</row>
    <row r="884" spans="1:28" x14ac:dyDescent="0.15">
      <c r="A884" s="46" t="s">
        <v>1819</v>
      </c>
      <c r="B884" s="52" t="s">
        <v>7361</v>
      </c>
      <c r="C884" s="53" t="s">
        <v>1820</v>
      </c>
      <c r="D884" s="54" t="s">
        <v>8326</v>
      </c>
      <c r="E884" s="50">
        <f t="shared" si="30"/>
        <v>12.05479452</v>
      </c>
      <c r="F884" s="51">
        <f t="shared" si="30"/>
        <v>4.0446193800000003</v>
      </c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</row>
    <row r="885" spans="1:28" x14ac:dyDescent="0.15">
      <c r="A885" s="46" t="s">
        <v>1821</v>
      </c>
      <c r="B885" s="52" t="s">
        <v>7361</v>
      </c>
      <c r="C885" s="53" t="s">
        <v>1822</v>
      </c>
      <c r="D885" s="54" t="s">
        <v>8327</v>
      </c>
      <c r="E885" s="50">
        <f t="shared" si="30"/>
        <v>12.06849315</v>
      </c>
      <c r="F885" s="51">
        <f t="shared" si="30"/>
        <v>4.0459686000000001</v>
      </c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</row>
    <row r="886" spans="1:28" x14ac:dyDescent="0.15">
      <c r="A886" s="46" t="s">
        <v>1823</v>
      </c>
      <c r="B886" s="52" t="s">
        <v>7361</v>
      </c>
      <c r="C886" s="53" t="s">
        <v>1824</v>
      </c>
      <c r="D886" s="54" t="s">
        <v>8328</v>
      </c>
      <c r="E886" s="50">
        <f t="shared" si="30"/>
        <v>12.08219178</v>
      </c>
      <c r="F886" s="51">
        <f t="shared" si="30"/>
        <v>4.0473315000000003</v>
      </c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</row>
    <row r="887" spans="1:28" x14ac:dyDescent="0.15">
      <c r="A887" s="46" t="s">
        <v>1825</v>
      </c>
      <c r="B887" s="52" t="s">
        <v>7361</v>
      </c>
      <c r="C887" s="53" t="s">
        <v>1826</v>
      </c>
      <c r="D887" s="54" t="s">
        <v>8329</v>
      </c>
      <c r="E887" s="50">
        <f t="shared" si="30"/>
        <v>12.095890410000001</v>
      </c>
      <c r="F887" s="51">
        <f t="shared" si="30"/>
        <v>4.0487073799999997</v>
      </c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</row>
    <row r="888" spans="1:28" x14ac:dyDescent="0.15">
      <c r="A888" s="46" t="s">
        <v>1827</v>
      </c>
      <c r="B888" s="52" t="s">
        <v>7361</v>
      </c>
      <c r="C888" s="53" t="s">
        <v>1828</v>
      </c>
      <c r="D888" s="54" t="s">
        <v>8330</v>
      </c>
      <c r="E888" s="50">
        <f t="shared" si="30"/>
        <v>12.109589039999999</v>
      </c>
      <c r="F888" s="51">
        <f t="shared" si="30"/>
        <v>4.0500955200000002</v>
      </c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</row>
    <row r="889" spans="1:28" x14ac:dyDescent="0.15">
      <c r="A889" s="46" t="s">
        <v>1829</v>
      </c>
      <c r="B889" s="52" t="s">
        <v>7361</v>
      </c>
      <c r="C889" s="53" t="s">
        <v>1830</v>
      </c>
      <c r="D889" s="54" t="s">
        <v>8331</v>
      </c>
      <c r="E889" s="50">
        <f t="shared" si="30"/>
        <v>12.12328767</v>
      </c>
      <c r="F889" s="51">
        <f t="shared" si="30"/>
        <v>4.0514952099999997</v>
      </c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</row>
    <row r="890" spans="1:28" x14ac:dyDescent="0.15">
      <c r="A890" s="46" t="s">
        <v>1831</v>
      </c>
      <c r="B890" s="52" t="s">
        <v>7361</v>
      </c>
      <c r="C890" s="53" t="s">
        <v>1832</v>
      </c>
      <c r="D890" s="54" t="s">
        <v>8332</v>
      </c>
      <c r="E890" s="50">
        <f t="shared" si="30"/>
        <v>12.1369863</v>
      </c>
      <c r="F890" s="51">
        <f t="shared" si="30"/>
        <v>4.0529057499999999</v>
      </c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</row>
    <row r="891" spans="1:28" x14ac:dyDescent="0.15">
      <c r="A891" s="46" t="s">
        <v>1833</v>
      </c>
      <c r="B891" s="52" t="s">
        <v>7361</v>
      </c>
      <c r="C891" s="53" t="s">
        <v>1834</v>
      </c>
      <c r="D891" s="54" t="s">
        <v>8333</v>
      </c>
      <c r="E891" s="50">
        <f t="shared" si="30"/>
        <v>12.150684930000001</v>
      </c>
      <c r="F891" s="51">
        <f t="shared" si="30"/>
        <v>4.0543264399999996</v>
      </c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</row>
    <row r="892" spans="1:28" x14ac:dyDescent="0.15">
      <c r="A892" s="46" t="s">
        <v>1835</v>
      </c>
      <c r="B892" s="52" t="s">
        <v>7361</v>
      </c>
      <c r="C892" s="53" t="s">
        <v>1836</v>
      </c>
      <c r="D892" s="54" t="s">
        <v>8334</v>
      </c>
      <c r="E892" s="50">
        <f t="shared" si="30"/>
        <v>12.164383559999999</v>
      </c>
      <c r="F892" s="51">
        <f t="shared" si="30"/>
        <v>4.0557565599999998</v>
      </c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</row>
    <row r="893" spans="1:28" x14ac:dyDescent="0.15">
      <c r="A893" s="46" t="s">
        <v>1837</v>
      </c>
      <c r="B893" s="52" t="s">
        <v>7361</v>
      </c>
      <c r="C893" s="53" t="s">
        <v>1838</v>
      </c>
      <c r="D893" s="54" t="s">
        <v>8335</v>
      </c>
      <c r="E893" s="50">
        <f t="shared" si="30"/>
        <v>12.17808219</v>
      </c>
      <c r="F893" s="51">
        <f t="shared" si="30"/>
        <v>4.0571954000000003</v>
      </c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</row>
    <row r="894" spans="1:28" x14ac:dyDescent="0.15">
      <c r="A894" s="46" t="s">
        <v>1839</v>
      </c>
      <c r="B894" s="52" t="s">
        <v>7361</v>
      </c>
      <c r="C894" s="53" t="s">
        <v>1840</v>
      </c>
      <c r="D894" s="54" t="s">
        <v>8336</v>
      </c>
      <c r="E894" s="50">
        <f t="shared" si="30"/>
        <v>12.19178082</v>
      </c>
      <c r="F894" s="51">
        <f t="shared" si="30"/>
        <v>4.05864227</v>
      </c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</row>
    <row r="895" spans="1:28" x14ac:dyDescent="0.15">
      <c r="A895" s="46" t="s">
        <v>1841</v>
      </c>
      <c r="B895" s="52" t="s">
        <v>7361</v>
      </c>
      <c r="C895" s="53" t="s">
        <v>1842</v>
      </c>
      <c r="D895" s="54" t="s">
        <v>8337</v>
      </c>
      <c r="E895" s="50">
        <f t="shared" si="30"/>
        <v>12.20547945</v>
      </c>
      <c r="F895" s="51">
        <f t="shared" si="30"/>
        <v>4.0600964399999997</v>
      </c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</row>
    <row r="896" spans="1:28" x14ac:dyDescent="0.15">
      <c r="A896" s="46" t="s">
        <v>1843</v>
      </c>
      <c r="B896" s="52" t="s">
        <v>7361</v>
      </c>
      <c r="C896" s="53" t="s">
        <v>1844</v>
      </c>
      <c r="D896" s="54" t="s">
        <v>8338</v>
      </c>
      <c r="E896" s="50">
        <f t="shared" si="30"/>
        <v>12.219178080000001</v>
      </c>
      <c r="F896" s="51">
        <f t="shared" si="30"/>
        <v>4.0615572200000001</v>
      </c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</row>
    <row r="897" spans="1:28" x14ac:dyDescent="0.15">
      <c r="A897" s="46" t="s">
        <v>1845</v>
      </c>
      <c r="B897" s="52" t="s">
        <v>7361</v>
      </c>
      <c r="C897" s="53" t="s">
        <v>1846</v>
      </c>
      <c r="D897" s="54" t="s">
        <v>8339</v>
      </c>
      <c r="E897" s="50">
        <f t="shared" si="30"/>
        <v>12.232876709999999</v>
      </c>
      <c r="F897" s="51">
        <f t="shared" si="30"/>
        <v>4.0630238900000002</v>
      </c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</row>
    <row r="898" spans="1:28" x14ac:dyDescent="0.15">
      <c r="A898" s="46" t="s">
        <v>1847</v>
      </c>
      <c r="B898" s="52" t="s">
        <v>7361</v>
      </c>
      <c r="C898" s="53" t="s">
        <v>1848</v>
      </c>
      <c r="D898" s="54" t="s">
        <v>8340</v>
      </c>
      <c r="E898" s="50">
        <f t="shared" si="30"/>
        <v>12.24657534</v>
      </c>
      <c r="F898" s="51">
        <f t="shared" si="30"/>
        <v>4.0644957599999998</v>
      </c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</row>
    <row r="899" spans="1:28" x14ac:dyDescent="0.15">
      <c r="A899" s="46" t="s">
        <v>1849</v>
      </c>
      <c r="B899" s="52" t="s">
        <v>7361</v>
      </c>
      <c r="C899" s="53" t="s">
        <v>1850</v>
      </c>
      <c r="D899" s="54" t="s">
        <v>8341</v>
      </c>
      <c r="E899" s="50">
        <f t="shared" si="30"/>
        <v>12.26027397</v>
      </c>
      <c r="F899" s="51">
        <f t="shared" si="30"/>
        <v>4.0659720999999998</v>
      </c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</row>
    <row r="900" spans="1:28" x14ac:dyDescent="0.15">
      <c r="A900" s="46" t="s">
        <v>1851</v>
      </c>
      <c r="B900" s="52" t="s">
        <v>7361</v>
      </c>
      <c r="C900" s="53" t="s">
        <v>1852</v>
      </c>
      <c r="D900" s="54" t="s">
        <v>8342</v>
      </c>
      <c r="E900" s="50">
        <f t="shared" si="30"/>
        <v>12.2739726</v>
      </c>
      <c r="F900" s="51">
        <f t="shared" si="30"/>
        <v>4.0674522199999998</v>
      </c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</row>
    <row r="901" spans="1:28" x14ac:dyDescent="0.15">
      <c r="A901" s="46" t="s">
        <v>1853</v>
      </c>
      <c r="B901" s="52" t="s">
        <v>7361</v>
      </c>
      <c r="C901" s="53" t="s">
        <v>1854</v>
      </c>
      <c r="D901" s="54" t="s">
        <v>8343</v>
      </c>
      <c r="E901" s="50">
        <f t="shared" si="30"/>
        <v>12.287671230000001</v>
      </c>
      <c r="F901" s="51">
        <f t="shared" si="30"/>
        <v>4.0689354</v>
      </c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</row>
    <row r="902" spans="1:28" x14ac:dyDescent="0.15">
      <c r="A902" s="46" t="s">
        <v>1855</v>
      </c>
      <c r="B902" s="52" t="s">
        <v>7361</v>
      </c>
      <c r="C902" s="53" t="s">
        <v>1856</v>
      </c>
      <c r="D902" s="54" t="s">
        <v>8344</v>
      </c>
      <c r="E902" s="50">
        <f t="shared" si="30"/>
        <v>12.301369859999999</v>
      </c>
      <c r="F902" s="51">
        <f t="shared" si="30"/>
        <v>4.07042094</v>
      </c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</row>
    <row r="903" spans="1:28" x14ac:dyDescent="0.15">
      <c r="A903" s="46" t="s">
        <v>1857</v>
      </c>
      <c r="B903" s="52" t="s">
        <v>7361</v>
      </c>
      <c r="C903" s="53" t="s">
        <v>1858</v>
      </c>
      <c r="D903" s="54" t="s">
        <v>8345</v>
      </c>
      <c r="E903" s="50">
        <f t="shared" si="30"/>
        <v>12.31506849</v>
      </c>
      <c r="F903" s="51">
        <f t="shared" si="30"/>
        <v>4.0719081299999997</v>
      </c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</row>
    <row r="904" spans="1:28" x14ac:dyDescent="0.15">
      <c r="A904" s="46" t="s">
        <v>1859</v>
      </c>
      <c r="B904" s="52" t="s">
        <v>7361</v>
      </c>
      <c r="C904" s="53" t="s">
        <v>1860</v>
      </c>
      <c r="D904" s="54" t="s">
        <v>8346</v>
      </c>
      <c r="E904" s="50">
        <f t="shared" si="30"/>
        <v>12.32876712</v>
      </c>
      <c r="F904" s="51">
        <f t="shared" si="30"/>
        <v>4.0733962699999999</v>
      </c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</row>
    <row r="905" spans="1:28" x14ac:dyDescent="0.15">
      <c r="A905" s="46" t="s">
        <v>1861</v>
      </c>
      <c r="B905" s="52" t="s">
        <v>7361</v>
      </c>
      <c r="C905" s="53" t="s">
        <v>1862</v>
      </c>
      <c r="D905" s="54" t="s">
        <v>8347</v>
      </c>
      <c r="E905" s="50">
        <f t="shared" si="30"/>
        <v>12.342465750000001</v>
      </c>
      <c r="F905" s="51">
        <f t="shared" si="30"/>
        <v>4.0748846399999996</v>
      </c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</row>
    <row r="906" spans="1:28" x14ac:dyDescent="0.15">
      <c r="A906" s="46" t="s">
        <v>1863</v>
      </c>
      <c r="B906" s="52" t="s">
        <v>7361</v>
      </c>
      <c r="C906" s="53" t="s">
        <v>1864</v>
      </c>
      <c r="D906" s="54" t="s">
        <v>8348</v>
      </c>
      <c r="E906" s="50">
        <f t="shared" si="30"/>
        <v>12.356164379999999</v>
      </c>
      <c r="F906" s="51">
        <f t="shared" si="30"/>
        <v>4.0763725400000004</v>
      </c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</row>
    <row r="907" spans="1:28" x14ac:dyDescent="0.15">
      <c r="A907" s="46" t="s">
        <v>1865</v>
      </c>
      <c r="B907" s="52" t="s">
        <v>7361</v>
      </c>
      <c r="C907" s="53" t="s">
        <v>1866</v>
      </c>
      <c r="D907" s="54" t="s">
        <v>8349</v>
      </c>
      <c r="E907" s="50">
        <f t="shared" si="30"/>
        <v>12.36986301</v>
      </c>
      <c r="F907" s="51">
        <f t="shared" si="30"/>
        <v>4.0778592600000003</v>
      </c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</row>
    <row r="908" spans="1:28" x14ac:dyDescent="0.15">
      <c r="A908" s="46" t="s">
        <v>1867</v>
      </c>
      <c r="B908" s="52" t="s">
        <v>7361</v>
      </c>
      <c r="C908" s="53" t="s">
        <v>1868</v>
      </c>
      <c r="D908" s="54" t="s">
        <v>8350</v>
      </c>
      <c r="E908" s="50">
        <f t="shared" si="30"/>
        <v>12.38356164</v>
      </c>
      <c r="F908" s="51">
        <f t="shared" si="30"/>
        <v>4.0793441000000001</v>
      </c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</row>
    <row r="909" spans="1:28" x14ac:dyDescent="0.15">
      <c r="A909" s="46" t="s">
        <v>1869</v>
      </c>
      <c r="B909" s="52" t="s">
        <v>7361</v>
      </c>
      <c r="C909" s="53" t="s">
        <v>1870</v>
      </c>
      <c r="D909" s="54" t="s">
        <v>8351</v>
      </c>
      <c r="E909" s="50">
        <f t="shared" si="30"/>
        <v>12.39726027</v>
      </c>
      <c r="F909" s="51">
        <f t="shared" si="30"/>
        <v>4.0808263399999998</v>
      </c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</row>
    <row r="910" spans="1:28" x14ac:dyDescent="0.15">
      <c r="A910" s="46" t="s">
        <v>1871</v>
      </c>
      <c r="B910" s="52" t="s">
        <v>7361</v>
      </c>
      <c r="C910" s="53" t="s">
        <v>1872</v>
      </c>
      <c r="D910" s="54" t="s">
        <v>8352</v>
      </c>
      <c r="E910" s="50">
        <f t="shared" si="30"/>
        <v>12.410958900000001</v>
      </c>
      <c r="F910" s="51">
        <f t="shared" si="30"/>
        <v>4.0823052799999999</v>
      </c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</row>
    <row r="911" spans="1:28" x14ac:dyDescent="0.15">
      <c r="A911" s="46" t="s">
        <v>1873</v>
      </c>
      <c r="B911" s="52" t="s">
        <v>7361</v>
      </c>
      <c r="C911" s="53" t="s">
        <v>1874</v>
      </c>
      <c r="D911" s="54" t="s">
        <v>8353</v>
      </c>
      <c r="E911" s="50">
        <f t="shared" ref="E911:F941" si="31">VALUE(C911)</f>
        <v>12.424657529999999</v>
      </c>
      <c r="F911" s="51">
        <f t="shared" si="31"/>
        <v>4.0837802099999996</v>
      </c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</row>
    <row r="912" spans="1:28" x14ac:dyDescent="0.15">
      <c r="A912" s="46" t="s">
        <v>1875</v>
      </c>
      <c r="B912" s="52" t="s">
        <v>7361</v>
      </c>
      <c r="C912" s="53" t="s">
        <v>1876</v>
      </c>
      <c r="D912" s="54" t="s">
        <v>8354</v>
      </c>
      <c r="E912" s="50">
        <f t="shared" si="31"/>
        <v>12.43835616</v>
      </c>
      <c r="F912" s="51">
        <f t="shared" si="31"/>
        <v>4.0852504200000004</v>
      </c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</row>
    <row r="913" spans="1:28" x14ac:dyDescent="0.15">
      <c r="A913" s="46" t="s">
        <v>1877</v>
      </c>
      <c r="B913" s="52" t="s">
        <v>7361</v>
      </c>
      <c r="C913" s="53" t="s">
        <v>1878</v>
      </c>
      <c r="D913" s="54" t="s">
        <v>8355</v>
      </c>
      <c r="E913" s="50">
        <f t="shared" si="31"/>
        <v>12.45205479</v>
      </c>
      <c r="F913" s="51">
        <f t="shared" si="31"/>
        <v>4.0867152100000004</v>
      </c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</row>
    <row r="914" spans="1:28" x14ac:dyDescent="0.15">
      <c r="A914" s="46" t="s">
        <v>1879</v>
      </c>
      <c r="B914" s="52" t="s">
        <v>7361</v>
      </c>
      <c r="C914" s="53" t="s">
        <v>1880</v>
      </c>
      <c r="D914" s="54" t="s">
        <v>8356</v>
      </c>
      <c r="E914" s="50">
        <f t="shared" si="31"/>
        <v>12.46575342</v>
      </c>
      <c r="F914" s="51">
        <f t="shared" si="31"/>
        <v>4.0881738600000004</v>
      </c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</row>
    <row r="915" spans="1:28" x14ac:dyDescent="0.15">
      <c r="A915" s="46" t="s">
        <v>1881</v>
      </c>
      <c r="B915" s="52" t="s">
        <v>7361</v>
      </c>
      <c r="C915" s="53" t="s">
        <v>1882</v>
      </c>
      <c r="D915" s="54" t="s">
        <v>8357</v>
      </c>
      <c r="E915" s="50">
        <f t="shared" si="31"/>
        <v>12.479452050000001</v>
      </c>
      <c r="F915" s="51">
        <f t="shared" si="31"/>
        <v>4.0896256800000002</v>
      </c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</row>
    <row r="916" spans="1:28" x14ac:dyDescent="0.15">
      <c r="A916" s="46" t="s">
        <v>1883</v>
      </c>
      <c r="B916" s="52" t="s">
        <v>7361</v>
      </c>
      <c r="C916" s="53" t="s">
        <v>1884</v>
      </c>
      <c r="D916" s="54" t="s">
        <v>8358</v>
      </c>
      <c r="E916" s="50">
        <f t="shared" si="31"/>
        <v>12.493150679999999</v>
      </c>
      <c r="F916" s="51">
        <f t="shared" si="31"/>
        <v>4.0910699499999996</v>
      </c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</row>
    <row r="917" spans="1:28" x14ac:dyDescent="0.15">
      <c r="A917" s="46" t="s">
        <v>1885</v>
      </c>
      <c r="B917" s="52" t="s">
        <v>7361</v>
      </c>
      <c r="C917" s="53" t="s">
        <v>1886</v>
      </c>
      <c r="D917" s="54" t="s">
        <v>8359</v>
      </c>
      <c r="E917" s="50">
        <f t="shared" si="31"/>
        <v>12.506849320000001</v>
      </c>
      <c r="F917" s="51">
        <f t="shared" si="31"/>
        <v>4.0925078299999997</v>
      </c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</row>
    <row r="918" spans="1:28" x14ac:dyDescent="0.15">
      <c r="A918" s="46" t="s">
        <v>1887</v>
      </c>
      <c r="B918" s="52" t="s">
        <v>7361</v>
      </c>
      <c r="C918" s="53" t="s">
        <v>1888</v>
      </c>
      <c r="D918" s="54" t="s">
        <v>8360</v>
      </c>
      <c r="E918" s="50">
        <f t="shared" si="31"/>
        <v>12.520547949999999</v>
      </c>
      <c r="F918" s="51">
        <f t="shared" si="31"/>
        <v>4.0939500200000003</v>
      </c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</row>
    <row r="919" spans="1:28" x14ac:dyDescent="0.15">
      <c r="A919" s="46" t="s">
        <v>1889</v>
      </c>
      <c r="B919" s="52" t="s">
        <v>7361</v>
      </c>
      <c r="C919" s="53" t="s">
        <v>1890</v>
      </c>
      <c r="D919" s="54" t="s">
        <v>8361</v>
      </c>
      <c r="E919" s="50">
        <f t="shared" si="31"/>
        <v>12.53424658</v>
      </c>
      <c r="F919" s="51">
        <f t="shared" si="31"/>
        <v>4.0953980999999997</v>
      </c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</row>
    <row r="920" spans="1:28" x14ac:dyDescent="0.15">
      <c r="A920" s="46" t="s">
        <v>1891</v>
      </c>
      <c r="B920" s="52" t="s">
        <v>7361</v>
      </c>
      <c r="C920" s="53" t="s">
        <v>1892</v>
      </c>
      <c r="D920" s="54" t="s">
        <v>8362</v>
      </c>
      <c r="E920" s="50">
        <f t="shared" si="31"/>
        <v>12.54794521</v>
      </c>
      <c r="F920" s="51">
        <f t="shared" si="31"/>
        <v>4.0968518200000004</v>
      </c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</row>
    <row r="921" spans="1:28" x14ac:dyDescent="0.15">
      <c r="A921" s="46" t="s">
        <v>1893</v>
      </c>
      <c r="B921" s="52" t="s">
        <v>7361</v>
      </c>
      <c r="C921" s="53" t="s">
        <v>1894</v>
      </c>
      <c r="D921" s="54" t="s">
        <v>8363</v>
      </c>
      <c r="E921" s="50">
        <f t="shared" si="31"/>
        <v>12.56164384</v>
      </c>
      <c r="F921" s="51">
        <f t="shared" si="31"/>
        <v>4.0983109200000003</v>
      </c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</row>
    <row r="922" spans="1:28" x14ac:dyDescent="0.15">
      <c r="A922" s="46" t="s">
        <v>1895</v>
      </c>
      <c r="B922" s="52" t="s">
        <v>7361</v>
      </c>
      <c r="C922" s="53" t="s">
        <v>1896</v>
      </c>
      <c r="D922" s="54" t="s">
        <v>8364</v>
      </c>
      <c r="E922" s="50">
        <f t="shared" si="31"/>
        <v>12.575342470000001</v>
      </c>
      <c r="F922" s="51">
        <f t="shared" si="31"/>
        <v>4.0997751400000002</v>
      </c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</row>
    <row r="923" spans="1:28" x14ac:dyDescent="0.15">
      <c r="A923" s="46" t="s">
        <v>1897</v>
      </c>
      <c r="B923" s="52" t="s">
        <v>7361</v>
      </c>
      <c r="C923" s="53" t="s">
        <v>1898</v>
      </c>
      <c r="D923" s="54" t="s">
        <v>8365</v>
      </c>
      <c r="E923" s="50">
        <f t="shared" si="31"/>
        <v>12.589041099999999</v>
      </c>
      <c r="F923" s="51">
        <f t="shared" si="31"/>
        <v>4.1012442199999999</v>
      </c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</row>
    <row r="924" spans="1:28" x14ac:dyDescent="0.15">
      <c r="A924" s="46" t="s">
        <v>1899</v>
      </c>
      <c r="B924" s="52" t="s">
        <v>7361</v>
      </c>
      <c r="C924" s="53" t="s">
        <v>1900</v>
      </c>
      <c r="D924" s="54" t="s">
        <v>8366</v>
      </c>
      <c r="E924" s="50">
        <f t="shared" si="31"/>
        <v>12.60273973</v>
      </c>
      <c r="F924" s="51">
        <f t="shared" si="31"/>
        <v>4.1027179</v>
      </c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</row>
    <row r="925" spans="1:28" x14ac:dyDescent="0.15">
      <c r="A925" s="46" t="s">
        <v>1901</v>
      </c>
      <c r="B925" s="52" t="s">
        <v>7361</v>
      </c>
      <c r="C925" s="53" t="s">
        <v>1902</v>
      </c>
      <c r="D925" s="54" t="s">
        <v>8367</v>
      </c>
      <c r="E925" s="50">
        <f t="shared" si="31"/>
        <v>12.61643836</v>
      </c>
      <c r="F925" s="51">
        <f t="shared" si="31"/>
        <v>4.1041959300000004</v>
      </c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</row>
    <row r="926" spans="1:28" x14ac:dyDescent="0.15">
      <c r="A926" s="46" t="s">
        <v>1903</v>
      </c>
      <c r="B926" s="52" t="s">
        <v>7361</v>
      </c>
      <c r="C926" s="53" t="s">
        <v>1904</v>
      </c>
      <c r="D926" s="54" t="s">
        <v>8368</v>
      </c>
      <c r="E926" s="50">
        <f t="shared" si="31"/>
        <v>12.63013699</v>
      </c>
      <c r="F926" s="51">
        <f t="shared" si="31"/>
        <v>4.1056780499999999</v>
      </c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</row>
    <row r="927" spans="1:28" x14ac:dyDescent="0.15">
      <c r="A927" s="46" t="s">
        <v>1905</v>
      </c>
      <c r="B927" s="52" t="s">
        <v>7361</v>
      </c>
      <c r="C927" s="53" t="s">
        <v>1906</v>
      </c>
      <c r="D927" s="54" t="s">
        <v>8369</v>
      </c>
      <c r="E927" s="50">
        <f t="shared" si="31"/>
        <v>12.643835620000001</v>
      </c>
      <c r="F927" s="51">
        <f t="shared" si="31"/>
        <v>4.107164</v>
      </c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</row>
    <row r="928" spans="1:28" x14ac:dyDescent="0.15">
      <c r="A928" s="46" t="s">
        <v>1907</v>
      </c>
      <c r="B928" s="52" t="s">
        <v>7361</v>
      </c>
      <c r="C928" s="53" t="s">
        <v>1908</v>
      </c>
      <c r="D928" s="54" t="s">
        <v>8370</v>
      </c>
      <c r="E928" s="50">
        <f t="shared" si="31"/>
        <v>12.657534249999999</v>
      </c>
      <c r="F928" s="51">
        <f t="shared" si="31"/>
        <v>4.1086535199999998</v>
      </c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</row>
    <row r="929" spans="1:28" x14ac:dyDescent="0.15">
      <c r="A929" s="46" t="s">
        <v>1909</v>
      </c>
      <c r="B929" s="52" t="s">
        <v>7361</v>
      </c>
      <c r="C929" s="53" t="s">
        <v>1910</v>
      </c>
      <c r="D929" s="54" t="s">
        <v>8371</v>
      </c>
      <c r="E929" s="50">
        <f t="shared" si="31"/>
        <v>12.67123288</v>
      </c>
      <c r="F929" s="51">
        <f t="shared" si="31"/>
        <v>4.1101463499999999</v>
      </c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</row>
    <row r="930" spans="1:28" x14ac:dyDescent="0.15">
      <c r="A930" s="46" t="s">
        <v>1911</v>
      </c>
      <c r="B930" s="52" t="s">
        <v>7361</v>
      </c>
      <c r="C930" s="53" t="s">
        <v>1912</v>
      </c>
      <c r="D930" s="54" t="s">
        <v>8372</v>
      </c>
      <c r="E930" s="50">
        <f t="shared" si="31"/>
        <v>12.68493151</v>
      </c>
      <c r="F930" s="51">
        <f t="shared" si="31"/>
        <v>4.1116422400000001</v>
      </c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</row>
    <row r="931" spans="1:28" x14ac:dyDescent="0.15">
      <c r="A931" s="46" t="s">
        <v>1913</v>
      </c>
      <c r="B931" s="52" t="s">
        <v>7361</v>
      </c>
      <c r="C931" s="53" t="s">
        <v>1914</v>
      </c>
      <c r="D931" s="54" t="s">
        <v>8373</v>
      </c>
      <c r="E931" s="50">
        <f t="shared" si="31"/>
        <v>12.698630140000001</v>
      </c>
      <c r="F931" s="51">
        <f t="shared" si="31"/>
        <v>4.1131409300000001</v>
      </c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</row>
    <row r="932" spans="1:28" x14ac:dyDescent="0.15">
      <c r="A932" s="46" t="s">
        <v>1915</v>
      </c>
      <c r="B932" s="52" t="s">
        <v>7361</v>
      </c>
      <c r="C932" s="53" t="s">
        <v>1916</v>
      </c>
      <c r="D932" s="54" t="s">
        <v>8374</v>
      </c>
      <c r="E932" s="50">
        <f t="shared" si="31"/>
        <v>12.712328769999999</v>
      </c>
      <c r="F932" s="51">
        <f t="shared" si="31"/>
        <v>4.1146421499999999</v>
      </c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</row>
    <row r="933" spans="1:28" x14ac:dyDescent="0.15">
      <c r="A933" s="46" t="s">
        <v>1917</v>
      </c>
      <c r="B933" s="52" t="s">
        <v>7361</v>
      </c>
      <c r="C933" s="53" t="s">
        <v>1918</v>
      </c>
      <c r="D933" s="54" t="s">
        <v>8375</v>
      </c>
      <c r="E933" s="50">
        <f t="shared" si="31"/>
        <v>12.7260274</v>
      </c>
      <c r="F933" s="51">
        <f t="shared" si="31"/>
        <v>4.1161456599999999</v>
      </c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</row>
    <row r="934" spans="1:28" x14ac:dyDescent="0.15">
      <c r="A934" s="46" t="s">
        <v>1919</v>
      </c>
      <c r="B934" s="52" t="s">
        <v>7361</v>
      </c>
      <c r="C934" s="53" t="s">
        <v>1920</v>
      </c>
      <c r="D934" s="54" t="s">
        <v>8376</v>
      </c>
      <c r="E934" s="50">
        <f t="shared" si="31"/>
        <v>12.73972603</v>
      </c>
      <c r="F934" s="51">
        <f t="shared" si="31"/>
        <v>4.1176511800000002</v>
      </c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</row>
    <row r="935" spans="1:28" x14ac:dyDescent="0.15">
      <c r="A935" s="46" t="s">
        <v>1921</v>
      </c>
      <c r="B935" s="52" t="s">
        <v>7361</v>
      </c>
      <c r="C935" s="53" t="s">
        <v>1922</v>
      </c>
      <c r="D935" s="54" t="s">
        <v>8377</v>
      </c>
      <c r="E935" s="50">
        <f t="shared" si="31"/>
        <v>12.75342466</v>
      </c>
      <c r="F935" s="51">
        <f t="shared" si="31"/>
        <v>4.1191584800000003</v>
      </c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</row>
    <row r="936" spans="1:28" x14ac:dyDescent="0.15">
      <c r="A936" s="46" t="s">
        <v>1923</v>
      </c>
      <c r="B936" s="52" t="s">
        <v>7361</v>
      </c>
      <c r="C936" s="53" t="s">
        <v>1924</v>
      </c>
      <c r="D936" s="54" t="s">
        <v>8378</v>
      </c>
      <c r="E936" s="50">
        <f t="shared" si="31"/>
        <v>12.767123290000001</v>
      </c>
      <c r="F936" s="51">
        <f t="shared" si="31"/>
        <v>4.1206672700000002</v>
      </c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</row>
    <row r="937" spans="1:28" x14ac:dyDescent="0.15">
      <c r="A937" s="46" t="s">
        <v>1925</v>
      </c>
      <c r="B937" s="52" t="s">
        <v>7361</v>
      </c>
      <c r="C937" s="53" t="s">
        <v>1926</v>
      </c>
      <c r="D937" s="54" t="s">
        <v>8379</v>
      </c>
      <c r="E937" s="50">
        <f t="shared" si="31"/>
        <v>12.780821919999999</v>
      </c>
      <c r="F937" s="51">
        <f t="shared" si="31"/>
        <v>4.1221773199999996</v>
      </c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</row>
    <row r="938" spans="1:28" x14ac:dyDescent="0.15">
      <c r="A938" s="46" t="s">
        <v>1927</v>
      </c>
      <c r="B938" s="52" t="s">
        <v>7361</v>
      </c>
      <c r="C938" s="53" t="s">
        <v>1928</v>
      </c>
      <c r="D938" s="54" t="s">
        <v>8380</v>
      </c>
      <c r="E938" s="50">
        <f t="shared" si="31"/>
        <v>12.79452055</v>
      </c>
      <c r="F938" s="51">
        <f t="shared" si="31"/>
        <v>4.1236883500000001</v>
      </c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</row>
    <row r="939" spans="1:28" x14ac:dyDescent="0.15">
      <c r="A939" s="46" t="s">
        <v>1929</v>
      </c>
      <c r="B939" s="52" t="s">
        <v>7361</v>
      </c>
      <c r="C939" s="53" t="s">
        <v>1930</v>
      </c>
      <c r="D939" s="54" t="s">
        <v>8381</v>
      </c>
      <c r="E939" s="50">
        <f t="shared" si="31"/>
        <v>12.80821918</v>
      </c>
      <c r="F939" s="51">
        <f t="shared" si="31"/>
        <v>4.1252001199999997</v>
      </c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</row>
    <row r="940" spans="1:28" x14ac:dyDescent="0.15">
      <c r="A940" s="46" t="s">
        <v>1931</v>
      </c>
      <c r="B940" s="52" t="s">
        <v>7361</v>
      </c>
      <c r="C940" s="53" t="s">
        <v>1932</v>
      </c>
      <c r="D940" s="54" t="s">
        <v>8382</v>
      </c>
      <c r="E940" s="50">
        <f t="shared" si="31"/>
        <v>12.82191781</v>
      </c>
      <c r="F940" s="51">
        <f t="shared" si="31"/>
        <v>4.12671236</v>
      </c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</row>
    <row r="941" spans="1:28" x14ac:dyDescent="0.15">
      <c r="A941" s="46" t="s">
        <v>1933</v>
      </c>
      <c r="B941" s="52" t="s">
        <v>7361</v>
      </c>
      <c r="C941" s="53" t="s">
        <v>1934</v>
      </c>
      <c r="D941" s="54" t="s">
        <v>8383</v>
      </c>
      <c r="E941" s="50">
        <f t="shared" si="31"/>
        <v>12.835616440000001</v>
      </c>
      <c r="F941" s="51">
        <f t="shared" si="31"/>
        <v>4.1282248199999998</v>
      </c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</row>
    <row r="942" spans="1:28" x14ac:dyDescent="0.15">
      <c r="A942" s="46" t="s">
        <v>1935</v>
      </c>
      <c r="B942" s="52" t="s">
        <v>7361</v>
      </c>
      <c r="C942" s="53" t="s">
        <v>1936</v>
      </c>
      <c r="D942" s="54" t="s">
        <v>8384</v>
      </c>
      <c r="E942" s="50">
        <f t="shared" ref="E942:F971" si="32">VALUE(C942)</f>
        <v>12.849315069999999</v>
      </c>
      <c r="F942" s="51">
        <f t="shared" si="32"/>
        <v>4.1297372299999999</v>
      </c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</row>
    <row r="943" spans="1:28" x14ac:dyDescent="0.15">
      <c r="A943" s="46" t="s">
        <v>1937</v>
      </c>
      <c r="B943" s="52" t="s">
        <v>7361</v>
      </c>
      <c r="C943" s="53" t="s">
        <v>1938</v>
      </c>
      <c r="D943" s="54" t="s">
        <v>8385</v>
      </c>
      <c r="E943" s="50">
        <f t="shared" si="32"/>
        <v>12.8630137</v>
      </c>
      <c r="F943" s="51">
        <f t="shared" si="32"/>
        <v>4.1312493400000001</v>
      </c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</row>
    <row r="944" spans="1:28" x14ac:dyDescent="0.15">
      <c r="A944" s="46" t="s">
        <v>1939</v>
      </c>
      <c r="B944" s="52" t="s">
        <v>7361</v>
      </c>
      <c r="C944" s="53" t="s">
        <v>1940</v>
      </c>
      <c r="D944" s="54" t="s">
        <v>8386</v>
      </c>
      <c r="E944" s="50">
        <f t="shared" si="32"/>
        <v>12.87671233</v>
      </c>
      <c r="F944" s="51">
        <f t="shared" si="32"/>
        <v>4.1327608900000001</v>
      </c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</row>
    <row r="945" spans="1:28" x14ac:dyDescent="0.15">
      <c r="A945" s="46" t="s">
        <v>1941</v>
      </c>
      <c r="B945" s="52" t="s">
        <v>7361</v>
      </c>
      <c r="C945" s="53" t="s">
        <v>1942</v>
      </c>
      <c r="D945" s="54" t="s">
        <v>8387</v>
      </c>
      <c r="E945" s="50">
        <f t="shared" si="32"/>
        <v>12.890410960000001</v>
      </c>
      <c r="F945" s="51">
        <f t="shared" si="32"/>
        <v>4.1342716199999998</v>
      </c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</row>
    <row r="946" spans="1:28" x14ac:dyDescent="0.15">
      <c r="A946" s="46" t="s">
        <v>1943</v>
      </c>
      <c r="B946" s="52" t="s">
        <v>7361</v>
      </c>
      <c r="C946" s="53" t="s">
        <v>1944</v>
      </c>
      <c r="D946" s="54" t="s">
        <v>8388</v>
      </c>
      <c r="E946" s="50">
        <f t="shared" si="32"/>
        <v>12.904109589999999</v>
      </c>
      <c r="F946" s="51">
        <f t="shared" si="32"/>
        <v>4.1357812799999998</v>
      </c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</row>
    <row r="947" spans="1:28" x14ac:dyDescent="0.15">
      <c r="A947" s="46" t="s">
        <v>1945</v>
      </c>
      <c r="B947" s="52" t="s">
        <v>7361</v>
      </c>
      <c r="C947" s="53" t="s">
        <v>1946</v>
      </c>
      <c r="D947" s="54" t="s">
        <v>8389</v>
      </c>
      <c r="E947" s="50">
        <f t="shared" si="32"/>
        <v>12.91780822</v>
      </c>
      <c r="F947" s="51">
        <f t="shared" si="32"/>
        <v>4.1372896099999998</v>
      </c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</row>
    <row r="948" spans="1:28" x14ac:dyDescent="0.15">
      <c r="A948" s="46" t="s">
        <v>1947</v>
      </c>
      <c r="B948" s="52" t="s">
        <v>7361</v>
      </c>
      <c r="C948" s="53" t="s">
        <v>1948</v>
      </c>
      <c r="D948" s="54" t="s">
        <v>8390</v>
      </c>
      <c r="E948" s="50">
        <f t="shared" si="32"/>
        <v>12.93150685</v>
      </c>
      <c r="F948" s="51">
        <f t="shared" si="32"/>
        <v>4.1387963399999999</v>
      </c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</row>
    <row r="949" spans="1:28" x14ac:dyDescent="0.15">
      <c r="A949" s="46" t="s">
        <v>1949</v>
      </c>
      <c r="B949" s="52" t="s">
        <v>7361</v>
      </c>
      <c r="C949" s="53" t="s">
        <v>1950</v>
      </c>
      <c r="D949" s="54" t="s">
        <v>8391</v>
      </c>
      <c r="E949" s="50">
        <f t="shared" si="32"/>
        <v>12.94520548</v>
      </c>
      <c r="F949" s="51">
        <f t="shared" si="32"/>
        <v>4.1403012199999996</v>
      </c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</row>
    <row r="950" spans="1:28" x14ac:dyDescent="0.15">
      <c r="A950" s="46" t="s">
        <v>1951</v>
      </c>
      <c r="B950" s="52" t="s">
        <v>7361</v>
      </c>
      <c r="C950" s="53" t="s">
        <v>1952</v>
      </c>
      <c r="D950" s="54" t="s">
        <v>8392</v>
      </c>
      <c r="E950" s="50">
        <f t="shared" si="32"/>
        <v>12.958904110000001</v>
      </c>
      <c r="F950" s="51">
        <f t="shared" si="32"/>
        <v>4.1418039899999997</v>
      </c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</row>
    <row r="951" spans="1:28" x14ac:dyDescent="0.15">
      <c r="A951" s="46" t="s">
        <v>1953</v>
      </c>
      <c r="B951" s="52" t="s">
        <v>7361</v>
      </c>
      <c r="C951" s="53" t="s">
        <v>1954</v>
      </c>
      <c r="D951" s="54" t="s">
        <v>8393</v>
      </c>
      <c r="E951" s="50">
        <f t="shared" si="32"/>
        <v>12.972602739999999</v>
      </c>
      <c r="F951" s="51">
        <f t="shared" si="32"/>
        <v>4.1433043999999999</v>
      </c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</row>
    <row r="952" spans="1:28" x14ac:dyDescent="0.15">
      <c r="A952" s="46" t="s">
        <v>1955</v>
      </c>
      <c r="B952" s="52" t="s">
        <v>7361</v>
      </c>
      <c r="C952" s="53" t="s">
        <v>1956</v>
      </c>
      <c r="D952" s="54" t="s">
        <v>8394</v>
      </c>
      <c r="E952" s="50">
        <f t="shared" si="32"/>
        <v>12.98630137</v>
      </c>
      <c r="F952" s="51">
        <f t="shared" si="32"/>
        <v>4.1448021800000001</v>
      </c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</row>
    <row r="953" spans="1:28" x14ac:dyDescent="0.15">
      <c r="A953" s="46" t="s">
        <v>1957</v>
      </c>
      <c r="B953" s="52" t="s">
        <v>7361</v>
      </c>
      <c r="C953" s="53" t="s">
        <v>1958</v>
      </c>
      <c r="D953" s="54" t="s">
        <v>8395</v>
      </c>
      <c r="E953" s="50">
        <f t="shared" si="32"/>
        <v>13</v>
      </c>
      <c r="F953" s="51">
        <f t="shared" si="32"/>
        <v>4.1462970800000001</v>
      </c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</row>
    <row r="954" spans="1:28" x14ac:dyDescent="0.15">
      <c r="A954" s="46" t="s">
        <v>1959</v>
      </c>
      <c r="B954" s="52" t="s">
        <v>7361</v>
      </c>
      <c r="C954" s="53" t="s">
        <v>1960</v>
      </c>
      <c r="D954" s="54" t="s">
        <v>8396</v>
      </c>
      <c r="E954" s="50">
        <f t="shared" si="32"/>
        <v>13.01369863</v>
      </c>
      <c r="F954" s="51">
        <f t="shared" si="32"/>
        <v>4.14778789</v>
      </c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</row>
    <row r="955" spans="1:28" x14ac:dyDescent="0.15">
      <c r="A955" s="46" t="s">
        <v>1961</v>
      </c>
      <c r="B955" s="52" t="s">
        <v>7361</v>
      </c>
      <c r="C955" s="53" t="s">
        <v>1962</v>
      </c>
      <c r="D955" s="54" t="s">
        <v>8397</v>
      </c>
      <c r="E955" s="50">
        <f t="shared" si="32"/>
        <v>13.027397260000001</v>
      </c>
      <c r="F955" s="51">
        <f t="shared" si="32"/>
        <v>4.1492737100000001</v>
      </c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</row>
    <row r="956" spans="1:28" x14ac:dyDescent="0.15">
      <c r="A956" s="46" t="s">
        <v>1963</v>
      </c>
      <c r="B956" s="52" t="s">
        <v>7361</v>
      </c>
      <c r="C956" s="53" t="s">
        <v>1964</v>
      </c>
      <c r="D956" s="54" t="s">
        <v>8398</v>
      </c>
      <c r="E956" s="50">
        <f t="shared" si="32"/>
        <v>13.041095889999999</v>
      </c>
      <c r="F956" s="51">
        <f t="shared" si="32"/>
        <v>4.1507547599999999</v>
      </c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</row>
    <row r="957" spans="1:28" x14ac:dyDescent="0.15">
      <c r="A957" s="46" t="s">
        <v>1965</v>
      </c>
      <c r="B957" s="52" t="s">
        <v>7361</v>
      </c>
      <c r="C957" s="53" t="s">
        <v>1966</v>
      </c>
      <c r="D957" s="54" t="s">
        <v>8399</v>
      </c>
      <c r="E957" s="50">
        <f t="shared" si="32"/>
        <v>13.05479452</v>
      </c>
      <c r="F957" s="51">
        <f t="shared" si="32"/>
        <v>4.1522312399999999</v>
      </c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</row>
    <row r="958" spans="1:28" x14ac:dyDescent="0.15">
      <c r="A958" s="46" t="s">
        <v>1967</v>
      </c>
      <c r="B958" s="52" t="s">
        <v>7361</v>
      </c>
      <c r="C958" s="53" t="s">
        <v>1968</v>
      </c>
      <c r="D958" s="54" t="s">
        <v>8400</v>
      </c>
      <c r="E958" s="50">
        <f t="shared" si="32"/>
        <v>13.06849315</v>
      </c>
      <c r="F958" s="51">
        <f t="shared" si="32"/>
        <v>4.1537033900000004</v>
      </c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</row>
    <row r="959" spans="1:28" x14ac:dyDescent="0.15">
      <c r="A959" s="46" t="s">
        <v>1969</v>
      </c>
      <c r="B959" s="52" t="s">
        <v>7361</v>
      </c>
      <c r="C959" s="53" t="s">
        <v>1970</v>
      </c>
      <c r="D959" s="54" t="s">
        <v>8401</v>
      </c>
      <c r="E959" s="50">
        <f t="shared" si="32"/>
        <v>13.08219178</v>
      </c>
      <c r="F959" s="51">
        <f t="shared" si="32"/>
        <v>4.1551714000000004</v>
      </c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</row>
    <row r="960" spans="1:28" x14ac:dyDescent="0.15">
      <c r="A960" s="46" t="s">
        <v>1971</v>
      </c>
      <c r="B960" s="52" t="s">
        <v>7361</v>
      </c>
      <c r="C960" s="53" t="s">
        <v>1972</v>
      </c>
      <c r="D960" s="54" t="s">
        <v>8402</v>
      </c>
      <c r="E960" s="50">
        <f t="shared" si="32"/>
        <v>13.095890410000001</v>
      </c>
      <c r="F960" s="51">
        <f t="shared" si="32"/>
        <v>4.1566355000000001</v>
      </c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</row>
    <row r="961" spans="1:28" x14ac:dyDescent="0.15">
      <c r="A961" s="46" t="s">
        <v>1973</v>
      </c>
      <c r="B961" s="52" t="s">
        <v>7361</v>
      </c>
      <c r="C961" s="53" t="s">
        <v>1974</v>
      </c>
      <c r="D961" s="54" t="s">
        <v>8403</v>
      </c>
      <c r="E961" s="50">
        <f t="shared" si="32"/>
        <v>13.109589039999999</v>
      </c>
      <c r="F961" s="51">
        <f t="shared" si="32"/>
        <v>4.1580958900000002</v>
      </c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</row>
    <row r="962" spans="1:28" x14ac:dyDescent="0.15">
      <c r="A962" s="46" t="s">
        <v>1975</v>
      </c>
      <c r="B962" s="52" t="s">
        <v>7361</v>
      </c>
      <c r="C962" s="53" t="s">
        <v>1976</v>
      </c>
      <c r="D962" s="54" t="s">
        <v>8404</v>
      </c>
      <c r="E962" s="50">
        <f t="shared" si="32"/>
        <v>13.12328767</v>
      </c>
      <c r="F962" s="51">
        <f t="shared" si="32"/>
        <v>4.1595527900000002</v>
      </c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</row>
    <row r="963" spans="1:28" x14ac:dyDescent="0.15">
      <c r="A963" s="46" t="s">
        <v>1977</v>
      </c>
      <c r="B963" s="52" t="s">
        <v>7361</v>
      </c>
      <c r="C963" s="53" t="s">
        <v>1978</v>
      </c>
      <c r="D963" s="54" t="s">
        <v>8405</v>
      </c>
      <c r="E963" s="50">
        <f t="shared" si="32"/>
        <v>13.1369863</v>
      </c>
      <c r="F963" s="51">
        <f t="shared" si="32"/>
        <v>4.1610064099999997</v>
      </c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</row>
    <row r="964" spans="1:28" x14ac:dyDescent="0.15">
      <c r="A964" s="46" t="s">
        <v>1979</v>
      </c>
      <c r="B964" s="52" t="s">
        <v>7361</v>
      </c>
      <c r="C964" s="53" t="s">
        <v>1980</v>
      </c>
      <c r="D964" s="54" t="s">
        <v>8406</v>
      </c>
      <c r="E964" s="50">
        <f t="shared" si="32"/>
        <v>13.150684930000001</v>
      </c>
      <c r="F964" s="51">
        <f t="shared" si="32"/>
        <v>4.16245697</v>
      </c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</row>
    <row r="965" spans="1:28" x14ac:dyDescent="0.15">
      <c r="A965" s="46" t="s">
        <v>1981</v>
      </c>
      <c r="B965" s="52" t="s">
        <v>7361</v>
      </c>
      <c r="C965" s="53" t="s">
        <v>1982</v>
      </c>
      <c r="D965" s="54" t="s">
        <v>8407</v>
      </c>
      <c r="E965" s="50">
        <f t="shared" si="32"/>
        <v>13.164383559999999</v>
      </c>
      <c r="F965" s="51">
        <f t="shared" si="32"/>
        <v>4.1639046799999999</v>
      </c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</row>
    <row r="966" spans="1:28" x14ac:dyDescent="0.15">
      <c r="A966" s="46" t="s">
        <v>1983</v>
      </c>
      <c r="B966" s="52" t="s">
        <v>7361</v>
      </c>
      <c r="C966" s="53" t="s">
        <v>1984</v>
      </c>
      <c r="D966" s="54" t="s">
        <v>8408</v>
      </c>
      <c r="E966" s="50">
        <f t="shared" si="32"/>
        <v>13.17808219</v>
      </c>
      <c r="F966" s="51">
        <f t="shared" si="32"/>
        <v>4.1653497599999998</v>
      </c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</row>
    <row r="967" spans="1:28" x14ac:dyDescent="0.15">
      <c r="A967" s="46" t="s">
        <v>1985</v>
      </c>
      <c r="B967" s="52" t="s">
        <v>7361</v>
      </c>
      <c r="C967" s="53" t="s">
        <v>1986</v>
      </c>
      <c r="D967" s="54" t="s">
        <v>8409</v>
      </c>
      <c r="E967" s="50">
        <f t="shared" si="32"/>
        <v>13.19178082</v>
      </c>
      <c r="F967" s="51">
        <f t="shared" si="32"/>
        <v>4.1667924200000002</v>
      </c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</row>
    <row r="968" spans="1:28" x14ac:dyDescent="0.15">
      <c r="A968" s="46" t="s">
        <v>1987</v>
      </c>
      <c r="B968" s="52" t="s">
        <v>7361</v>
      </c>
      <c r="C968" s="53" t="s">
        <v>1988</v>
      </c>
      <c r="D968" s="54" t="s">
        <v>8410</v>
      </c>
      <c r="E968" s="50">
        <f t="shared" si="32"/>
        <v>13.20547945</v>
      </c>
      <c r="F968" s="51">
        <f t="shared" si="32"/>
        <v>4.1682328599999998</v>
      </c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</row>
    <row r="969" spans="1:28" x14ac:dyDescent="0.15">
      <c r="A969" s="46" t="s">
        <v>1989</v>
      </c>
      <c r="B969" s="52" t="s">
        <v>7361</v>
      </c>
      <c r="C969" s="53" t="s">
        <v>1990</v>
      </c>
      <c r="D969" s="54" t="s">
        <v>8411</v>
      </c>
      <c r="E969" s="50">
        <f t="shared" si="32"/>
        <v>13.219178080000001</v>
      </c>
      <c r="F969" s="51">
        <f t="shared" si="32"/>
        <v>4.16967131</v>
      </c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</row>
    <row r="970" spans="1:28" x14ac:dyDescent="0.15">
      <c r="A970" s="46" t="s">
        <v>1991</v>
      </c>
      <c r="B970" s="52" t="s">
        <v>7361</v>
      </c>
      <c r="C970" s="53" t="s">
        <v>1992</v>
      </c>
      <c r="D970" s="54" t="s">
        <v>8412</v>
      </c>
      <c r="E970" s="50">
        <f t="shared" si="32"/>
        <v>13.232876709999999</v>
      </c>
      <c r="F970" s="51">
        <f t="shared" si="32"/>
        <v>4.1711079800000004</v>
      </c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</row>
    <row r="971" spans="1:28" x14ac:dyDescent="0.15">
      <c r="A971" s="46" t="s">
        <v>1993</v>
      </c>
      <c r="B971" s="52" t="s">
        <v>7361</v>
      </c>
      <c r="C971" s="53" t="s">
        <v>1994</v>
      </c>
      <c r="D971" s="54" t="s">
        <v>8413</v>
      </c>
      <c r="E971" s="50">
        <f t="shared" si="32"/>
        <v>13.24657534</v>
      </c>
      <c r="F971" s="51">
        <f t="shared" si="32"/>
        <v>4.1725430899999996</v>
      </c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</row>
    <row r="972" spans="1:28" x14ac:dyDescent="0.15">
      <c r="A972" s="46" t="s">
        <v>1995</v>
      </c>
      <c r="B972" s="52" t="s">
        <v>7361</v>
      </c>
      <c r="C972" s="53" t="s">
        <v>1996</v>
      </c>
      <c r="D972" s="54" t="s">
        <v>8414</v>
      </c>
      <c r="E972" s="50">
        <f t="shared" ref="E972:F1002" si="33">VALUE(C972)</f>
        <v>13.26027397</v>
      </c>
      <c r="F972" s="51">
        <f t="shared" si="33"/>
        <v>4.1739768399999999</v>
      </c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</row>
    <row r="973" spans="1:28" x14ac:dyDescent="0.15">
      <c r="A973" s="46" t="s">
        <v>1997</v>
      </c>
      <c r="B973" s="52" t="s">
        <v>7361</v>
      </c>
      <c r="C973" s="53" t="s">
        <v>1998</v>
      </c>
      <c r="D973" s="54" t="s">
        <v>8415</v>
      </c>
      <c r="E973" s="50">
        <f t="shared" si="33"/>
        <v>13.2739726</v>
      </c>
      <c r="F973" s="51">
        <f t="shared" si="33"/>
        <v>4.1754094500000001</v>
      </c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</row>
    <row r="974" spans="1:28" x14ac:dyDescent="0.15">
      <c r="A974" s="46" t="s">
        <v>1999</v>
      </c>
      <c r="B974" s="52" t="s">
        <v>7361</v>
      </c>
      <c r="C974" s="53" t="s">
        <v>2000</v>
      </c>
      <c r="D974" s="54" t="s">
        <v>8416</v>
      </c>
      <c r="E974" s="50">
        <f t="shared" si="33"/>
        <v>13.287671230000001</v>
      </c>
      <c r="F974" s="51">
        <f t="shared" si="33"/>
        <v>4.1768411299999997</v>
      </c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</row>
    <row r="975" spans="1:28" x14ac:dyDescent="0.15">
      <c r="A975" s="46" t="s">
        <v>2001</v>
      </c>
      <c r="B975" s="52" t="s">
        <v>7361</v>
      </c>
      <c r="C975" s="53" t="s">
        <v>2002</v>
      </c>
      <c r="D975" s="54" t="s">
        <v>8417</v>
      </c>
      <c r="E975" s="50">
        <f t="shared" si="33"/>
        <v>13.301369859999999</v>
      </c>
      <c r="F975" s="51">
        <f t="shared" si="33"/>
        <v>4.17827211</v>
      </c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</row>
    <row r="976" spans="1:28" x14ac:dyDescent="0.15">
      <c r="A976" s="46" t="s">
        <v>2003</v>
      </c>
      <c r="B976" s="52" t="s">
        <v>7361</v>
      </c>
      <c r="C976" s="53" t="s">
        <v>2004</v>
      </c>
      <c r="D976" s="54" t="s">
        <v>8418</v>
      </c>
      <c r="E976" s="50">
        <f t="shared" si="33"/>
        <v>13.31506849</v>
      </c>
      <c r="F976" s="51">
        <f t="shared" si="33"/>
        <v>4.1797025799999998</v>
      </c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</row>
    <row r="977" spans="1:28" x14ac:dyDescent="0.15">
      <c r="A977" s="46" t="s">
        <v>2005</v>
      </c>
      <c r="B977" s="52" t="s">
        <v>7361</v>
      </c>
      <c r="C977" s="53" t="s">
        <v>2006</v>
      </c>
      <c r="D977" s="54" t="s">
        <v>8419</v>
      </c>
      <c r="E977" s="50">
        <f t="shared" si="33"/>
        <v>13.32876712</v>
      </c>
      <c r="F977" s="51">
        <f t="shared" si="33"/>
        <v>4.1811327699999996</v>
      </c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</row>
    <row r="978" spans="1:28" x14ac:dyDescent="0.15">
      <c r="A978" s="46" t="s">
        <v>2007</v>
      </c>
      <c r="B978" s="52" t="s">
        <v>7361</v>
      </c>
      <c r="C978" s="53" t="s">
        <v>2008</v>
      </c>
      <c r="D978" s="54" t="s">
        <v>8420</v>
      </c>
      <c r="E978" s="50">
        <f t="shared" si="33"/>
        <v>13.342465750000001</v>
      </c>
      <c r="F978" s="51">
        <f t="shared" si="33"/>
        <v>4.1825628899999998</v>
      </c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</row>
    <row r="979" spans="1:28" x14ac:dyDescent="0.15">
      <c r="A979" s="46" t="s">
        <v>2009</v>
      </c>
      <c r="B979" s="52" t="s">
        <v>7361</v>
      </c>
      <c r="C979" s="53" t="s">
        <v>2010</v>
      </c>
      <c r="D979" s="54" t="s">
        <v>8421</v>
      </c>
      <c r="E979" s="50">
        <f t="shared" si="33"/>
        <v>13.356164379999999</v>
      </c>
      <c r="F979" s="51">
        <f t="shared" si="33"/>
        <v>4.18399315</v>
      </c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</row>
    <row r="980" spans="1:28" x14ac:dyDescent="0.15">
      <c r="A980" s="46" t="s">
        <v>2011</v>
      </c>
      <c r="B980" s="52" t="s">
        <v>7361</v>
      </c>
      <c r="C980" s="53" t="s">
        <v>2012</v>
      </c>
      <c r="D980" s="54" t="s">
        <v>8422</v>
      </c>
      <c r="E980" s="50">
        <f t="shared" si="33"/>
        <v>13.36986301</v>
      </c>
      <c r="F980" s="51">
        <f t="shared" si="33"/>
        <v>4.1854237599999999</v>
      </c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</row>
    <row r="981" spans="1:28" x14ac:dyDescent="0.15">
      <c r="A981" s="46" t="s">
        <v>2013</v>
      </c>
      <c r="B981" s="52" t="s">
        <v>7361</v>
      </c>
      <c r="C981" s="53" t="s">
        <v>2014</v>
      </c>
      <c r="D981" s="54" t="s">
        <v>8423</v>
      </c>
      <c r="E981" s="50">
        <f t="shared" si="33"/>
        <v>13.38356164</v>
      </c>
      <c r="F981" s="51">
        <f t="shared" si="33"/>
        <v>4.1868549499999999</v>
      </c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</row>
    <row r="982" spans="1:28" x14ac:dyDescent="0.15">
      <c r="A982" s="46" t="s">
        <v>2015</v>
      </c>
      <c r="B982" s="52" t="s">
        <v>7361</v>
      </c>
      <c r="C982" s="53" t="s">
        <v>2016</v>
      </c>
      <c r="D982" s="54" t="s">
        <v>8424</v>
      </c>
      <c r="E982" s="50">
        <f t="shared" si="33"/>
        <v>13.39726027</v>
      </c>
      <c r="F982" s="51">
        <f t="shared" si="33"/>
        <v>4.1882869200000004</v>
      </c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</row>
    <row r="983" spans="1:28" x14ac:dyDescent="0.15">
      <c r="A983" s="46" t="s">
        <v>2017</v>
      </c>
      <c r="B983" s="52" t="s">
        <v>7361</v>
      </c>
      <c r="C983" s="53" t="s">
        <v>2018</v>
      </c>
      <c r="D983" s="54" t="s">
        <v>8425</v>
      </c>
      <c r="E983" s="50">
        <f t="shared" si="33"/>
        <v>13.410958900000001</v>
      </c>
      <c r="F983" s="51">
        <f t="shared" si="33"/>
        <v>4.1897198900000001</v>
      </c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</row>
    <row r="984" spans="1:28" x14ac:dyDescent="0.15">
      <c r="A984" s="46" t="s">
        <v>2019</v>
      </c>
      <c r="B984" s="52" t="s">
        <v>7361</v>
      </c>
      <c r="C984" s="53" t="s">
        <v>2020</v>
      </c>
      <c r="D984" s="54" t="s">
        <v>8426</v>
      </c>
      <c r="E984" s="50">
        <f t="shared" si="33"/>
        <v>13.424657529999999</v>
      </c>
      <c r="F984" s="51">
        <f t="shared" si="33"/>
        <v>4.1911540699999996</v>
      </c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</row>
    <row r="985" spans="1:28" x14ac:dyDescent="0.15">
      <c r="A985" s="46" t="s">
        <v>2021</v>
      </c>
      <c r="B985" s="52" t="s">
        <v>7361</v>
      </c>
      <c r="C985" s="53" t="s">
        <v>2022</v>
      </c>
      <c r="D985" s="54" t="s">
        <v>8427</v>
      </c>
      <c r="E985" s="50">
        <f t="shared" si="33"/>
        <v>13.43835616</v>
      </c>
      <c r="F985" s="51">
        <f t="shared" si="33"/>
        <v>4.1925896700000003</v>
      </c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</row>
    <row r="986" spans="1:28" x14ac:dyDescent="0.15">
      <c r="A986" s="46" t="s">
        <v>2023</v>
      </c>
      <c r="B986" s="52" t="s">
        <v>7361</v>
      </c>
      <c r="C986" s="53" t="s">
        <v>2024</v>
      </c>
      <c r="D986" s="54" t="s">
        <v>8428</v>
      </c>
      <c r="E986" s="50">
        <f t="shared" si="33"/>
        <v>13.45205479</v>
      </c>
      <c r="F986" s="51">
        <f t="shared" si="33"/>
        <v>4.1940269099999998</v>
      </c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</row>
    <row r="987" spans="1:28" x14ac:dyDescent="0.15">
      <c r="A987" s="46" t="s">
        <v>2025</v>
      </c>
      <c r="B987" s="52" t="s">
        <v>7361</v>
      </c>
      <c r="C987" s="53" t="s">
        <v>2026</v>
      </c>
      <c r="D987" s="54" t="s">
        <v>8429</v>
      </c>
      <c r="E987" s="50">
        <f t="shared" si="33"/>
        <v>13.46575342</v>
      </c>
      <c r="F987" s="51">
        <f t="shared" si="33"/>
        <v>4.1954659999999997</v>
      </c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</row>
    <row r="988" spans="1:28" x14ac:dyDescent="0.15">
      <c r="A988" s="46" t="s">
        <v>2027</v>
      </c>
      <c r="B988" s="52" t="s">
        <v>7361</v>
      </c>
      <c r="C988" s="53" t="s">
        <v>2028</v>
      </c>
      <c r="D988" s="54" t="s">
        <v>8430</v>
      </c>
      <c r="E988" s="50">
        <f t="shared" si="33"/>
        <v>13.479452050000001</v>
      </c>
      <c r="F988" s="51">
        <f t="shared" si="33"/>
        <v>4.1969071600000003</v>
      </c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</row>
    <row r="989" spans="1:28" x14ac:dyDescent="0.15">
      <c r="A989" s="46" t="s">
        <v>2029</v>
      </c>
      <c r="B989" s="52" t="s">
        <v>7361</v>
      </c>
      <c r="C989" s="53" t="s">
        <v>2030</v>
      </c>
      <c r="D989" s="54" t="s">
        <v>8431</v>
      </c>
      <c r="E989" s="50">
        <f t="shared" si="33"/>
        <v>13.493150679999999</v>
      </c>
      <c r="F989" s="51">
        <f t="shared" si="33"/>
        <v>4.1983506000000004</v>
      </c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</row>
    <row r="990" spans="1:28" x14ac:dyDescent="0.15">
      <c r="A990" s="46" t="s">
        <v>2031</v>
      </c>
      <c r="B990" s="52" t="s">
        <v>7361</v>
      </c>
      <c r="C990" s="53" t="s">
        <v>2032</v>
      </c>
      <c r="D990" s="54" t="s">
        <v>8432</v>
      </c>
      <c r="E990" s="50">
        <f t="shared" si="33"/>
        <v>13.506849320000001</v>
      </c>
      <c r="F990" s="51">
        <f t="shared" si="33"/>
        <v>4.1997940600000003</v>
      </c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</row>
    <row r="991" spans="1:28" x14ac:dyDescent="0.15">
      <c r="A991" s="46" t="s">
        <v>2033</v>
      </c>
      <c r="B991" s="52" t="s">
        <v>7361</v>
      </c>
      <c r="C991" s="53" t="s">
        <v>2034</v>
      </c>
      <c r="D991" s="54" t="s">
        <v>8433</v>
      </c>
      <c r="E991" s="50">
        <f t="shared" si="33"/>
        <v>13.520547949999999</v>
      </c>
      <c r="F991" s="51">
        <f t="shared" si="33"/>
        <v>4.2012230700000002</v>
      </c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</row>
    <row r="992" spans="1:28" x14ac:dyDescent="0.15">
      <c r="A992" s="46" t="s">
        <v>2035</v>
      </c>
      <c r="B992" s="52" t="s">
        <v>7361</v>
      </c>
      <c r="C992" s="53" t="s">
        <v>2036</v>
      </c>
      <c r="D992" s="54" t="s">
        <v>8434</v>
      </c>
      <c r="E992" s="50">
        <f t="shared" si="33"/>
        <v>13.53424658</v>
      </c>
      <c r="F992" s="51">
        <f t="shared" si="33"/>
        <v>4.2026358699999999</v>
      </c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</row>
    <row r="993" spans="1:28" x14ac:dyDescent="0.15">
      <c r="A993" s="46" t="s">
        <v>2037</v>
      </c>
      <c r="B993" s="52" t="s">
        <v>7361</v>
      </c>
      <c r="C993" s="53" t="s">
        <v>2038</v>
      </c>
      <c r="D993" s="54" t="s">
        <v>8435</v>
      </c>
      <c r="E993" s="50">
        <f t="shared" si="33"/>
        <v>13.54794521</v>
      </c>
      <c r="F993" s="51">
        <f t="shared" si="33"/>
        <v>4.2040331599999998</v>
      </c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</row>
    <row r="994" spans="1:28" x14ac:dyDescent="0.15">
      <c r="A994" s="46" t="s">
        <v>2039</v>
      </c>
      <c r="B994" s="52" t="s">
        <v>7361</v>
      </c>
      <c r="C994" s="53" t="s">
        <v>2040</v>
      </c>
      <c r="D994" s="54" t="s">
        <v>8436</v>
      </c>
      <c r="E994" s="50">
        <f t="shared" si="33"/>
        <v>13.56164384</v>
      </c>
      <c r="F994" s="51">
        <f t="shared" si="33"/>
        <v>4.20541564</v>
      </c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</row>
    <row r="995" spans="1:28" x14ac:dyDescent="0.15">
      <c r="A995" s="46" t="s">
        <v>2041</v>
      </c>
      <c r="B995" s="52" t="s">
        <v>7361</v>
      </c>
      <c r="C995" s="53" t="s">
        <v>2042</v>
      </c>
      <c r="D995" s="54" t="s">
        <v>8437</v>
      </c>
      <c r="E995" s="50">
        <f t="shared" si="33"/>
        <v>13.575342470000001</v>
      </c>
      <c r="F995" s="51">
        <f t="shared" si="33"/>
        <v>4.2067840399999996</v>
      </c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</row>
    <row r="996" spans="1:28" x14ac:dyDescent="0.15">
      <c r="A996" s="46" t="s">
        <v>2043</v>
      </c>
      <c r="B996" s="52" t="s">
        <v>7361</v>
      </c>
      <c r="C996" s="53" t="s">
        <v>2044</v>
      </c>
      <c r="D996" s="54" t="s">
        <v>8438</v>
      </c>
      <c r="E996" s="50">
        <f t="shared" si="33"/>
        <v>13.589041099999999</v>
      </c>
      <c r="F996" s="51">
        <f t="shared" si="33"/>
        <v>4.2081390499999998</v>
      </c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</row>
    <row r="997" spans="1:28" x14ac:dyDescent="0.15">
      <c r="A997" s="46" t="s">
        <v>2045</v>
      </c>
      <c r="B997" s="52" t="s">
        <v>7361</v>
      </c>
      <c r="C997" s="53" t="s">
        <v>2046</v>
      </c>
      <c r="D997" s="54" t="s">
        <v>8439</v>
      </c>
      <c r="E997" s="50">
        <f t="shared" si="33"/>
        <v>13.60273973</v>
      </c>
      <c r="F997" s="51">
        <f t="shared" si="33"/>
        <v>4.2094813999999996</v>
      </c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</row>
    <row r="998" spans="1:28" x14ac:dyDescent="0.15">
      <c r="A998" s="46" t="s">
        <v>2047</v>
      </c>
      <c r="B998" s="52" t="s">
        <v>7361</v>
      </c>
      <c r="C998" s="53" t="s">
        <v>2048</v>
      </c>
      <c r="D998" s="54" t="s">
        <v>8440</v>
      </c>
      <c r="E998" s="50">
        <f t="shared" si="33"/>
        <v>13.61643836</v>
      </c>
      <c r="F998" s="51">
        <f t="shared" si="33"/>
        <v>4.2108117800000002</v>
      </c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</row>
    <row r="999" spans="1:28" x14ac:dyDescent="0.15">
      <c r="A999" s="46" t="s">
        <v>2049</v>
      </c>
      <c r="B999" s="52" t="s">
        <v>7361</v>
      </c>
      <c r="C999" s="53" t="s">
        <v>2050</v>
      </c>
      <c r="D999" s="54" t="s">
        <v>8441</v>
      </c>
      <c r="E999" s="50">
        <f t="shared" si="33"/>
        <v>13.63013699</v>
      </c>
      <c r="F999" s="51">
        <f t="shared" si="33"/>
        <v>4.2121309199999999</v>
      </c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</row>
    <row r="1000" spans="1:28" x14ac:dyDescent="0.15">
      <c r="A1000" s="46" t="s">
        <v>2051</v>
      </c>
      <c r="B1000" s="52" t="s">
        <v>7361</v>
      </c>
      <c r="C1000" s="53" t="s">
        <v>2052</v>
      </c>
      <c r="D1000" s="54" t="s">
        <v>8442</v>
      </c>
      <c r="E1000" s="50">
        <f t="shared" si="33"/>
        <v>13.643835620000001</v>
      </c>
      <c r="F1000" s="51">
        <f t="shared" si="33"/>
        <v>4.2134395199999997</v>
      </c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</row>
    <row r="1001" spans="1:28" x14ac:dyDescent="0.15">
      <c r="A1001" s="46" t="s">
        <v>2053</v>
      </c>
      <c r="B1001" s="52" t="s">
        <v>7361</v>
      </c>
      <c r="C1001" s="53" t="s">
        <v>2054</v>
      </c>
      <c r="D1001" s="54" t="s">
        <v>8443</v>
      </c>
      <c r="E1001" s="50">
        <f t="shared" si="33"/>
        <v>13.657534249999999</v>
      </c>
      <c r="F1001" s="51">
        <f t="shared" si="33"/>
        <v>4.2147382899999997</v>
      </c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</row>
    <row r="1002" spans="1:28" x14ac:dyDescent="0.15">
      <c r="A1002" s="46" t="s">
        <v>2055</v>
      </c>
      <c r="B1002" s="52" t="s">
        <v>7361</v>
      </c>
      <c r="C1002" s="53" t="s">
        <v>2056</v>
      </c>
      <c r="D1002" s="54" t="s">
        <v>8444</v>
      </c>
      <c r="E1002" s="50">
        <f t="shared" si="33"/>
        <v>13.67123288</v>
      </c>
      <c r="F1002" s="51">
        <f t="shared" si="33"/>
        <v>4.21602794</v>
      </c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</row>
    <row r="1003" spans="1:28" x14ac:dyDescent="0.15">
      <c r="A1003" s="46" t="s">
        <v>2057</v>
      </c>
      <c r="B1003" s="52" t="s">
        <v>7361</v>
      </c>
      <c r="C1003" s="53" t="s">
        <v>2058</v>
      </c>
      <c r="D1003" s="54" t="s">
        <v>8445</v>
      </c>
      <c r="E1003" s="50">
        <f t="shared" ref="E1003:F1032" si="34">VALUE(C1003)</f>
        <v>13.68493151</v>
      </c>
      <c r="F1003" s="51">
        <f t="shared" si="34"/>
        <v>4.2173091899999999</v>
      </c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</row>
    <row r="1004" spans="1:28" x14ac:dyDescent="0.15">
      <c r="A1004" s="46" t="s">
        <v>2059</v>
      </c>
      <c r="B1004" s="52" t="s">
        <v>7361</v>
      </c>
      <c r="C1004" s="53" t="s">
        <v>2060</v>
      </c>
      <c r="D1004" s="54" t="s">
        <v>8446</v>
      </c>
      <c r="E1004" s="50">
        <f t="shared" si="34"/>
        <v>13.698630140000001</v>
      </c>
      <c r="F1004" s="51">
        <f t="shared" si="34"/>
        <v>4.2185827400000004</v>
      </c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</row>
    <row r="1005" spans="1:28" x14ac:dyDescent="0.15">
      <c r="A1005" s="46" t="s">
        <v>2061</v>
      </c>
      <c r="B1005" s="52" t="s">
        <v>7361</v>
      </c>
      <c r="C1005" s="53" t="s">
        <v>2062</v>
      </c>
      <c r="D1005" s="54" t="s">
        <v>8447</v>
      </c>
      <c r="E1005" s="50">
        <f t="shared" si="34"/>
        <v>13.712328769999999</v>
      </c>
      <c r="F1005" s="51">
        <f t="shared" si="34"/>
        <v>4.2198492999999999</v>
      </c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</row>
    <row r="1006" spans="1:28" x14ac:dyDescent="0.15">
      <c r="A1006" s="46" t="s">
        <v>2063</v>
      </c>
      <c r="B1006" s="52" t="s">
        <v>7361</v>
      </c>
      <c r="C1006" s="53" t="s">
        <v>2064</v>
      </c>
      <c r="D1006" s="54" t="s">
        <v>8448</v>
      </c>
      <c r="E1006" s="50">
        <f t="shared" si="34"/>
        <v>13.7260274</v>
      </c>
      <c r="F1006" s="51">
        <f t="shared" si="34"/>
        <v>4.2211095900000002</v>
      </c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</row>
    <row r="1007" spans="1:28" x14ac:dyDescent="0.15">
      <c r="A1007" s="46" t="s">
        <v>2065</v>
      </c>
      <c r="B1007" s="52" t="s">
        <v>7361</v>
      </c>
      <c r="C1007" s="53" t="s">
        <v>2066</v>
      </c>
      <c r="D1007" s="54" t="s">
        <v>8449</v>
      </c>
      <c r="E1007" s="50">
        <f t="shared" si="34"/>
        <v>13.73972603</v>
      </c>
      <c r="F1007" s="51">
        <f t="shared" si="34"/>
        <v>4.2223643099999997</v>
      </c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</row>
    <row r="1008" spans="1:28" x14ac:dyDescent="0.15">
      <c r="A1008" s="46" t="s">
        <v>2067</v>
      </c>
      <c r="B1008" s="52" t="s">
        <v>7361</v>
      </c>
      <c r="C1008" s="53" t="s">
        <v>2068</v>
      </c>
      <c r="D1008" s="54" t="s">
        <v>8450</v>
      </c>
      <c r="E1008" s="50">
        <f t="shared" si="34"/>
        <v>13.75342466</v>
      </c>
      <c r="F1008" s="51">
        <f t="shared" si="34"/>
        <v>4.2236141800000002</v>
      </c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</row>
    <row r="1009" spans="1:28" x14ac:dyDescent="0.15">
      <c r="A1009" s="46" t="s">
        <v>2069</v>
      </c>
      <c r="B1009" s="52" t="s">
        <v>7361</v>
      </c>
      <c r="C1009" s="53" t="s">
        <v>2070</v>
      </c>
      <c r="D1009" s="54" t="s">
        <v>8451</v>
      </c>
      <c r="E1009" s="50">
        <f t="shared" si="34"/>
        <v>13.767123290000001</v>
      </c>
      <c r="F1009" s="51">
        <f t="shared" si="34"/>
        <v>4.2248599000000002</v>
      </c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</row>
    <row r="1010" spans="1:28" x14ac:dyDescent="0.15">
      <c r="A1010" s="46" t="s">
        <v>2071</v>
      </c>
      <c r="B1010" s="52" t="s">
        <v>7361</v>
      </c>
      <c r="C1010" s="53" t="s">
        <v>2072</v>
      </c>
      <c r="D1010" s="54" t="s">
        <v>8452</v>
      </c>
      <c r="E1010" s="50">
        <f t="shared" si="34"/>
        <v>13.780821919999999</v>
      </c>
      <c r="F1010" s="51">
        <f t="shared" si="34"/>
        <v>4.2261021899999998</v>
      </c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</row>
    <row r="1011" spans="1:28" x14ac:dyDescent="0.15">
      <c r="A1011" s="46" t="s">
        <v>2073</v>
      </c>
      <c r="B1011" s="52" t="s">
        <v>7361</v>
      </c>
      <c r="C1011" s="53" t="s">
        <v>2074</v>
      </c>
      <c r="D1011" s="54" t="s">
        <v>8453</v>
      </c>
      <c r="E1011" s="50">
        <f t="shared" si="34"/>
        <v>13.79452055</v>
      </c>
      <c r="F1011" s="51">
        <f t="shared" si="34"/>
        <v>4.2273417599999998</v>
      </c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</row>
    <row r="1012" spans="1:28" x14ac:dyDescent="0.15">
      <c r="A1012" s="46" t="s">
        <v>2075</v>
      </c>
      <c r="B1012" s="52" t="s">
        <v>7361</v>
      </c>
      <c r="C1012" s="53" t="s">
        <v>2076</v>
      </c>
      <c r="D1012" s="54" t="s">
        <v>8454</v>
      </c>
      <c r="E1012" s="50">
        <f t="shared" si="34"/>
        <v>13.80821918</v>
      </c>
      <c r="F1012" s="51">
        <f t="shared" si="34"/>
        <v>4.2285793099999998</v>
      </c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</row>
    <row r="1013" spans="1:28" x14ac:dyDescent="0.15">
      <c r="A1013" s="46" t="s">
        <v>2077</v>
      </c>
      <c r="B1013" s="52" t="s">
        <v>7361</v>
      </c>
      <c r="C1013" s="53" t="s">
        <v>2078</v>
      </c>
      <c r="D1013" s="54" t="s">
        <v>8455</v>
      </c>
      <c r="E1013" s="50">
        <f t="shared" si="34"/>
        <v>13.82191781</v>
      </c>
      <c r="F1013" s="51">
        <f t="shared" si="34"/>
        <v>4.2298155599999996</v>
      </c>
      <c r="H1013" s="33"/>
      <c r="I1013" s="33"/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</row>
    <row r="1014" spans="1:28" x14ac:dyDescent="0.15">
      <c r="A1014" s="46" t="s">
        <v>2079</v>
      </c>
      <c r="B1014" s="52" t="s">
        <v>7361</v>
      </c>
      <c r="C1014" s="53" t="s">
        <v>2080</v>
      </c>
      <c r="D1014" s="54" t="s">
        <v>8456</v>
      </c>
      <c r="E1014" s="50">
        <f t="shared" si="34"/>
        <v>13.835616440000001</v>
      </c>
      <c r="F1014" s="51">
        <f t="shared" si="34"/>
        <v>4.2310512200000003</v>
      </c>
      <c r="H1014" s="33"/>
      <c r="I1014" s="33"/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</row>
    <row r="1015" spans="1:28" x14ac:dyDescent="0.15">
      <c r="A1015" s="46" t="s">
        <v>2081</v>
      </c>
      <c r="B1015" s="52" t="s">
        <v>7361</v>
      </c>
      <c r="C1015" s="53" t="s">
        <v>2082</v>
      </c>
      <c r="D1015" s="54" t="s">
        <v>8457</v>
      </c>
      <c r="E1015" s="50">
        <f t="shared" si="34"/>
        <v>13.849315069999999</v>
      </c>
      <c r="F1015" s="51">
        <f t="shared" si="34"/>
        <v>4.2322870000000004</v>
      </c>
      <c r="H1015" s="33"/>
      <c r="I1015" s="33"/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</row>
    <row r="1016" spans="1:28" x14ac:dyDescent="0.15">
      <c r="A1016" s="46" t="s">
        <v>2083</v>
      </c>
      <c r="B1016" s="52" t="s">
        <v>7361</v>
      </c>
      <c r="C1016" s="53" t="s">
        <v>2084</v>
      </c>
      <c r="D1016" s="54" t="s">
        <v>8458</v>
      </c>
      <c r="E1016" s="50">
        <f t="shared" si="34"/>
        <v>13.8630137</v>
      </c>
      <c r="F1016" s="51">
        <f t="shared" si="34"/>
        <v>4.2335235999999998</v>
      </c>
      <c r="H1016" s="33"/>
      <c r="I1016" s="33"/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</row>
    <row r="1017" spans="1:28" x14ac:dyDescent="0.15">
      <c r="A1017" s="46" t="s">
        <v>2085</v>
      </c>
      <c r="B1017" s="52" t="s">
        <v>7361</v>
      </c>
      <c r="C1017" s="53" t="s">
        <v>2086</v>
      </c>
      <c r="D1017" s="54" t="s">
        <v>8459</v>
      </c>
      <c r="E1017" s="50">
        <f t="shared" si="34"/>
        <v>13.87671233</v>
      </c>
      <c r="F1017" s="51">
        <f t="shared" si="34"/>
        <v>4.2347617499999997</v>
      </c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</row>
    <row r="1018" spans="1:28" x14ac:dyDescent="0.15">
      <c r="A1018" s="46" t="s">
        <v>2087</v>
      </c>
      <c r="B1018" s="52" t="s">
        <v>7361</v>
      </c>
      <c r="C1018" s="53" t="s">
        <v>2088</v>
      </c>
      <c r="D1018" s="54" t="s">
        <v>8460</v>
      </c>
      <c r="E1018" s="50">
        <f t="shared" si="34"/>
        <v>13.890410960000001</v>
      </c>
      <c r="F1018" s="51">
        <f t="shared" si="34"/>
        <v>4.2360021400000001</v>
      </c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</row>
    <row r="1019" spans="1:28" x14ac:dyDescent="0.15">
      <c r="A1019" s="46" t="s">
        <v>2089</v>
      </c>
      <c r="B1019" s="52" t="s">
        <v>7361</v>
      </c>
      <c r="C1019" s="53" t="s">
        <v>2090</v>
      </c>
      <c r="D1019" s="54" t="s">
        <v>8461</v>
      </c>
      <c r="E1019" s="50">
        <f t="shared" si="34"/>
        <v>13.904109589999999</v>
      </c>
      <c r="F1019" s="51">
        <f t="shared" si="34"/>
        <v>4.2372455000000002</v>
      </c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</row>
    <row r="1020" spans="1:28" x14ac:dyDescent="0.15">
      <c r="A1020" s="46" t="s">
        <v>2091</v>
      </c>
      <c r="B1020" s="52" t="s">
        <v>7361</v>
      </c>
      <c r="C1020" s="53" t="s">
        <v>2092</v>
      </c>
      <c r="D1020" s="54" t="s">
        <v>8462</v>
      </c>
      <c r="E1020" s="50">
        <f t="shared" si="34"/>
        <v>13.91780822</v>
      </c>
      <c r="F1020" s="51">
        <f t="shared" si="34"/>
        <v>4.2384925300000003</v>
      </c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</row>
    <row r="1021" spans="1:28" x14ac:dyDescent="0.15">
      <c r="A1021" s="46" t="s">
        <v>2093</v>
      </c>
      <c r="B1021" s="52" t="s">
        <v>7361</v>
      </c>
      <c r="C1021" s="53" t="s">
        <v>2094</v>
      </c>
      <c r="D1021" s="54" t="s">
        <v>8463</v>
      </c>
      <c r="E1021" s="50">
        <f t="shared" si="34"/>
        <v>13.93150685</v>
      </c>
      <c r="F1021" s="51">
        <f t="shared" si="34"/>
        <v>4.2397439300000004</v>
      </c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</row>
    <row r="1022" spans="1:28" x14ac:dyDescent="0.15">
      <c r="A1022" s="46" t="s">
        <v>2095</v>
      </c>
      <c r="B1022" s="52" t="s">
        <v>7361</v>
      </c>
      <c r="C1022" s="53" t="s">
        <v>2096</v>
      </c>
      <c r="D1022" s="54" t="s">
        <v>8464</v>
      </c>
      <c r="E1022" s="50">
        <f t="shared" si="34"/>
        <v>13.94520548</v>
      </c>
      <c r="F1022" s="51">
        <f t="shared" si="34"/>
        <v>4.2410004299999997</v>
      </c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</row>
    <row r="1023" spans="1:28" x14ac:dyDescent="0.15">
      <c r="A1023" s="46" t="s">
        <v>2097</v>
      </c>
      <c r="B1023" s="52" t="s">
        <v>7361</v>
      </c>
      <c r="C1023" s="53" t="s">
        <v>2098</v>
      </c>
      <c r="D1023" s="54" t="s">
        <v>8465</v>
      </c>
      <c r="E1023" s="50">
        <f t="shared" si="34"/>
        <v>13.958904110000001</v>
      </c>
      <c r="F1023" s="51">
        <f t="shared" si="34"/>
        <v>4.2422627300000002</v>
      </c>
      <c r="H1023" s="33"/>
      <c r="I1023" s="33"/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</row>
    <row r="1024" spans="1:28" x14ac:dyDescent="0.15">
      <c r="A1024" s="46" t="s">
        <v>2099</v>
      </c>
      <c r="B1024" s="52" t="s">
        <v>7361</v>
      </c>
      <c r="C1024" s="53" t="s">
        <v>2100</v>
      </c>
      <c r="D1024" s="54" t="s">
        <v>8466</v>
      </c>
      <c r="E1024" s="50">
        <f t="shared" si="34"/>
        <v>13.972602739999999</v>
      </c>
      <c r="F1024" s="51">
        <f t="shared" si="34"/>
        <v>4.2435315400000002</v>
      </c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</row>
    <row r="1025" spans="1:28" x14ac:dyDescent="0.15">
      <c r="A1025" s="46" t="s">
        <v>2101</v>
      </c>
      <c r="B1025" s="52" t="s">
        <v>7361</v>
      </c>
      <c r="C1025" s="53" t="s">
        <v>2102</v>
      </c>
      <c r="D1025" s="54" t="s">
        <v>8467</v>
      </c>
      <c r="E1025" s="50">
        <f t="shared" si="34"/>
        <v>13.98630137</v>
      </c>
      <c r="F1025" s="51">
        <f t="shared" si="34"/>
        <v>4.2448075799999998</v>
      </c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</row>
    <row r="1026" spans="1:28" x14ac:dyDescent="0.15">
      <c r="A1026" s="46" t="s">
        <v>2103</v>
      </c>
      <c r="B1026" s="52" t="s">
        <v>7361</v>
      </c>
      <c r="C1026" s="53" t="s">
        <v>2104</v>
      </c>
      <c r="D1026" s="54" t="s">
        <v>8468</v>
      </c>
      <c r="E1026" s="50">
        <f t="shared" si="34"/>
        <v>14</v>
      </c>
      <c r="F1026" s="51">
        <f t="shared" si="34"/>
        <v>4.24609155</v>
      </c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</row>
    <row r="1027" spans="1:28" x14ac:dyDescent="0.15">
      <c r="A1027" s="46" t="s">
        <v>2105</v>
      </c>
      <c r="B1027" s="52" t="s">
        <v>7361</v>
      </c>
      <c r="C1027" s="53" t="s">
        <v>2106</v>
      </c>
      <c r="D1027" s="54" t="s">
        <v>8469</v>
      </c>
      <c r="E1027" s="50">
        <f t="shared" si="34"/>
        <v>14.01369863</v>
      </c>
      <c r="F1027" s="51">
        <f t="shared" si="34"/>
        <v>4.2473649399999998</v>
      </c>
      <c r="H1027" s="33"/>
      <c r="I1027" s="33"/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</row>
    <row r="1028" spans="1:28" x14ac:dyDescent="0.15">
      <c r="A1028" s="46" t="s">
        <v>2107</v>
      </c>
      <c r="B1028" s="52" t="s">
        <v>7361</v>
      </c>
      <c r="C1028" s="53" t="s">
        <v>2108</v>
      </c>
      <c r="D1028" s="54" t="s">
        <v>8470</v>
      </c>
      <c r="E1028" s="50">
        <f t="shared" si="34"/>
        <v>14.027397260000001</v>
      </c>
      <c r="F1028" s="51">
        <f t="shared" si="34"/>
        <v>4.24860959</v>
      </c>
      <c r="H1028" s="33"/>
      <c r="I1028" s="33"/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</row>
    <row r="1029" spans="1:28" x14ac:dyDescent="0.15">
      <c r="A1029" s="46" t="s">
        <v>2109</v>
      </c>
      <c r="B1029" s="52" t="s">
        <v>7361</v>
      </c>
      <c r="C1029" s="53" t="s">
        <v>2110</v>
      </c>
      <c r="D1029" s="54" t="s">
        <v>8471</v>
      </c>
      <c r="E1029" s="50">
        <f t="shared" si="34"/>
        <v>14.041095889999999</v>
      </c>
      <c r="F1029" s="51">
        <f t="shared" si="34"/>
        <v>4.2498267199999997</v>
      </c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</row>
    <row r="1030" spans="1:28" x14ac:dyDescent="0.15">
      <c r="A1030" s="46" t="s">
        <v>2111</v>
      </c>
      <c r="B1030" s="52" t="s">
        <v>7361</v>
      </c>
      <c r="C1030" s="53" t="s">
        <v>2112</v>
      </c>
      <c r="D1030" s="54" t="s">
        <v>8472</v>
      </c>
      <c r="E1030" s="50">
        <f t="shared" si="34"/>
        <v>14.05479452</v>
      </c>
      <c r="F1030" s="51">
        <f t="shared" si="34"/>
        <v>4.2510175700000001</v>
      </c>
      <c r="H1030" s="33"/>
      <c r="I1030" s="33"/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</row>
    <row r="1031" spans="1:28" x14ac:dyDescent="0.15">
      <c r="A1031" s="46" t="s">
        <v>2113</v>
      </c>
      <c r="B1031" s="52" t="s">
        <v>7361</v>
      </c>
      <c r="C1031" s="53" t="s">
        <v>2114</v>
      </c>
      <c r="D1031" s="54" t="s">
        <v>8473</v>
      </c>
      <c r="E1031" s="50">
        <f t="shared" si="34"/>
        <v>14.06849315</v>
      </c>
      <c r="F1031" s="51">
        <f t="shared" si="34"/>
        <v>4.25218338</v>
      </c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</row>
    <row r="1032" spans="1:28" x14ac:dyDescent="0.15">
      <c r="A1032" s="46" t="s">
        <v>2115</v>
      </c>
      <c r="B1032" s="52" t="s">
        <v>7361</v>
      </c>
      <c r="C1032" s="53" t="s">
        <v>2116</v>
      </c>
      <c r="D1032" s="54" t="s">
        <v>8474</v>
      </c>
      <c r="E1032" s="50">
        <f t="shared" si="34"/>
        <v>14.08219178</v>
      </c>
      <c r="F1032" s="51">
        <f t="shared" si="34"/>
        <v>4.2533253599999998</v>
      </c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</row>
    <row r="1033" spans="1:28" x14ac:dyDescent="0.15">
      <c r="A1033" s="46" t="s">
        <v>2117</v>
      </c>
      <c r="B1033" s="52" t="s">
        <v>7361</v>
      </c>
      <c r="C1033" s="53" t="s">
        <v>2118</v>
      </c>
      <c r="D1033" s="54" t="s">
        <v>8475</v>
      </c>
      <c r="E1033" s="50">
        <f t="shared" ref="E1033:F1063" si="35">VALUE(C1033)</f>
        <v>14.095890410000001</v>
      </c>
      <c r="F1033" s="51">
        <f t="shared" si="35"/>
        <v>4.2544447700000001</v>
      </c>
      <c r="H1033" s="33"/>
      <c r="I1033" s="33"/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</row>
    <row r="1034" spans="1:28" x14ac:dyDescent="0.15">
      <c r="A1034" s="46" t="s">
        <v>2119</v>
      </c>
      <c r="B1034" s="52" t="s">
        <v>7361</v>
      </c>
      <c r="C1034" s="53" t="s">
        <v>2120</v>
      </c>
      <c r="D1034" s="54" t="s">
        <v>8476</v>
      </c>
      <c r="E1034" s="50">
        <f t="shared" si="35"/>
        <v>14.109589039999999</v>
      </c>
      <c r="F1034" s="51">
        <f t="shared" si="35"/>
        <v>4.2555428099999997</v>
      </c>
      <c r="H1034" s="33"/>
      <c r="I1034" s="33"/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</row>
    <row r="1035" spans="1:28" x14ac:dyDescent="0.15">
      <c r="A1035" s="46" t="s">
        <v>2121</v>
      </c>
      <c r="B1035" s="52" t="s">
        <v>7361</v>
      </c>
      <c r="C1035" s="53" t="s">
        <v>2122</v>
      </c>
      <c r="D1035" s="54" t="s">
        <v>8477</v>
      </c>
      <c r="E1035" s="50">
        <f t="shared" si="35"/>
        <v>14.12328767</v>
      </c>
      <c r="F1035" s="51">
        <f t="shared" si="35"/>
        <v>4.2566207399999998</v>
      </c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</row>
    <row r="1036" spans="1:28" x14ac:dyDescent="0.15">
      <c r="A1036" s="46" t="s">
        <v>2123</v>
      </c>
      <c r="B1036" s="52" t="s">
        <v>7361</v>
      </c>
      <c r="C1036" s="53" t="s">
        <v>2124</v>
      </c>
      <c r="D1036" s="54" t="s">
        <v>8478</v>
      </c>
      <c r="E1036" s="50">
        <f t="shared" si="35"/>
        <v>14.1369863</v>
      </c>
      <c r="F1036" s="51">
        <f t="shared" si="35"/>
        <v>4.2576797800000001</v>
      </c>
      <c r="H1036" s="33"/>
      <c r="I1036" s="33"/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</row>
    <row r="1037" spans="1:28" x14ac:dyDescent="0.15">
      <c r="A1037" s="46" t="s">
        <v>2125</v>
      </c>
      <c r="B1037" s="52" t="s">
        <v>7361</v>
      </c>
      <c r="C1037" s="53" t="s">
        <v>2126</v>
      </c>
      <c r="D1037" s="54" t="s">
        <v>8479</v>
      </c>
      <c r="E1037" s="50">
        <f t="shared" si="35"/>
        <v>14.150684930000001</v>
      </c>
      <c r="F1037" s="51">
        <f t="shared" si="35"/>
        <v>4.2587211600000003</v>
      </c>
      <c r="H1037" s="33"/>
      <c r="I1037" s="33"/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</row>
    <row r="1038" spans="1:28" x14ac:dyDescent="0.15">
      <c r="A1038" s="46" t="s">
        <v>2127</v>
      </c>
      <c r="B1038" s="52" t="s">
        <v>7361</v>
      </c>
      <c r="C1038" s="53" t="s">
        <v>2128</v>
      </c>
      <c r="D1038" s="54" t="s">
        <v>8480</v>
      </c>
      <c r="E1038" s="50">
        <f t="shared" si="35"/>
        <v>14.164383559999999</v>
      </c>
      <c r="F1038" s="51">
        <f t="shared" si="35"/>
        <v>4.25974612</v>
      </c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</row>
    <row r="1039" spans="1:28" x14ac:dyDescent="0.15">
      <c r="A1039" s="46" t="s">
        <v>2129</v>
      </c>
      <c r="B1039" s="52" t="s">
        <v>7361</v>
      </c>
      <c r="C1039" s="53" t="s">
        <v>2130</v>
      </c>
      <c r="D1039" s="54" t="s">
        <v>8481</v>
      </c>
      <c r="E1039" s="50">
        <f t="shared" si="35"/>
        <v>14.17808219</v>
      </c>
      <c r="F1039" s="51">
        <f t="shared" si="35"/>
        <v>4.2607558799999996</v>
      </c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</row>
    <row r="1040" spans="1:28" x14ac:dyDescent="0.15">
      <c r="A1040" s="46" t="s">
        <v>2131</v>
      </c>
      <c r="B1040" s="52" t="s">
        <v>7361</v>
      </c>
      <c r="C1040" s="53" t="s">
        <v>2132</v>
      </c>
      <c r="D1040" s="54" t="s">
        <v>8482</v>
      </c>
      <c r="E1040" s="50">
        <f t="shared" si="35"/>
        <v>14.19178082</v>
      </c>
      <c r="F1040" s="51">
        <f t="shared" si="35"/>
        <v>4.2617516899999996</v>
      </c>
      <c r="H1040" s="33"/>
      <c r="I1040" s="33"/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</row>
    <row r="1041" spans="1:28" x14ac:dyDescent="0.15">
      <c r="A1041" s="46" t="s">
        <v>2133</v>
      </c>
      <c r="B1041" s="52" t="s">
        <v>7361</v>
      </c>
      <c r="C1041" s="53" t="s">
        <v>2134</v>
      </c>
      <c r="D1041" s="54" t="s">
        <v>8483</v>
      </c>
      <c r="E1041" s="50">
        <f t="shared" si="35"/>
        <v>14.20547945</v>
      </c>
      <c r="F1041" s="51">
        <f t="shared" si="35"/>
        <v>4.2627347599999998</v>
      </c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</row>
    <row r="1042" spans="1:28" x14ac:dyDescent="0.15">
      <c r="A1042" s="46" t="s">
        <v>2135</v>
      </c>
      <c r="B1042" s="52" t="s">
        <v>7361</v>
      </c>
      <c r="C1042" s="53" t="s">
        <v>2136</v>
      </c>
      <c r="D1042" s="54" t="s">
        <v>8484</v>
      </c>
      <c r="E1042" s="50">
        <f t="shared" si="35"/>
        <v>14.219178080000001</v>
      </c>
      <c r="F1042" s="51">
        <f t="shared" si="35"/>
        <v>4.2637063299999998</v>
      </c>
      <c r="H1042" s="33"/>
      <c r="I1042" s="33"/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</row>
    <row r="1043" spans="1:28" x14ac:dyDescent="0.15">
      <c r="A1043" s="46" t="s">
        <v>2137</v>
      </c>
      <c r="B1043" s="52" t="s">
        <v>7361</v>
      </c>
      <c r="C1043" s="53" t="s">
        <v>2138</v>
      </c>
      <c r="D1043" s="54" t="s">
        <v>8485</v>
      </c>
      <c r="E1043" s="50">
        <f t="shared" si="35"/>
        <v>14.232876709999999</v>
      </c>
      <c r="F1043" s="51">
        <f t="shared" si="35"/>
        <v>4.2646676399999999</v>
      </c>
      <c r="H1043" s="33"/>
      <c r="I1043" s="33"/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</row>
    <row r="1044" spans="1:28" x14ac:dyDescent="0.15">
      <c r="A1044" s="46" t="s">
        <v>2139</v>
      </c>
      <c r="B1044" s="52" t="s">
        <v>7361</v>
      </c>
      <c r="C1044" s="53" t="s">
        <v>2140</v>
      </c>
      <c r="D1044" s="54" t="s">
        <v>8486</v>
      </c>
      <c r="E1044" s="50">
        <f t="shared" si="35"/>
        <v>14.24657534</v>
      </c>
      <c r="F1044" s="51">
        <f t="shared" si="35"/>
        <v>4.2656199099999998</v>
      </c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</row>
    <row r="1045" spans="1:28" x14ac:dyDescent="0.15">
      <c r="A1045" s="46" t="s">
        <v>2141</v>
      </c>
      <c r="B1045" s="52" t="s">
        <v>7361</v>
      </c>
      <c r="C1045" s="53" t="s">
        <v>2142</v>
      </c>
      <c r="D1045" s="54" t="s">
        <v>8487</v>
      </c>
      <c r="E1045" s="50">
        <f t="shared" si="35"/>
        <v>14.26027397</v>
      </c>
      <c r="F1045" s="51">
        <f t="shared" si="35"/>
        <v>4.2665643900000001</v>
      </c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</row>
    <row r="1046" spans="1:28" x14ac:dyDescent="0.15">
      <c r="A1046" s="46" t="s">
        <v>2143</v>
      </c>
      <c r="B1046" s="52" t="s">
        <v>7361</v>
      </c>
      <c r="C1046" s="53" t="s">
        <v>2144</v>
      </c>
      <c r="D1046" s="54" t="s">
        <v>8488</v>
      </c>
      <c r="E1046" s="50">
        <f t="shared" si="35"/>
        <v>14.2739726</v>
      </c>
      <c r="F1046" s="51">
        <f t="shared" si="35"/>
        <v>4.2675022900000004</v>
      </c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</row>
    <row r="1047" spans="1:28" x14ac:dyDescent="0.15">
      <c r="A1047" s="46" t="s">
        <v>2145</v>
      </c>
      <c r="B1047" s="52" t="s">
        <v>7361</v>
      </c>
      <c r="C1047" s="53" t="s">
        <v>2146</v>
      </c>
      <c r="D1047" s="54" t="s">
        <v>8489</v>
      </c>
      <c r="E1047" s="50">
        <f t="shared" si="35"/>
        <v>14.287671230000001</v>
      </c>
      <c r="F1047" s="51">
        <f t="shared" si="35"/>
        <v>4.2684348500000002</v>
      </c>
      <c r="H1047" s="33"/>
      <c r="I1047" s="33"/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</row>
    <row r="1048" spans="1:28" x14ac:dyDescent="0.15">
      <c r="A1048" s="46" t="s">
        <v>2147</v>
      </c>
      <c r="B1048" s="52" t="s">
        <v>7361</v>
      </c>
      <c r="C1048" s="53" t="s">
        <v>2148</v>
      </c>
      <c r="D1048" s="54" t="s">
        <v>8490</v>
      </c>
      <c r="E1048" s="50">
        <f t="shared" si="35"/>
        <v>14.301369859999999</v>
      </c>
      <c r="F1048" s="51">
        <f t="shared" si="35"/>
        <v>4.2693633100000001</v>
      </c>
      <c r="H1048" s="33"/>
      <c r="I1048" s="33"/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</row>
    <row r="1049" spans="1:28" x14ac:dyDescent="0.15">
      <c r="A1049" s="46" t="s">
        <v>2149</v>
      </c>
      <c r="B1049" s="52" t="s">
        <v>7361</v>
      </c>
      <c r="C1049" s="53" t="s">
        <v>2150</v>
      </c>
      <c r="D1049" s="54" t="s">
        <v>8491</v>
      </c>
      <c r="E1049" s="50">
        <f t="shared" si="35"/>
        <v>14.31506849</v>
      </c>
      <c r="F1049" s="51">
        <f t="shared" si="35"/>
        <v>4.2702888899999998</v>
      </c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</row>
    <row r="1050" spans="1:28" x14ac:dyDescent="0.15">
      <c r="A1050" s="46" t="s">
        <v>2151</v>
      </c>
      <c r="B1050" s="52" t="s">
        <v>7361</v>
      </c>
      <c r="C1050" s="53" t="s">
        <v>2152</v>
      </c>
      <c r="D1050" s="54" t="s">
        <v>8492</v>
      </c>
      <c r="E1050" s="50">
        <f t="shared" si="35"/>
        <v>14.32876712</v>
      </c>
      <c r="F1050" s="51">
        <f t="shared" si="35"/>
        <v>4.2712128299999996</v>
      </c>
      <c r="H1050" s="33"/>
      <c r="I1050" s="33"/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</row>
    <row r="1051" spans="1:28" x14ac:dyDescent="0.15">
      <c r="A1051" s="46" t="s">
        <v>2153</v>
      </c>
      <c r="B1051" s="52" t="s">
        <v>7361</v>
      </c>
      <c r="C1051" s="53" t="s">
        <v>2154</v>
      </c>
      <c r="D1051" s="54" t="s">
        <v>8493</v>
      </c>
      <c r="E1051" s="50">
        <f t="shared" si="35"/>
        <v>14.342465750000001</v>
      </c>
      <c r="F1051" s="51">
        <f t="shared" si="35"/>
        <v>4.2721363600000002</v>
      </c>
      <c r="H1051" s="33"/>
      <c r="I1051" s="33"/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</row>
    <row r="1052" spans="1:28" x14ac:dyDescent="0.15">
      <c r="A1052" s="46" t="s">
        <v>2155</v>
      </c>
      <c r="B1052" s="52" t="s">
        <v>7361</v>
      </c>
      <c r="C1052" s="53" t="s">
        <v>2156</v>
      </c>
      <c r="D1052" s="54" t="s">
        <v>8494</v>
      </c>
      <c r="E1052" s="50">
        <f t="shared" si="35"/>
        <v>14.356164379999999</v>
      </c>
      <c r="F1052" s="51">
        <f t="shared" si="35"/>
        <v>4.2730607200000001</v>
      </c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</row>
    <row r="1053" spans="1:28" x14ac:dyDescent="0.15">
      <c r="A1053" s="46" t="s">
        <v>2157</v>
      </c>
      <c r="B1053" s="52" t="s">
        <v>7361</v>
      </c>
      <c r="C1053" s="53" t="s">
        <v>2158</v>
      </c>
      <c r="D1053" s="54" t="s">
        <v>8495</v>
      </c>
      <c r="E1053" s="50">
        <f t="shared" si="35"/>
        <v>14.36986301</v>
      </c>
      <c r="F1053" s="51">
        <f t="shared" si="35"/>
        <v>4.2739871200000001</v>
      </c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</row>
    <row r="1054" spans="1:28" x14ac:dyDescent="0.15">
      <c r="A1054" s="46" t="s">
        <v>2159</v>
      </c>
      <c r="B1054" s="52" t="s">
        <v>7361</v>
      </c>
      <c r="C1054" s="53" t="s">
        <v>2160</v>
      </c>
      <c r="D1054" s="54" t="s">
        <v>8496</v>
      </c>
      <c r="E1054" s="50">
        <f t="shared" si="35"/>
        <v>14.38356164</v>
      </c>
      <c r="F1054" s="51">
        <f t="shared" si="35"/>
        <v>4.2749168099999997</v>
      </c>
      <c r="H1054" s="33"/>
      <c r="I1054" s="33"/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</row>
    <row r="1055" spans="1:28" x14ac:dyDescent="0.15">
      <c r="A1055" s="46" t="s">
        <v>2161</v>
      </c>
      <c r="B1055" s="52" t="s">
        <v>7361</v>
      </c>
      <c r="C1055" s="53" t="s">
        <v>2162</v>
      </c>
      <c r="D1055" s="54" t="s">
        <v>8497</v>
      </c>
      <c r="E1055" s="50">
        <f t="shared" si="35"/>
        <v>14.39726027</v>
      </c>
      <c r="F1055" s="51">
        <f t="shared" si="35"/>
        <v>4.2758510200000002</v>
      </c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</row>
    <row r="1056" spans="1:28" x14ac:dyDescent="0.15">
      <c r="A1056" s="46" t="s">
        <v>2163</v>
      </c>
      <c r="B1056" s="52" t="s">
        <v>7361</v>
      </c>
      <c r="C1056" s="53" t="s">
        <v>2164</v>
      </c>
      <c r="D1056" s="54" t="s">
        <v>8498</v>
      </c>
      <c r="E1056" s="50">
        <f t="shared" si="35"/>
        <v>14.410958900000001</v>
      </c>
      <c r="F1056" s="51">
        <f t="shared" si="35"/>
        <v>4.2767909700000004</v>
      </c>
      <c r="H1056" s="33"/>
      <c r="I1056" s="33"/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</row>
    <row r="1057" spans="1:28" x14ac:dyDescent="0.15">
      <c r="A1057" s="46" t="s">
        <v>2165</v>
      </c>
      <c r="B1057" s="52" t="s">
        <v>7361</v>
      </c>
      <c r="C1057" s="53" t="s">
        <v>2166</v>
      </c>
      <c r="D1057" s="54" t="s">
        <v>8499</v>
      </c>
      <c r="E1057" s="50">
        <f t="shared" si="35"/>
        <v>14.424657529999999</v>
      </c>
      <c r="F1057" s="51">
        <f t="shared" si="35"/>
        <v>4.2777379099999999</v>
      </c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</row>
    <row r="1058" spans="1:28" x14ac:dyDescent="0.15">
      <c r="A1058" s="46" t="s">
        <v>2167</v>
      </c>
      <c r="B1058" s="52" t="s">
        <v>7361</v>
      </c>
      <c r="C1058" s="53" t="s">
        <v>2168</v>
      </c>
      <c r="D1058" s="54" t="s">
        <v>8500</v>
      </c>
      <c r="E1058" s="50">
        <f t="shared" si="35"/>
        <v>14.43835616</v>
      </c>
      <c r="F1058" s="51">
        <f t="shared" si="35"/>
        <v>4.2786930600000002</v>
      </c>
      <c r="H1058" s="33"/>
      <c r="I1058" s="33"/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</row>
    <row r="1059" spans="1:28" x14ac:dyDescent="0.15">
      <c r="A1059" s="46" t="s">
        <v>2169</v>
      </c>
      <c r="B1059" s="52" t="s">
        <v>7361</v>
      </c>
      <c r="C1059" s="53" t="s">
        <v>2170</v>
      </c>
      <c r="D1059" s="54" t="s">
        <v>8501</v>
      </c>
      <c r="E1059" s="50">
        <f t="shared" si="35"/>
        <v>14.45205479</v>
      </c>
      <c r="F1059" s="51">
        <f t="shared" si="35"/>
        <v>4.2796576499999999</v>
      </c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</row>
    <row r="1060" spans="1:28" x14ac:dyDescent="0.15">
      <c r="A1060" s="46" t="s">
        <v>2171</v>
      </c>
      <c r="B1060" s="52" t="s">
        <v>7361</v>
      </c>
      <c r="C1060" s="53" t="s">
        <v>2172</v>
      </c>
      <c r="D1060" s="54" t="s">
        <v>8502</v>
      </c>
      <c r="E1060" s="50">
        <f t="shared" si="35"/>
        <v>14.46575342</v>
      </c>
      <c r="F1060" s="51">
        <f t="shared" si="35"/>
        <v>4.2806329200000004</v>
      </c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</row>
    <row r="1061" spans="1:28" x14ac:dyDescent="0.15">
      <c r="A1061" s="46" t="s">
        <v>2173</v>
      </c>
      <c r="B1061" s="52" t="s">
        <v>7361</v>
      </c>
      <c r="C1061" s="53" t="s">
        <v>2174</v>
      </c>
      <c r="D1061" s="54" t="s">
        <v>8503</v>
      </c>
      <c r="E1061" s="50">
        <f t="shared" si="35"/>
        <v>14.479452050000001</v>
      </c>
      <c r="F1061" s="51">
        <f t="shared" si="35"/>
        <v>4.2816200999999996</v>
      </c>
      <c r="H1061" s="33"/>
      <c r="I1061" s="33"/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</row>
    <row r="1062" spans="1:28" x14ac:dyDescent="0.15">
      <c r="A1062" s="46" t="s">
        <v>2175</v>
      </c>
      <c r="B1062" s="52" t="s">
        <v>7361</v>
      </c>
      <c r="C1062" s="53" t="s">
        <v>2176</v>
      </c>
      <c r="D1062" s="54" t="s">
        <v>8504</v>
      </c>
      <c r="E1062" s="50">
        <f t="shared" si="35"/>
        <v>14.493150679999999</v>
      </c>
      <c r="F1062" s="51">
        <f t="shared" si="35"/>
        <v>4.2826204199999998</v>
      </c>
      <c r="H1062" s="33"/>
      <c r="I1062" s="33"/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</row>
    <row r="1063" spans="1:28" x14ac:dyDescent="0.15">
      <c r="A1063" s="46" t="s">
        <v>2177</v>
      </c>
      <c r="B1063" s="52" t="s">
        <v>7361</v>
      </c>
      <c r="C1063" s="53" t="s">
        <v>2178</v>
      </c>
      <c r="D1063" s="54" t="s">
        <v>8505</v>
      </c>
      <c r="E1063" s="50">
        <f t="shared" si="35"/>
        <v>14.506849320000001</v>
      </c>
      <c r="F1063" s="51">
        <f t="shared" si="35"/>
        <v>4.2836278500000002</v>
      </c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</row>
    <row r="1064" spans="1:28" x14ac:dyDescent="0.15">
      <c r="A1064" s="46" t="s">
        <v>2179</v>
      </c>
      <c r="B1064" s="52" t="s">
        <v>7361</v>
      </c>
      <c r="C1064" s="53" t="s">
        <v>2180</v>
      </c>
      <c r="D1064" s="54" t="s">
        <v>8506</v>
      </c>
      <c r="E1064" s="50">
        <f t="shared" ref="E1064:F1093" si="36">VALUE(C1064)</f>
        <v>14.520547949999999</v>
      </c>
      <c r="F1064" s="51">
        <f t="shared" si="36"/>
        <v>4.2846002700000003</v>
      </c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</row>
    <row r="1065" spans="1:28" x14ac:dyDescent="0.15">
      <c r="A1065" s="46" t="s">
        <v>2181</v>
      </c>
      <c r="B1065" s="52" t="s">
        <v>7361</v>
      </c>
      <c r="C1065" s="53" t="s">
        <v>2182</v>
      </c>
      <c r="D1065" s="54" t="s">
        <v>8507</v>
      </c>
      <c r="E1065" s="50">
        <f t="shared" si="36"/>
        <v>14.53424658</v>
      </c>
      <c r="F1065" s="51">
        <f t="shared" si="36"/>
        <v>4.2855321799999997</v>
      </c>
      <c r="H1065" s="33"/>
      <c r="I1065" s="33"/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</row>
    <row r="1066" spans="1:28" x14ac:dyDescent="0.15">
      <c r="A1066" s="46" t="s">
        <v>2183</v>
      </c>
      <c r="B1066" s="52" t="s">
        <v>7361</v>
      </c>
      <c r="C1066" s="53" t="s">
        <v>2184</v>
      </c>
      <c r="D1066" s="54" t="s">
        <v>8508</v>
      </c>
      <c r="E1066" s="50">
        <f t="shared" si="36"/>
        <v>14.54794521</v>
      </c>
      <c r="F1066" s="51">
        <f t="shared" si="36"/>
        <v>4.28642535</v>
      </c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</row>
    <row r="1067" spans="1:28" x14ac:dyDescent="0.15">
      <c r="A1067" s="46" t="s">
        <v>2185</v>
      </c>
      <c r="B1067" s="52" t="s">
        <v>7361</v>
      </c>
      <c r="C1067" s="53" t="s">
        <v>2186</v>
      </c>
      <c r="D1067" s="54" t="s">
        <v>8509</v>
      </c>
      <c r="E1067" s="50">
        <f t="shared" si="36"/>
        <v>14.56164384</v>
      </c>
      <c r="F1067" s="51">
        <f t="shared" si="36"/>
        <v>4.2872815500000003</v>
      </c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</row>
    <row r="1068" spans="1:28" x14ac:dyDescent="0.15">
      <c r="A1068" s="46" t="s">
        <v>2187</v>
      </c>
      <c r="B1068" s="52" t="s">
        <v>7361</v>
      </c>
      <c r="C1068" s="53" t="s">
        <v>2188</v>
      </c>
      <c r="D1068" s="54" t="s">
        <v>8510</v>
      </c>
      <c r="E1068" s="50">
        <f t="shared" si="36"/>
        <v>14.575342470000001</v>
      </c>
      <c r="F1068" s="51">
        <f t="shared" si="36"/>
        <v>4.2881025599999996</v>
      </c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</row>
    <row r="1069" spans="1:28" x14ac:dyDescent="0.15">
      <c r="A1069" s="46" t="s">
        <v>2189</v>
      </c>
      <c r="B1069" s="52" t="s">
        <v>7361</v>
      </c>
      <c r="C1069" s="53" t="s">
        <v>2190</v>
      </c>
      <c r="D1069" s="54" t="s">
        <v>8511</v>
      </c>
      <c r="E1069" s="50">
        <f t="shared" si="36"/>
        <v>14.589041099999999</v>
      </c>
      <c r="F1069" s="51">
        <f t="shared" si="36"/>
        <v>4.2888901600000002</v>
      </c>
      <c r="H1069" s="33"/>
      <c r="I1069" s="33"/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</row>
    <row r="1070" spans="1:28" x14ac:dyDescent="0.15">
      <c r="A1070" s="46" t="s">
        <v>2191</v>
      </c>
      <c r="B1070" s="52" t="s">
        <v>7361</v>
      </c>
      <c r="C1070" s="53" t="s">
        <v>2192</v>
      </c>
      <c r="D1070" s="54" t="s">
        <v>8512</v>
      </c>
      <c r="E1070" s="50">
        <f t="shared" si="36"/>
        <v>14.60273973</v>
      </c>
      <c r="F1070" s="51">
        <f t="shared" si="36"/>
        <v>4.2896461099999996</v>
      </c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</row>
    <row r="1071" spans="1:28" x14ac:dyDescent="0.15">
      <c r="A1071" s="46" t="s">
        <v>2193</v>
      </c>
      <c r="B1071" s="52" t="s">
        <v>7361</v>
      </c>
      <c r="C1071" s="53" t="s">
        <v>2194</v>
      </c>
      <c r="D1071" s="54" t="s">
        <v>8513</v>
      </c>
      <c r="E1071" s="50">
        <f t="shared" si="36"/>
        <v>14.61643836</v>
      </c>
      <c r="F1071" s="51">
        <f t="shared" si="36"/>
        <v>4.2903721900000003</v>
      </c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</row>
    <row r="1072" spans="1:28" x14ac:dyDescent="0.15">
      <c r="A1072" s="46" t="s">
        <v>2195</v>
      </c>
      <c r="B1072" s="52" t="s">
        <v>7361</v>
      </c>
      <c r="C1072" s="53" t="s">
        <v>2196</v>
      </c>
      <c r="D1072" s="54" t="s">
        <v>8514</v>
      </c>
      <c r="E1072" s="50">
        <f t="shared" si="36"/>
        <v>14.63013699</v>
      </c>
      <c r="F1072" s="51">
        <f t="shared" si="36"/>
        <v>4.2910701800000002</v>
      </c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</row>
    <row r="1073" spans="1:28" x14ac:dyDescent="0.15">
      <c r="A1073" s="46" t="s">
        <v>2197</v>
      </c>
      <c r="B1073" s="52" t="s">
        <v>7361</v>
      </c>
      <c r="C1073" s="53" t="s">
        <v>2198</v>
      </c>
      <c r="D1073" s="54" t="s">
        <v>8515</v>
      </c>
      <c r="E1073" s="50">
        <f t="shared" si="36"/>
        <v>14.643835620000001</v>
      </c>
      <c r="F1073" s="51">
        <f t="shared" si="36"/>
        <v>4.2917418400000003</v>
      </c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</row>
    <row r="1074" spans="1:28" x14ac:dyDescent="0.15">
      <c r="A1074" s="46" t="s">
        <v>2199</v>
      </c>
      <c r="B1074" s="52" t="s">
        <v>7361</v>
      </c>
      <c r="C1074" s="53" t="s">
        <v>2200</v>
      </c>
      <c r="D1074" s="54" t="s">
        <v>8516</v>
      </c>
      <c r="E1074" s="50">
        <f t="shared" si="36"/>
        <v>14.657534249999999</v>
      </c>
      <c r="F1074" s="51">
        <f t="shared" si="36"/>
        <v>4.2923889600000003</v>
      </c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</row>
    <row r="1075" spans="1:28" x14ac:dyDescent="0.15">
      <c r="A1075" s="46" t="s">
        <v>2201</v>
      </c>
      <c r="B1075" s="52" t="s">
        <v>7361</v>
      </c>
      <c r="C1075" s="53" t="s">
        <v>2202</v>
      </c>
      <c r="D1075" s="54" t="s">
        <v>8517</v>
      </c>
      <c r="E1075" s="50">
        <f t="shared" si="36"/>
        <v>14.67123288</v>
      </c>
      <c r="F1075" s="51">
        <f t="shared" si="36"/>
        <v>4.2930133100000001</v>
      </c>
      <c r="H1075" s="33"/>
      <c r="I1075" s="33"/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</row>
    <row r="1076" spans="1:28" x14ac:dyDescent="0.15">
      <c r="A1076" s="46" t="s">
        <v>2203</v>
      </c>
      <c r="B1076" s="52" t="s">
        <v>7361</v>
      </c>
      <c r="C1076" s="53" t="s">
        <v>2204</v>
      </c>
      <c r="D1076" s="54" t="s">
        <v>8518</v>
      </c>
      <c r="E1076" s="50">
        <f t="shared" si="36"/>
        <v>14.68493151</v>
      </c>
      <c r="F1076" s="51">
        <f t="shared" si="36"/>
        <v>4.2936166699999996</v>
      </c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</row>
    <row r="1077" spans="1:28" x14ac:dyDescent="0.15">
      <c r="A1077" s="46" t="s">
        <v>2205</v>
      </c>
      <c r="B1077" s="52" t="s">
        <v>7361</v>
      </c>
      <c r="C1077" s="53" t="s">
        <v>2206</v>
      </c>
      <c r="D1077" s="54" t="s">
        <v>8519</v>
      </c>
      <c r="E1077" s="50">
        <f t="shared" si="36"/>
        <v>14.698630140000001</v>
      </c>
      <c r="F1077" s="51">
        <f t="shared" si="36"/>
        <v>4.2942007999999996</v>
      </c>
      <c r="H1077" s="33"/>
      <c r="I1077" s="33"/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</row>
    <row r="1078" spans="1:28" x14ac:dyDescent="0.15">
      <c r="A1078" s="46" t="s">
        <v>2207</v>
      </c>
      <c r="B1078" s="52" t="s">
        <v>7361</v>
      </c>
      <c r="C1078" s="53" t="s">
        <v>2208</v>
      </c>
      <c r="D1078" s="54" t="s">
        <v>8520</v>
      </c>
      <c r="E1078" s="50">
        <f t="shared" si="36"/>
        <v>14.712328769999999</v>
      </c>
      <c r="F1078" s="51">
        <f t="shared" si="36"/>
        <v>4.29476748</v>
      </c>
      <c r="H1078" s="33"/>
      <c r="I1078" s="33"/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</row>
    <row r="1079" spans="1:28" x14ac:dyDescent="0.15">
      <c r="A1079" s="46" t="s">
        <v>2209</v>
      </c>
      <c r="B1079" s="52" t="s">
        <v>7361</v>
      </c>
      <c r="C1079" s="53" t="s">
        <v>2210</v>
      </c>
      <c r="D1079" s="54" t="s">
        <v>8521</v>
      </c>
      <c r="E1079" s="50">
        <f t="shared" si="36"/>
        <v>14.7260274</v>
      </c>
      <c r="F1079" s="51">
        <f t="shared" si="36"/>
        <v>4.2953184899999997</v>
      </c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</row>
    <row r="1080" spans="1:28" x14ac:dyDescent="0.15">
      <c r="A1080" s="46" t="s">
        <v>2211</v>
      </c>
      <c r="B1080" s="52" t="s">
        <v>7361</v>
      </c>
      <c r="C1080" s="53" t="s">
        <v>2212</v>
      </c>
      <c r="D1080" s="54" t="s">
        <v>8522</v>
      </c>
      <c r="E1080" s="50">
        <f t="shared" si="36"/>
        <v>14.73972603</v>
      </c>
      <c r="F1080" s="51">
        <f t="shared" si="36"/>
        <v>4.2958556000000003</v>
      </c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</row>
    <row r="1081" spans="1:28" x14ac:dyDescent="0.15">
      <c r="A1081" s="46" t="s">
        <v>2213</v>
      </c>
      <c r="B1081" s="52" t="s">
        <v>7361</v>
      </c>
      <c r="C1081" s="53" t="s">
        <v>2214</v>
      </c>
      <c r="D1081" s="54" t="s">
        <v>8523</v>
      </c>
      <c r="E1081" s="50">
        <f t="shared" si="36"/>
        <v>14.75342466</v>
      </c>
      <c r="F1081" s="51">
        <f t="shared" si="36"/>
        <v>4.2963805800000001</v>
      </c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</row>
    <row r="1082" spans="1:28" x14ac:dyDescent="0.15">
      <c r="A1082" s="46" t="s">
        <v>2215</v>
      </c>
      <c r="B1082" s="52" t="s">
        <v>7361</v>
      </c>
      <c r="C1082" s="53" t="s">
        <v>2216</v>
      </c>
      <c r="D1082" s="54" t="s">
        <v>8524</v>
      </c>
      <c r="E1082" s="50">
        <f t="shared" si="36"/>
        <v>14.767123290000001</v>
      </c>
      <c r="F1082" s="51">
        <f t="shared" si="36"/>
        <v>4.2968952199999997</v>
      </c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</row>
    <row r="1083" spans="1:28" x14ac:dyDescent="0.15">
      <c r="A1083" s="46" t="s">
        <v>2217</v>
      </c>
      <c r="B1083" s="52" t="s">
        <v>7361</v>
      </c>
      <c r="C1083" s="53" t="s">
        <v>2218</v>
      </c>
      <c r="D1083" s="54" t="s">
        <v>8525</v>
      </c>
      <c r="E1083" s="50">
        <f t="shared" si="36"/>
        <v>14.780821919999999</v>
      </c>
      <c r="F1083" s="51">
        <f t="shared" si="36"/>
        <v>4.2974012799999999</v>
      </c>
      <c r="H1083" s="33"/>
      <c r="I1083" s="33"/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</row>
    <row r="1084" spans="1:28" x14ac:dyDescent="0.15">
      <c r="A1084" s="46" t="s">
        <v>2219</v>
      </c>
      <c r="B1084" s="52" t="s">
        <v>7361</v>
      </c>
      <c r="C1084" s="53" t="s">
        <v>2220</v>
      </c>
      <c r="D1084" s="54" t="s">
        <v>8526</v>
      </c>
      <c r="E1084" s="50">
        <f t="shared" si="36"/>
        <v>14.79452055</v>
      </c>
      <c r="F1084" s="51">
        <f t="shared" si="36"/>
        <v>4.2979005299999997</v>
      </c>
      <c r="H1084" s="33"/>
      <c r="I1084" s="33"/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</row>
    <row r="1085" spans="1:28" x14ac:dyDescent="0.15">
      <c r="A1085" s="46" t="s">
        <v>2221</v>
      </c>
      <c r="B1085" s="52" t="s">
        <v>7361</v>
      </c>
      <c r="C1085" s="53" t="s">
        <v>2222</v>
      </c>
      <c r="D1085" s="54" t="s">
        <v>8527</v>
      </c>
      <c r="E1085" s="50">
        <f t="shared" si="36"/>
        <v>14.80821918</v>
      </c>
      <c r="F1085" s="51">
        <f t="shared" si="36"/>
        <v>4.2983947599999999</v>
      </c>
      <c r="H1085" s="33"/>
      <c r="I1085" s="33"/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</row>
    <row r="1086" spans="1:28" x14ac:dyDescent="0.15">
      <c r="A1086" s="46" t="s">
        <v>2223</v>
      </c>
      <c r="B1086" s="52" t="s">
        <v>7361</v>
      </c>
      <c r="C1086" s="53" t="s">
        <v>2224</v>
      </c>
      <c r="D1086" s="54" t="s">
        <v>8528</v>
      </c>
      <c r="E1086" s="50">
        <f t="shared" si="36"/>
        <v>14.82191781</v>
      </c>
      <c r="F1086" s="51">
        <f t="shared" si="36"/>
        <v>4.2988857400000002</v>
      </c>
      <c r="H1086" s="33"/>
      <c r="I1086" s="33"/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</row>
    <row r="1087" spans="1:28" x14ac:dyDescent="0.15">
      <c r="A1087" s="46" t="s">
        <v>2225</v>
      </c>
      <c r="B1087" s="52" t="s">
        <v>7361</v>
      </c>
      <c r="C1087" s="53" t="s">
        <v>2226</v>
      </c>
      <c r="D1087" s="54" t="s">
        <v>8529</v>
      </c>
      <c r="E1087" s="50">
        <f t="shared" si="36"/>
        <v>14.835616440000001</v>
      </c>
      <c r="F1087" s="51">
        <f t="shared" si="36"/>
        <v>4.2993752399999998</v>
      </c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</row>
    <row r="1088" spans="1:28" x14ac:dyDescent="0.15">
      <c r="A1088" s="46" t="s">
        <v>2227</v>
      </c>
      <c r="B1088" s="52" t="s">
        <v>7361</v>
      </c>
      <c r="C1088" s="53" t="s">
        <v>2228</v>
      </c>
      <c r="D1088" s="54" t="s">
        <v>8530</v>
      </c>
      <c r="E1088" s="50">
        <f t="shared" si="36"/>
        <v>14.849315069999999</v>
      </c>
      <c r="F1088" s="51">
        <f t="shared" si="36"/>
        <v>4.2998650300000003</v>
      </c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</row>
    <row r="1089" spans="1:28" x14ac:dyDescent="0.15">
      <c r="A1089" s="46" t="s">
        <v>2229</v>
      </c>
      <c r="B1089" s="52" t="s">
        <v>7361</v>
      </c>
      <c r="C1089" s="53" t="s">
        <v>2230</v>
      </c>
      <c r="D1089" s="54" t="s">
        <v>8531</v>
      </c>
      <c r="E1089" s="50">
        <f t="shared" si="36"/>
        <v>14.8630137</v>
      </c>
      <c r="F1089" s="51">
        <f t="shared" si="36"/>
        <v>4.3003568899999998</v>
      </c>
      <c r="H1089" s="33"/>
      <c r="I1089" s="33"/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</row>
    <row r="1090" spans="1:28" x14ac:dyDescent="0.15">
      <c r="A1090" s="46" t="s">
        <v>2231</v>
      </c>
      <c r="B1090" s="52" t="s">
        <v>7361</v>
      </c>
      <c r="C1090" s="53" t="s">
        <v>2232</v>
      </c>
      <c r="D1090" s="54" t="s">
        <v>8532</v>
      </c>
      <c r="E1090" s="50">
        <f t="shared" si="36"/>
        <v>14.87671233</v>
      </c>
      <c r="F1090" s="51">
        <f t="shared" si="36"/>
        <v>4.3008525999999998</v>
      </c>
      <c r="H1090" s="33"/>
      <c r="I1090" s="33"/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</row>
    <row r="1091" spans="1:28" x14ac:dyDescent="0.15">
      <c r="A1091" s="46" t="s">
        <v>2233</v>
      </c>
      <c r="B1091" s="52" t="s">
        <v>7361</v>
      </c>
      <c r="C1091" s="53" t="s">
        <v>2234</v>
      </c>
      <c r="D1091" s="54" t="s">
        <v>8533</v>
      </c>
      <c r="E1091" s="50">
        <f t="shared" si="36"/>
        <v>14.890410960000001</v>
      </c>
      <c r="F1091" s="51">
        <f t="shared" si="36"/>
        <v>4.3013539300000003</v>
      </c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</row>
    <row r="1092" spans="1:28" x14ac:dyDescent="0.15">
      <c r="A1092" s="46" t="s">
        <v>2235</v>
      </c>
      <c r="B1092" s="52" t="s">
        <v>7361</v>
      </c>
      <c r="C1092" s="53" t="s">
        <v>2236</v>
      </c>
      <c r="D1092" s="54" t="s">
        <v>8534</v>
      </c>
      <c r="E1092" s="50">
        <f t="shared" si="36"/>
        <v>14.904109589999999</v>
      </c>
      <c r="F1092" s="51">
        <f t="shared" si="36"/>
        <v>4.3018626400000004</v>
      </c>
      <c r="H1092" s="33"/>
      <c r="I1092" s="33"/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</row>
    <row r="1093" spans="1:28" x14ac:dyDescent="0.15">
      <c r="A1093" s="46" t="s">
        <v>2237</v>
      </c>
      <c r="B1093" s="52" t="s">
        <v>7361</v>
      </c>
      <c r="C1093" s="53" t="s">
        <v>2238</v>
      </c>
      <c r="D1093" s="54" t="s">
        <v>8535</v>
      </c>
      <c r="E1093" s="50">
        <f t="shared" si="36"/>
        <v>14.91780822</v>
      </c>
      <c r="F1093" s="51">
        <f t="shared" si="36"/>
        <v>4.3023805299999998</v>
      </c>
      <c r="H1093" s="33"/>
      <c r="I1093" s="33"/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</row>
    <row r="1094" spans="1:28" x14ac:dyDescent="0.15">
      <c r="A1094" s="46" t="s">
        <v>2239</v>
      </c>
      <c r="B1094" s="52" t="s">
        <v>7361</v>
      </c>
      <c r="C1094" s="53" t="s">
        <v>2240</v>
      </c>
      <c r="D1094" s="54" t="s">
        <v>8536</v>
      </c>
      <c r="E1094" s="50">
        <f t="shared" ref="E1094:F1109" si="37">VALUE(C1094)</f>
        <v>14.93150685</v>
      </c>
      <c r="F1094" s="51">
        <f t="shared" si="37"/>
        <v>4.3029093600000001</v>
      </c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</row>
    <row r="1095" spans="1:28" x14ac:dyDescent="0.15">
      <c r="A1095" s="46" t="s">
        <v>2241</v>
      </c>
      <c r="B1095" s="52" t="s">
        <v>7361</v>
      </c>
      <c r="C1095" s="53" t="s">
        <v>2242</v>
      </c>
      <c r="D1095" s="54" t="s">
        <v>8537</v>
      </c>
      <c r="E1095" s="50">
        <f t="shared" si="37"/>
        <v>14.94520548</v>
      </c>
      <c r="F1095" s="51">
        <f t="shared" si="37"/>
        <v>4.3034509099999996</v>
      </c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</row>
    <row r="1096" spans="1:28" x14ac:dyDescent="0.15">
      <c r="A1096" s="46" t="s">
        <v>2243</v>
      </c>
      <c r="B1096" s="52" t="s">
        <v>7361</v>
      </c>
      <c r="C1096" s="53" t="s">
        <v>2244</v>
      </c>
      <c r="D1096" s="54" t="s">
        <v>8538</v>
      </c>
      <c r="E1096" s="50">
        <f t="shared" si="37"/>
        <v>14.958904110000001</v>
      </c>
      <c r="F1096" s="51">
        <f t="shared" si="37"/>
        <v>4.3040069399999998</v>
      </c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</row>
    <row r="1097" spans="1:28" x14ac:dyDescent="0.15">
      <c r="A1097" s="46" t="s">
        <v>2245</v>
      </c>
      <c r="B1097" s="52" t="s">
        <v>7361</v>
      </c>
      <c r="C1097" s="53" t="s">
        <v>2246</v>
      </c>
      <c r="D1097" s="54" t="s">
        <v>8539</v>
      </c>
      <c r="E1097" s="50">
        <f t="shared" si="37"/>
        <v>14.972602739999999</v>
      </c>
      <c r="F1097" s="51">
        <f t="shared" si="37"/>
        <v>4.3045792399999998</v>
      </c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</row>
    <row r="1098" spans="1:28" x14ac:dyDescent="0.15">
      <c r="A1098" s="46" t="s">
        <v>2247</v>
      </c>
      <c r="B1098" s="52" t="s">
        <v>7361</v>
      </c>
      <c r="C1098" s="53" t="s">
        <v>2248</v>
      </c>
      <c r="D1098" s="54" t="s">
        <v>8540</v>
      </c>
      <c r="E1098" s="50">
        <f t="shared" si="37"/>
        <v>14.98630137</v>
      </c>
      <c r="F1098" s="51">
        <f t="shared" si="37"/>
        <v>4.3051695900000002</v>
      </c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</row>
    <row r="1099" spans="1:28" x14ac:dyDescent="0.15">
      <c r="A1099" s="46" t="s">
        <v>2249</v>
      </c>
      <c r="B1099" s="52" t="s">
        <v>7361</v>
      </c>
      <c r="C1099" s="53" t="s">
        <v>2250</v>
      </c>
      <c r="D1099" s="54" t="s">
        <v>8541</v>
      </c>
      <c r="E1099" s="50">
        <f t="shared" si="37"/>
        <v>15</v>
      </c>
      <c r="F1099" s="51">
        <f t="shared" si="37"/>
        <v>4.3057797400000002</v>
      </c>
      <c r="H1099" s="33"/>
      <c r="I1099" s="33"/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</row>
    <row r="1100" spans="1:28" x14ac:dyDescent="0.15">
      <c r="A1100" s="46" t="s">
        <v>2251</v>
      </c>
      <c r="B1100" s="52" t="s">
        <v>7361</v>
      </c>
      <c r="C1100" s="53" t="s">
        <v>2252</v>
      </c>
      <c r="D1100" s="54" t="s">
        <v>8542</v>
      </c>
      <c r="E1100" s="50">
        <f t="shared" si="37"/>
        <v>15.01369863</v>
      </c>
      <c r="F1100" s="51">
        <f t="shared" si="37"/>
        <v>4.3063849799999998</v>
      </c>
      <c r="H1100" s="33"/>
      <c r="I1100" s="33"/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</row>
    <row r="1101" spans="1:28" x14ac:dyDescent="0.15">
      <c r="A1101" s="46" t="s">
        <v>2253</v>
      </c>
      <c r="B1101" s="52" t="s">
        <v>7361</v>
      </c>
      <c r="C1101" s="53" t="s">
        <v>2254</v>
      </c>
      <c r="D1101" s="54" t="s">
        <v>8543</v>
      </c>
      <c r="E1101" s="50">
        <f t="shared" si="37"/>
        <v>15.027397260000001</v>
      </c>
      <c r="F1101" s="51">
        <f t="shared" si="37"/>
        <v>4.3069602600000003</v>
      </c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</row>
    <row r="1102" spans="1:28" x14ac:dyDescent="0.15">
      <c r="A1102" s="46" t="s">
        <v>2255</v>
      </c>
      <c r="B1102" s="52" t="s">
        <v>7361</v>
      </c>
      <c r="C1102" s="53" t="s">
        <v>2256</v>
      </c>
      <c r="D1102" s="54" t="s">
        <v>8544</v>
      </c>
      <c r="E1102" s="50">
        <f t="shared" si="37"/>
        <v>15.041095889999999</v>
      </c>
      <c r="F1102" s="51">
        <f t="shared" si="37"/>
        <v>4.3075068500000002</v>
      </c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</row>
    <row r="1103" spans="1:28" x14ac:dyDescent="0.15">
      <c r="A1103" s="46" t="s">
        <v>2257</v>
      </c>
      <c r="B1103" s="52" t="s">
        <v>7361</v>
      </c>
      <c r="C1103" s="53" t="s">
        <v>2258</v>
      </c>
      <c r="D1103" s="54" t="s">
        <v>8545</v>
      </c>
      <c r="E1103" s="50">
        <f t="shared" si="37"/>
        <v>15.05479452</v>
      </c>
      <c r="F1103" s="51">
        <f t="shared" si="37"/>
        <v>4.3080260499999996</v>
      </c>
      <c r="H1103" s="33"/>
      <c r="I1103" s="33"/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</row>
    <row r="1104" spans="1:28" x14ac:dyDescent="0.15">
      <c r="A1104" s="46" t="s">
        <v>2259</v>
      </c>
      <c r="B1104" s="52" t="s">
        <v>7361</v>
      </c>
      <c r="C1104" s="53" t="s">
        <v>2260</v>
      </c>
      <c r="D1104" s="54" t="s">
        <v>8546</v>
      </c>
      <c r="E1104" s="50">
        <f t="shared" si="37"/>
        <v>15.06849315</v>
      </c>
      <c r="F1104" s="51">
        <f t="shared" si="37"/>
        <v>4.3085191399999996</v>
      </c>
      <c r="H1104" s="33"/>
      <c r="I1104" s="33"/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</row>
    <row r="1105" spans="1:28" x14ac:dyDescent="0.15">
      <c r="A1105" s="46" t="s">
        <v>2261</v>
      </c>
      <c r="B1105" s="52" t="s">
        <v>7361</v>
      </c>
      <c r="C1105" s="53" t="s">
        <v>2262</v>
      </c>
      <c r="D1105" s="54" t="s">
        <v>8547</v>
      </c>
      <c r="E1105" s="50">
        <f t="shared" si="37"/>
        <v>15.08219178</v>
      </c>
      <c r="F1105" s="51">
        <f t="shared" si="37"/>
        <v>4.3089873900000004</v>
      </c>
      <c r="H1105" s="33"/>
      <c r="I1105" s="33"/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</row>
    <row r="1106" spans="1:28" x14ac:dyDescent="0.15">
      <c r="A1106" s="46" t="s">
        <v>2263</v>
      </c>
      <c r="B1106" s="52" t="s">
        <v>7361</v>
      </c>
      <c r="C1106" s="53" t="s">
        <v>2264</v>
      </c>
      <c r="D1106" s="54" t="s">
        <v>8548</v>
      </c>
      <c r="E1106" s="50">
        <f t="shared" si="37"/>
        <v>15.095890410000001</v>
      </c>
      <c r="F1106" s="51">
        <f t="shared" si="37"/>
        <v>4.3094321000000004</v>
      </c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</row>
    <row r="1107" spans="1:28" x14ac:dyDescent="0.15">
      <c r="A1107" s="46" t="s">
        <v>2265</v>
      </c>
      <c r="B1107" s="52" t="s">
        <v>7361</v>
      </c>
      <c r="C1107" s="53" t="s">
        <v>2266</v>
      </c>
      <c r="D1107" s="54" t="s">
        <v>8549</v>
      </c>
      <c r="E1107" s="50">
        <f t="shared" si="37"/>
        <v>15.109589039999999</v>
      </c>
      <c r="F1107" s="51">
        <f t="shared" si="37"/>
        <v>4.3098545499999998</v>
      </c>
      <c r="H1107" s="33"/>
      <c r="I1107" s="33"/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</row>
    <row r="1108" spans="1:28" x14ac:dyDescent="0.15">
      <c r="A1108" s="46" t="s">
        <v>2267</v>
      </c>
      <c r="B1108" s="52" t="s">
        <v>7361</v>
      </c>
      <c r="C1108" s="53" t="s">
        <v>2268</v>
      </c>
      <c r="D1108" s="54" t="s">
        <v>8550</v>
      </c>
      <c r="E1108" s="50">
        <f t="shared" si="37"/>
        <v>15.12328767</v>
      </c>
      <c r="F1108" s="51">
        <f t="shared" si="37"/>
        <v>4.3102560299999997</v>
      </c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</row>
    <row r="1109" spans="1:28" x14ac:dyDescent="0.15">
      <c r="A1109" s="46" t="s">
        <v>2269</v>
      </c>
      <c r="B1109" s="52" t="s">
        <v>7361</v>
      </c>
      <c r="C1109" s="53" t="s">
        <v>2270</v>
      </c>
      <c r="D1109" s="54" t="s">
        <v>8551</v>
      </c>
      <c r="E1109" s="50">
        <f t="shared" si="37"/>
        <v>15.1369863</v>
      </c>
      <c r="F1109" s="51">
        <f t="shared" si="37"/>
        <v>4.3106378100000002</v>
      </c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</row>
    <row r="1110" spans="1:28" x14ac:dyDescent="0.15">
      <c r="A1110" s="46" t="s">
        <v>2271</v>
      </c>
      <c r="B1110" s="52" t="s">
        <v>7361</v>
      </c>
      <c r="C1110" s="53" t="s">
        <v>2272</v>
      </c>
      <c r="D1110" s="54" t="s">
        <v>8552</v>
      </c>
      <c r="E1110" s="50">
        <f t="shared" ref="E1110:F1140" si="38">VALUE(C1110)</f>
        <v>15.150684930000001</v>
      </c>
      <c r="F1110" s="51">
        <f t="shared" si="38"/>
        <v>4.3110011899999998</v>
      </c>
      <c r="H1110" s="33"/>
      <c r="I1110" s="33"/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</row>
    <row r="1111" spans="1:28" x14ac:dyDescent="0.15">
      <c r="A1111" s="46" t="s">
        <v>2273</v>
      </c>
      <c r="B1111" s="52" t="s">
        <v>7361</v>
      </c>
      <c r="C1111" s="53" t="s">
        <v>2274</v>
      </c>
      <c r="D1111" s="54" t="s">
        <v>8553</v>
      </c>
      <c r="E1111" s="50">
        <f t="shared" si="38"/>
        <v>15.164383559999999</v>
      </c>
      <c r="F1111" s="51">
        <f t="shared" si="38"/>
        <v>4.3113474399999996</v>
      </c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</row>
    <row r="1112" spans="1:28" x14ac:dyDescent="0.15">
      <c r="A1112" s="46" t="s">
        <v>2275</v>
      </c>
      <c r="B1112" s="52" t="s">
        <v>7361</v>
      </c>
      <c r="C1112" s="53" t="s">
        <v>2276</v>
      </c>
      <c r="D1112" s="54" t="s">
        <v>8554</v>
      </c>
      <c r="E1112" s="50">
        <f t="shared" si="38"/>
        <v>15.17808219</v>
      </c>
      <c r="F1112" s="51">
        <f t="shared" si="38"/>
        <v>4.3116778499999997</v>
      </c>
      <c r="H1112" s="33"/>
      <c r="I1112" s="33"/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</row>
    <row r="1113" spans="1:28" x14ac:dyDescent="0.15">
      <c r="A1113" s="46" t="s">
        <v>2277</v>
      </c>
      <c r="B1113" s="52" t="s">
        <v>7361</v>
      </c>
      <c r="C1113" s="53" t="s">
        <v>2278</v>
      </c>
      <c r="D1113" s="54" t="s">
        <v>8555</v>
      </c>
      <c r="E1113" s="50">
        <f t="shared" si="38"/>
        <v>15.19178082</v>
      </c>
      <c r="F1113" s="51">
        <f t="shared" si="38"/>
        <v>4.3119937100000003</v>
      </c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</row>
    <row r="1114" spans="1:28" x14ac:dyDescent="0.15">
      <c r="A1114" s="46" t="s">
        <v>2279</v>
      </c>
      <c r="B1114" s="52" t="s">
        <v>7361</v>
      </c>
      <c r="C1114" s="53" t="s">
        <v>2280</v>
      </c>
      <c r="D1114" s="54" t="s">
        <v>8556</v>
      </c>
      <c r="E1114" s="50">
        <f t="shared" si="38"/>
        <v>15.20547945</v>
      </c>
      <c r="F1114" s="51">
        <f t="shared" si="38"/>
        <v>4.3122962999999999</v>
      </c>
      <c r="H1114" s="33"/>
      <c r="I1114" s="33"/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</row>
    <row r="1115" spans="1:28" x14ac:dyDescent="0.15">
      <c r="A1115" s="46" t="s">
        <v>2281</v>
      </c>
      <c r="B1115" s="52" t="s">
        <v>7361</v>
      </c>
      <c r="C1115" s="53" t="s">
        <v>2282</v>
      </c>
      <c r="D1115" s="54" t="s">
        <v>8557</v>
      </c>
      <c r="E1115" s="50">
        <f t="shared" si="38"/>
        <v>15.219178080000001</v>
      </c>
      <c r="F1115" s="51">
        <f t="shared" si="38"/>
        <v>4.3125869000000003</v>
      </c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</row>
    <row r="1116" spans="1:28" x14ac:dyDescent="0.15">
      <c r="A1116" s="46" t="s">
        <v>2283</v>
      </c>
      <c r="B1116" s="52" t="s">
        <v>7361</v>
      </c>
      <c r="C1116" s="53" t="s">
        <v>2284</v>
      </c>
      <c r="D1116" s="54" t="s">
        <v>8558</v>
      </c>
      <c r="E1116" s="50">
        <f t="shared" si="38"/>
        <v>15.232876709999999</v>
      </c>
      <c r="F1116" s="51">
        <f t="shared" si="38"/>
        <v>4.3128668000000001</v>
      </c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</row>
    <row r="1117" spans="1:28" x14ac:dyDescent="0.15">
      <c r="A1117" s="46" t="s">
        <v>2285</v>
      </c>
      <c r="B1117" s="52" t="s">
        <v>7361</v>
      </c>
      <c r="C1117" s="53" t="s">
        <v>2286</v>
      </c>
      <c r="D1117" s="54" t="s">
        <v>8559</v>
      </c>
      <c r="E1117" s="50">
        <f t="shared" si="38"/>
        <v>15.24657534</v>
      </c>
      <c r="F1117" s="51">
        <f t="shared" si="38"/>
        <v>4.3131372800000003</v>
      </c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</row>
    <row r="1118" spans="1:28" x14ac:dyDescent="0.15">
      <c r="A1118" s="46" t="s">
        <v>2287</v>
      </c>
      <c r="B1118" s="52" t="s">
        <v>7361</v>
      </c>
      <c r="C1118" s="53" t="s">
        <v>2288</v>
      </c>
      <c r="D1118" s="54" t="s">
        <v>8560</v>
      </c>
      <c r="E1118" s="50">
        <f t="shared" si="38"/>
        <v>15.26027397</v>
      </c>
      <c r="F1118" s="51">
        <f t="shared" si="38"/>
        <v>4.3133996300000002</v>
      </c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</row>
    <row r="1119" spans="1:28" x14ac:dyDescent="0.15">
      <c r="A1119" s="46" t="s">
        <v>2289</v>
      </c>
      <c r="B1119" s="52" t="s">
        <v>7361</v>
      </c>
      <c r="C1119" s="53" t="s">
        <v>2290</v>
      </c>
      <c r="D1119" s="54" t="s">
        <v>8561</v>
      </c>
      <c r="E1119" s="50">
        <f t="shared" si="38"/>
        <v>15.2739726</v>
      </c>
      <c r="F1119" s="51">
        <f t="shared" si="38"/>
        <v>4.3136551299999999</v>
      </c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</row>
    <row r="1120" spans="1:28" x14ac:dyDescent="0.15">
      <c r="A1120" s="46" t="s">
        <v>2291</v>
      </c>
      <c r="B1120" s="52" t="s">
        <v>7361</v>
      </c>
      <c r="C1120" s="53" t="s">
        <v>2292</v>
      </c>
      <c r="D1120" s="54" t="s">
        <v>8562</v>
      </c>
      <c r="E1120" s="50">
        <f t="shared" si="38"/>
        <v>15.287671230000001</v>
      </c>
      <c r="F1120" s="51">
        <f t="shared" si="38"/>
        <v>4.3139050699999997</v>
      </c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</row>
    <row r="1121" spans="1:28" x14ac:dyDescent="0.15">
      <c r="A1121" s="46" t="s">
        <v>2293</v>
      </c>
      <c r="B1121" s="52" t="s">
        <v>7361</v>
      </c>
      <c r="C1121" s="53" t="s">
        <v>2294</v>
      </c>
      <c r="D1121" s="54" t="s">
        <v>8563</v>
      </c>
      <c r="E1121" s="50">
        <f t="shared" si="38"/>
        <v>15.301369859999999</v>
      </c>
      <c r="F1121" s="51">
        <f t="shared" si="38"/>
        <v>4.3141507199999998</v>
      </c>
      <c r="H1121" s="33"/>
      <c r="I1121" s="33"/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</row>
    <row r="1122" spans="1:28" x14ac:dyDescent="0.15">
      <c r="A1122" s="46" t="s">
        <v>2295</v>
      </c>
      <c r="B1122" s="52" t="s">
        <v>7361</v>
      </c>
      <c r="C1122" s="53" t="s">
        <v>2296</v>
      </c>
      <c r="D1122" s="54" t="s">
        <v>8564</v>
      </c>
      <c r="E1122" s="50">
        <f t="shared" si="38"/>
        <v>15.31506849</v>
      </c>
      <c r="F1122" s="51">
        <f t="shared" si="38"/>
        <v>4.3143933800000003</v>
      </c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</row>
    <row r="1123" spans="1:28" x14ac:dyDescent="0.15">
      <c r="A1123" s="46" t="s">
        <v>2297</v>
      </c>
      <c r="B1123" s="52" t="s">
        <v>7361</v>
      </c>
      <c r="C1123" s="53" t="s">
        <v>2298</v>
      </c>
      <c r="D1123" s="54" t="s">
        <v>8565</v>
      </c>
      <c r="E1123" s="50">
        <f t="shared" si="38"/>
        <v>15.32876712</v>
      </c>
      <c r="F1123" s="51">
        <f t="shared" si="38"/>
        <v>4.3146343199999997</v>
      </c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</row>
    <row r="1124" spans="1:28" x14ac:dyDescent="0.15">
      <c r="A1124" s="46" t="s">
        <v>2299</v>
      </c>
      <c r="B1124" s="52" t="s">
        <v>7361</v>
      </c>
      <c r="C1124" s="53" t="s">
        <v>2300</v>
      </c>
      <c r="D1124" s="54" t="s">
        <v>8566</v>
      </c>
      <c r="E1124" s="50">
        <f t="shared" si="38"/>
        <v>15.342465750000001</v>
      </c>
      <c r="F1124" s="51">
        <f t="shared" si="38"/>
        <v>4.3148748399999999</v>
      </c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</row>
    <row r="1125" spans="1:28" x14ac:dyDescent="0.15">
      <c r="A1125" s="46" t="s">
        <v>2301</v>
      </c>
      <c r="B1125" s="52" t="s">
        <v>7361</v>
      </c>
      <c r="C1125" s="53" t="s">
        <v>2302</v>
      </c>
      <c r="D1125" s="54" t="s">
        <v>8567</v>
      </c>
      <c r="E1125" s="50">
        <f t="shared" si="38"/>
        <v>15.356164379999999</v>
      </c>
      <c r="F1125" s="51">
        <f t="shared" si="38"/>
        <v>4.3151162100000002</v>
      </c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</row>
    <row r="1126" spans="1:28" x14ac:dyDescent="0.15">
      <c r="A1126" s="46" t="s">
        <v>2303</v>
      </c>
      <c r="B1126" s="52" t="s">
        <v>7361</v>
      </c>
      <c r="C1126" s="53" t="s">
        <v>2304</v>
      </c>
      <c r="D1126" s="54" t="s">
        <v>8568</v>
      </c>
      <c r="E1126" s="50">
        <f t="shared" si="38"/>
        <v>15.36986301</v>
      </c>
      <c r="F1126" s="51">
        <f t="shared" si="38"/>
        <v>4.31535972</v>
      </c>
      <c r="H1126" s="33"/>
      <c r="I1126" s="33"/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</row>
    <row r="1127" spans="1:28" x14ac:dyDescent="0.15">
      <c r="A1127" s="46" t="s">
        <v>2305</v>
      </c>
      <c r="B1127" s="52" t="s">
        <v>7361</v>
      </c>
      <c r="C1127" s="53" t="s">
        <v>2306</v>
      </c>
      <c r="D1127" s="54" t="s">
        <v>8569</v>
      </c>
      <c r="E1127" s="50">
        <f t="shared" si="38"/>
        <v>15.38356164</v>
      </c>
      <c r="F1127" s="51">
        <f t="shared" si="38"/>
        <v>4.3156066600000003</v>
      </c>
      <c r="H1127" s="33"/>
      <c r="I1127" s="33"/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</row>
    <row r="1128" spans="1:28" x14ac:dyDescent="0.15">
      <c r="A1128" s="46" t="s">
        <v>2307</v>
      </c>
      <c r="B1128" s="52" t="s">
        <v>7361</v>
      </c>
      <c r="C1128" s="53" t="s">
        <v>2308</v>
      </c>
      <c r="D1128" s="54" t="s">
        <v>8570</v>
      </c>
      <c r="E1128" s="50">
        <f t="shared" si="38"/>
        <v>15.39726027</v>
      </c>
      <c r="F1128" s="51">
        <f t="shared" si="38"/>
        <v>4.3158583100000003</v>
      </c>
      <c r="H1128" s="33"/>
      <c r="I1128" s="33"/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</row>
    <row r="1129" spans="1:28" x14ac:dyDescent="0.15">
      <c r="A1129" s="46" t="s">
        <v>2309</v>
      </c>
      <c r="B1129" s="52" t="s">
        <v>7361</v>
      </c>
      <c r="C1129" s="53" t="s">
        <v>2310</v>
      </c>
      <c r="D1129" s="54" t="s">
        <v>8571</v>
      </c>
      <c r="E1129" s="50">
        <f t="shared" si="38"/>
        <v>15.410958900000001</v>
      </c>
      <c r="F1129" s="51">
        <f t="shared" si="38"/>
        <v>4.3161159500000004</v>
      </c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</row>
    <row r="1130" spans="1:28" x14ac:dyDescent="0.15">
      <c r="A1130" s="46" t="s">
        <v>2311</v>
      </c>
      <c r="B1130" s="52" t="s">
        <v>7361</v>
      </c>
      <c r="C1130" s="53" t="s">
        <v>2312</v>
      </c>
      <c r="D1130" s="54" t="s">
        <v>8572</v>
      </c>
      <c r="E1130" s="50">
        <f t="shared" si="38"/>
        <v>15.424657529999999</v>
      </c>
      <c r="F1130" s="51">
        <f t="shared" si="38"/>
        <v>4.3163808599999998</v>
      </c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</row>
    <row r="1131" spans="1:28" x14ac:dyDescent="0.15">
      <c r="A1131" s="46" t="s">
        <v>2313</v>
      </c>
      <c r="B1131" s="52" t="s">
        <v>7361</v>
      </c>
      <c r="C1131" s="53" t="s">
        <v>2314</v>
      </c>
      <c r="D1131" s="54" t="s">
        <v>8573</v>
      </c>
      <c r="E1131" s="50">
        <f t="shared" si="38"/>
        <v>15.43835616</v>
      </c>
      <c r="F1131" s="51">
        <f t="shared" si="38"/>
        <v>4.3166543400000004</v>
      </c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</row>
    <row r="1132" spans="1:28" x14ac:dyDescent="0.15">
      <c r="A1132" s="46" t="s">
        <v>2315</v>
      </c>
      <c r="B1132" s="52" t="s">
        <v>7361</v>
      </c>
      <c r="C1132" s="53" t="s">
        <v>2316</v>
      </c>
      <c r="D1132" s="54" t="s">
        <v>8574</v>
      </c>
      <c r="E1132" s="50">
        <f t="shared" si="38"/>
        <v>15.45205479</v>
      </c>
      <c r="F1132" s="51">
        <f t="shared" si="38"/>
        <v>4.3169376699999997</v>
      </c>
      <c r="H1132" s="33"/>
      <c r="I1132" s="33"/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</row>
    <row r="1133" spans="1:28" x14ac:dyDescent="0.15">
      <c r="A1133" s="46" t="s">
        <v>2317</v>
      </c>
      <c r="B1133" s="52" t="s">
        <v>7361</v>
      </c>
      <c r="C1133" s="53" t="s">
        <v>2318</v>
      </c>
      <c r="D1133" s="54" t="s">
        <v>8575</v>
      </c>
      <c r="E1133" s="50">
        <f t="shared" si="38"/>
        <v>15.46575342</v>
      </c>
      <c r="F1133" s="51">
        <f t="shared" si="38"/>
        <v>4.3172321199999999</v>
      </c>
      <c r="H1133" s="33"/>
      <c r="I1133" s="33"/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</row>
    <row r="1134" spans="1:28" x14ac:dyDescent="0.15">
      <c r="A1134" s="46" t="s">
        <v>2319</v>
      </c>
      <c r="B1134" s="52" t="s">
        <v>7361</v>
      </c>
      <c r="C1134" s="53" t="s">
        <v>2320</v>
      </c>
      <c r="D1134" s="54" t="s">
        <v>8576</v>
      </c>
      <c r="E1134" s="50">
        <f t="shared" si="38"/>
        <v>15.479452050000001</v>
      </c>
      <c r="F1134" s="51">
        <f t="shared" si="38"/>
        <v>4.3175389900000001</v>
      </c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</row>
    <row r="1135" spans="1:28" x14ac:dyDescent="0.15">
      <c r="A1135" s="46" t="s">
        <v>2321</v>
      </c>
      <c r="B1135" s="52" t="s">
        <v>7361</v>
      </c>
      <c r="C1135" s="53" t="s">
        <v>2322</v>
      </c>
      <c r="D1135" s="54" t="s">
        <v>8577</v>
      </c>
      <c r="E1135" s="50">
        <f t="shared" si="38"/>
        <v>15.493150679999999</v>
      </c>
      <c r="F1135" s="51">
        <f t="shared" si="38"/>
        <v>4.3178595599999996</v>
      </c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</row>
    <row r="1136" spans="1:28" x14ac:dyDescent="0.15">
      <c r="A1136" s="46" t="s">
        <v>2323</v>
      </c>
      <c r="B1136" s="52" t="s">
        <v>7361</v>
      </c>
      <c r="C1136" s="53" t="s">
        <v>2324</v>
      </c>
      <c r="D1136" s="54" t="s">
        <v>8578</v>
      </c>
      <c r="E1136" s="50">
        <f t="shared" si="38"/>
        <v>15.506849320000001</v>
      </c>
      <c r="F1136" s="51">
        <f t="shared" si="38"/>
        <v>4.3181919600000001</v>
      </c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</row>
    <row r="1137" spans="1:28" x14ac:dyDescent="0.15">
      <c r="A1137" s="46" t="s">
        <v>2325</v>
      </c>
      <c r="B1137" s="52" t="s">
        <v>7361</v>
      </c>
      <c r="C1137" s="53" t="s">
        <v>2326</v>
      </c>
      <c r="D1137" s="54" t="s">
        <v>8579</v>
      </c>
      <c r="E1137" s="50">
        <f t="shared" si="38"/>
        <v>15.520547949999999</v>
      </c>
      <c r="F1137" s="51">
        <f t="shared" si="38"/>
        <v>4.3185182900000001</v>
      </c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</row>
    <row r="1138" spans="1:28" x14ac:dyDescent="0.15">
      <c r="A1138" s="46" t="s">
        <v>2327</v>
      </c>
      <c r="B1138" s="52" t="s">
        <v>7361</v>
      </c>
      <c r="C1138" s="53" t="s">
        <v>2328</v>
      </c>
      <c r="D1138" s="54" t="s">
        <v>8580</v>
      </c>
      <c r="E1138" s="50">
        <f t="shared" si="38"/>
        <v>15.53424658</v>
      </c>
      <c r="F1138" s="51">
        <f t="shared" si="38"/>
        <v>4.3188357999999996</v>
      </c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</row>
    <row r="1139" spans="1:28" x14ac:dyDescent="0.15">
      <c r="A1139" s="46" t="s">
        <v>2329</v>
      </c>
      <c r="B1139" s="52" t="s">
        <v>7361</v>
      </c>
      <c r="C1139" s="53" t="s">
        <v>2330</v>
      </c>
      <c r="D1139" s="54" t="s">
        <v>8581</v>
      </c>
      <c r="E1139" s="50">
        <f t="shared" si="38"/>
        <v>15.54794521</v>
      </c>
      <c r="F1139" s="51">
        <f t="shared" si="38"/>
        <v>4.3191449000000004</v>
      </c>
      <c r="H1139" s="33"/>
      <c r="I1139" s="33"/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</row>
    <row r="1140" spans="1:28" x14ac:dyDescent="0.15">
      <c r="A1140" s="46" t="s">
        <v>2331</v>
      </c>
      <c r="B1140" s="52" t="s">
        <v>7361</v>
      </c>
      <c r="C1140" s="53" t="s">
        <v>2332</v>
      </c>
      <c r="D1140" s="54" t="s">
        <v>8582</v>
      </c>
      <c r="E1140" s="50">
        <f t="shared" si="38"/>
        <v>15.56164384</v>
      </c>
      <c r="F1140" s="51">
        <f t="shared" si="38"/>
        <v>4.3194459700000003</v>
      </c>
      <c r="H1140" s="33"/>
      <c r="I1140" s="33"/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</row>
    <row r="1141" spans="1:28" x14ac:dyDescent="0.15">
      <c r="A1141" s="46" t="s">
        <v>2333</v>
      </c>
      <c r="B1141" s="52" t="s">
        <v>7361</v>
      </c>
      <c r="C1141" s="53" t="s">
        <v>2334</v>
      </c>
      <c r="D1141" s="54" t="s">
        <v>8583</v>
      </c>
      <c r="E1141" s="50">
        <f t="shared" ref="E1141:F1170" si="39">VALUE(C1141)</f>
        <v>15.575342470000001</v>
      </c>
      <c r="F1141" s="51">
        <f t="shared" si="39"/>
        <v>4.3197393799999997</v>
      </c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</row>
    <row r="1142" spans="1:28" x14ac:dyDescent="0.15">
      <c r="A1142" s="46" t="s">
        <v>2335</v>
      </c>
      <c r="B1142" s="52" t="s">
        <v>7361</v>
      </c>
      <c r="C1142" s="53" t="s">
        <v>2336</v>
      </c>
      <c r="D1142" s="54" t="s">
        <v>8584</v>
      </c>
      <c r="E1142" s="50">
        <f t="shared" si="39"/>
        <v>15.589041099999999</v>
      </c>
      <c r="F1142" s="51">
        <f t="shared" si="39"/>
        <v>4.3200255399999996</v>
      </c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</row>
    <row r="1143" spans="1:28" x14ac:dyDescent="0.15">
      <c r="A1143" s="46" t="s">
        <v>2337</v>
      </c>
      <c r="B1143" s="52" t="s">
        <v>7361</v>
      </c>
      <c r="C1143" s="53" t="s">
        <v>2338</v>
      </c>
      <c r="D1143" s="54" t="s">
        <v>8585</v>
      </c>
      <c r="E1143" s="50">
        <f t="shared" si="39"/>
        <v>15.60273973</v>
      </c>
      <c r="F1143" s="51">
        <f t="shared" si="39"/>
        <v>4.3203048199999996</v>
      </c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</row>
    <row r="1144" spans="1:28" x14ac:dyDescent="0.15">
      <c r="A1144" s="46" t="s">
        <v>2339</v>
      </c>
      <c r="B1144" s="52" t="s">
        <v>7361</v>
      </c>
      <c r="C1144" s="53" t="s">
        <v>2340</v>
      </c>
      <c r="D1144" s="54" t="s">
        <v>8586</v>
      </c>
      <c r="E1144" s="50">
        <f t="shared" si="39"/>
        <v>15.61643836</v>
      </c>
      <c r="F1144" s="51">
        <f t="shared" si="39"/>
        <v>4.3205776</v>
      </c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</row>
    <row r="1145" spans="1:28" x14ac:dyDescent="0.15">
      <c r="A1145" s="46" t="s">
        <v>2341</v>
      </c>
      <c r="B1145" s="52" t="s">
        <v>7361</v>
      </c>
      <c r="C1145" s="53" t="s">
        <v>2342</v>
      </c>
      <c r="D1145" s="54" t="s">
        <v>8587</v>
      </c>
      <c r="E1145" s="50">
        <f t="shared" si="39"/>
        <v>15.63013699</v>
      </c>
      <c r="F1145" s="51">
        <f t="shared" si="39"/>
        <v>4.3208442900000001</v>
      </c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</row>
    <row r="1146" spans="1:28" x14ac:dyDescent="0.15">
      <c r="A1146" s="46" t="s">
        <v>2343</v>
      </c>
      <c r="B1146" s="52" t="s">
        <v>7361</v>
      </c>
      <c r="C1146" s="53" t="s">
        <v>2344</v>
      </c>
      <c r="D1146" s="54" t="s">
        <v>8588</v>
      </c>
      <c r="E1146" s="50">
        <f t="shared" si="39"/>
        <v>15.643835620000001</v>
      </c>
      <c r="F1146" s="51">
        <f t="shared" si="39"/>
        <v>4.3211052499999996</v>
      </c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</row>
    <row r="1147" spans="1:28" x14ac:dyDescent="0.15">
      <c r="A1147" s="46" t="s">
        <v>2345</v>
      </c>
      <c r="B1147" s="52" t="s">
        <v>7361</v>
      </c>
      <c r="C1147" s="53" t="s">
        <v>2346</v>
      </c>
      <c r="D1147" s="54" t="s">
        <v>8589</v>
      </c>
      <c r="E1147" s="50">
        <f t="shared" si="39"/>
        <v>15.657534249999999</v>
      </c>
      <c r="F1147" s="51">
        <f t="shared" si="39"/>
        <v>4.3213608700000004</v>
      </c>
      <c r="H1147" s="33"/>
      <c r="I1147" s="33"/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</row>
    <row r="1148" spans="1:28" x14ac:dyDescent="0.15">
      <c r="A1148" s="46" t="s">
        <v>2347</v>
      </c>
      <c r="B1148" s="52" t="s">
        <v>7361</v>
      </c>
      <c r="C1148" s="53" t="s">
        <v>2348</v>
      </c>
      <c r="D1148" s="54" t="s">
        <v>8590</v>
      </c>
      <c r="E1148" s="50">
        <f t="shared" si="39"/>
        <v>15.67123288</v>
      </c>
      <c r="F1148" s="51">
        <f t="shared" si="39"/>
        <v>4.3216115500000001</v>
      </c>
      <c r="H1148" s="33"/>
      <c r="I1148" s="33"/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</row>
    <row r="1149" spans="1:28" x14ac:dyDescent="0.15">
      <c r="A1149" s="46" t="s">
        <v>2349</v>
      </c>
      <c r="B1149" s="52" t="s">
        <v>7361</v>
      </c>
      <c r="C1149" s="53" t="s">
        <v>2350</v>
      </c>
      <c r="D1149" s="54" t="s">
        <v>8591</v>
      </c>
      <c r="E1149" s="50">
        <f t="shared" si="39"/>
        <v>15.68493151</v>
      </c>
      <c r="F1149" s="51">
        <f t="shared" si="39"/>
        <v>4.32185767</v>
      </c>
      <c r="H1149" s="33"/>
      <c r="I1149" s="33"/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</row>
    <row r="1150" spans="1:28" x14ac:dyDescent="0.15">
      <c r="A1150" s="46" t="s">
        <v>2351</v>
      </c>
      <c r="B1150" s="52" t="s">
        <v>7361</v>
      </c>
      <c r="C1150" s="53" t="s">
        <v>2352</v>
      </c>
      <c r="D1150" s="54" t="s">
        <v>8592</v>
      </c>
      <c r="E1150" s="50">
        <f t="shared" si="39"/>
        <v>15.698630140000001</v>
      </c>
      <c r="F1150" s="51">
        <f t="shared" si="39"/>
        <v>4.3220995999999996</v>
      </c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</row>
    <row r="1151" spans="1:28" x14ac:dyDescent="0.15">
      <c r="A1151" s="46" t="s">
        <v>2353</v>
      </c>
      <c r="B1151" s="52" t="s">
        <v>7361</v>
      </c>
      <c r="C1151" s="53" t="s">
        <v>2354</v>
      </c>
      <c r="D1151" s="54" t="s">
        <v>8593</v>
      </c>
      <c r="E1151" s="50">
        <f t="shared" si="39"/>
        <v>15.712328769999999</v>
      </c>
      <c r="F1151" s="51">
        <f t="shared" si="39"/>
        <v>4.32233775</v>
      </c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</row>
    <row r="1152" spans="1:28" x14ac:dyDescent="0.15">
      <c r="A1152" s="46" t="s">
        <v>2355</v>
      </c>
      <c r="B1152" s="52" t="s">
        <v>7361</v>
      </c>
      <c r="C1152" s="53" t="s">
        <v>2356</v>
      </c>
      <c r="D1152" s="54" t="s">
        <v>8594</v>
      </c>
      <c r="E1152" s="50">
        <f t="shared" si="39"/>
        <v>15.7260274</v>
      </c>
      <c r="F1152" s="51">
        <f t="shared" si="39"/>
        <v>4.3225724899999998</v>
      </c>
      <c r="H1152" s="33"/>
      <c r="I1152" s="33"/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</row>
    <row r="1153" spans="1:28" x14ac:dyDescent="0.15">
      <c r="A1153" s="46" t="s">
        <v>2357</v>
      </c>
      <c r="B1153" s="52" t="s">
        <v>7361</v>
      </c>
      <c r="C1153" s="53" t="s">
        <v>2358</v>
      </c>
      <c r="D1153" s="54" t="s">
        <v>8595</v>
      </c>
      <c r="E1153" s="50">
        <f t="shared" si="39"/>
        <v>15.73972603</v>
      </c>
      <c r="F1153" s="51">
        <f t="shared" si="39"/>
        <v>4.3228042100000001</v>
      </c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</row>
    <row r="1154" spans="1:28" x14ac:dyDescent="0.15">
      <c r="A1154" s="46" t="s">
        <v>2359</v>
      </c>
      <c r="B1154" s="52" t="s">
        <v>7361</v>
      </c>
      <c r="C1154" s="53" t="s">
        <v>2360</v>
      </c>
      <c r="D1154" s="54" t="s">
        <v>8596</v>
      </c>
      <c r="E1154" s="50">
        <f t="shared" si="39"/>
        <v>15.75342466</v>
      </c>
      <c r="F1154" s="51">
        <f t="shared" si="39"/>
        <v>4.3230332899999997</v>
      </c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</row>
    <row r="1155" spans="1:28" x14ac:dyDescent="0.15">
      <c r="A1155" s="46" t="s">
        <v>2361</v>
      </c>
      <c r="B1155" s="52" t="s">
        <v>7361</v>
      </c>
      <c r="C1155" s="53" t="s">
        <v>2362</v>
      </c>
      <c r="D1155" s="54" t="s">
        <v>8597</v>
      </c>
      <c r="E1155" s="50">
        <f t="shared" si="39"/>
        <v>15.767123290000001</v>
      </c>
      <c r="F1155" s="51">
        <f t="shared" si="39"/>
        <v>4.3232601300000004</v>
      </c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</row>
    <row r="1156" spans="1:28" x14ac:dyDescent="0.15">
      <c r="A1156" s="46" t="s">
        <v>2363</v>
      </c>
      <c r="B1156" s="52" t="s">
        <v>7361</v>
      </c>
      <c r="C1156" s="53" t="s">
        <v>2364</v>
      </c>
      <c r="D1156" s="54" t="s">
        <v>8598</v>
      </c>
      <c r="E1156" s="50">
        <f t="shared" si="39"/>
        <v>15.780821919999999</v>
      </c>
      <c r="F1156" s="51">
        <f t="shared" si="39"/>
        <v>4.3234851000000001</v>
      </c>
      <c r="H1156" s="33"/>
      <c r="I1156" s="33"/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</row>
    <row r="1157" spans="1:28" x14ac:dyDescent="0.15">
      <c r="A1157" s="46" t="s">
        <v>2365</v>
      </c>
      <c r="B1157" s="52" t="s">
        <v>7361</v>
      </c>
      <c r="C1157" s="53" t="s">
        <v>2366</v>
      </c>
      <c r="D1157" s="54" t="s">
        <v>8599</v>
      </c>
      <c r="E1157" s="50">
        <f t="shared" si="39"/>
        <v>15.79452055</v>
      </c>
      <c r="F1157" s="51">
        <f t="shared" si="39"/>
        <v>4.3237085899999999</v>
      </c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</row>
    <row r="1158" spans="1:28" x14ac:dyDescent="0.15">
      <c r="A1158" s="46" t="s">
        <v>2367</v>
      </c>
      <c r="B1158" s="52" t="s">
        <v>7361</v>
      </c>
      <c r="C1158" s="53" t="s">
        <v>2368</v>
      </c>
      <c r="D1158" s="54" t="s">
        <v>8600</v>
      </c>
      <c r="E1158" s="50">
        <f t="shared" si="39"/>
        <v>15.80821918</v>
      </c>
      <c r="F1158" s="51">
        <f t="shared" si="39"/>
        <v>4.32393099</v>
      </c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</row>
    <row r="1159" spans="1:28" x14ac:dyDescent="0.15">
      <c r="A1159" s="46" t="s">
        <v>2369</v>
      </c>
      <c r="B1159" s="52" t="s">
        <v>7361</v>
      </c>
      <c r="C1159" s="53" t="s">
        <v>2370</v>
      </c>
      <c r="D1159" s="54" t="s">
        <v>8601</v>
      </c>
      <c r="E1159" s="50">
        <f t="shared" si="39"/>
        <v>15.82191781</v>
      </c>
      <c r="F1159" s="51">
        <f t="shared" si="39"/>
        <v>4.3241526800000001</v>
      </c>
      <c r="H1159" s="33"/>
      <c r="I1159" s="33"/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</row>
    <row r="1160" spans="1:28" x14ac:dyDescent="0.15">
      <c r="A1160" s="46" t="s">
        <v>2371</v>
      </c>
      <c r="B1160" s="52" t="s">
        <v>7361</v>
      </c>
      <c r="C1160" s="53" t="s">
        <v>2372</v>
      </c>
      <c r="D1160" s="54" t="s">
        <v>8602</v>
      </c>
      <c r="E1160" s="50">
        <f t="shared" si="39"/>
        <v>15.835616440000001</v>
      </c>
      <c r="F1160" s="51">
        <f t="shared" si="39"/>
        <v>4.3243740500000003</v>
      </c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</row>
    <row r="1161" spans="1:28" x14ac:dyDescent="0.15">
      <c r="A1161" s="46" t="s">
        <v>2373</v>
      </c>
      <c r="B1161" s="52" t="s">
        <v>7361</v>
      </c>
      <c r="C1161" s="53" t="s">
        <v>2374</v>
      </c>
      <c r="D1161" s="54" t="s">
        <v>8603</v>
      </c>
      <c r="E1161" s="50">
        <f t="shared" si="39"/>
        <v>15.849315069999999</v>
      </c>
      <c r="F1161" s="51">
        <f t="shared" si="39"/>
        <v>4.3245954900000001</v>
      </c>
      <c r="H1161" s="33"/>
      <c r="I1161" s="33"/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</row>
    <row r="1162" spans="1:28" x14ac:dyDescent="0.15">
      <c r="A1162" s="46" t="s">
        <v>2375</v>
      </c>
      <c r="B1162" s="52" t="s">
        <v>7361</v>
      </c>
      <c r="C1162" s="53" t="s">
        <v>2376</v>
      </c>
      <c r="D1162" s="54" t="s">
        <v>8604</v>
      </c>
      <c r="E1162" s="50">
        <f t="shared" si="39"/>
        <v>15.8630137</v>
      </c>
      <c r="F1162" s="51">
        <f t="shared" si="39"/>
        <v>4.3248173699999999</v>
      </c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</row>
    <row r="1163" spans="1:28" x14ac:dyDescent="0.15">
      <c r="A1163" s="46" t="s">
        <v>2377</v>
      </c>
      <c r="B1163" s="52" t="s">
        <v>7361</v>
      </c>
      <c r="C1163" s="53" t="s">
        <v>2378</v>
      </c>
      <c r="D1163" s="54" t="s">
        <v>8605</v>
      </c>
      <c r="E1163" s="50">
        <f t="shared" si="39"/>
        <v>15.87671233</v>
      </c>
      <c r="F1163" s="51">
        <f t="shared" si="39"/>
        <v>4.3250400999999998</v>
      </c>
      <c r="H1163" s="33"/>
      <c r="I1163" s="33"/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</row>
    <row r="1164" spans="1:28" x14ac:dyDescent="0.15">
      <c r="A1164" s="46" t="s">
        <v>2379</v>
      </c>
      <c r="B1164" s="52" t="s">
        <v>7361</v>
      </c>
      <c r="C1164" s="53" t="s">
        <v>2380</v>
      </c>
      <c r="D1164" s="54" t="s">
        <v>8606</v>
      </c>
      <c r="E1164" s="50">
        <f t="shared" si="39"/>
        <v>15.890410960000001</v>
      </c>
      <c r="F1164" s="51">
        <f t="shared" si="39"/>
        <v>4.3252640400000004</v>
      </c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</row>
    <row r="1165" spans="1:28" x14ac:dyDescent="0.15">
      <c r="A1165" s="46" t="s">
        <v>2381</v>
      </c>
      <c r="B1165" s="52" t="s">
        <v>7361</v>
      </c>
      <c r="C1165" s="53" t="s">
        <v>2382</v>
      </c>
      <c r="D1165" s="54" t="s">
        <v>8607</v>
      </c>
      <c r="E1165" s="50">
        <f t="shared" si="39"/>
        <v>15.904109589999999</v>
      </c>
      <c r="F1165" s="51">
        <f t="shared" si="39"/>
        <v>4.3254895900000001</v>
      </c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</row>
    <row r="1166" spans="1:28" x14ac:dyDescent="0.15">
      <c r="A1166" s="46" t="s">
        <v>2383</v>
      </c>
      <c r="B1166" s="52" t="s">
        <v>7361</v>
      </c>
      <c r="C1166" s="53" t="s">
        <v>2384</v>
      </c>
      <c r="D1166" s="54" t="s">
        <v>8608</v>
      </c>
      <c r="E1166" s="50">
        <f t="shared" si="39"/>
        <v>15.91780822</v>
      </c>
      <c r="F1166" s="51">
        <f t="shared" si="39"/>
        <v>4.3257171300000001</v>
      </c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</row>
    <row r="1167" spans="1:28" x14ac:dyDescent="0.15">
      <c r="A1167" s="46" t="s">
        <v>2385</v>
      </c>
      <c r="B1167" s="52" t="s">
        <v>7361</v>
      </c>
      <c r="C1167" s="53" t="s">
        <v>2386</v>
      </c>
      <c r="D1167" s="54" t="s">
        <v>8609</v>
      </c>
      <c r="E1167" s="50">
        <f t="shared" si="39"/>
        <v>15.93150685</v>
      </c>
      <c r="F1167" s="51">
        <f t="shared" si="39"/>
        <v>4.3259470499999999</v>
      </c>
      <c r="H1167" s="33"/>
      <c r="I1167" s="33"/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</row>
    <row r="1168" spans="1:28" x14ac:dyDescent="0.15">
      <c r="A1168" s="46" t="s">
        <v>2387</v>
      </c>
      <c r="B1168" s="52" t="s">
        <v>7361</v>
      </c>
      <c r="C1168" s="53" t="s">
        <v>2388</v>
      </c>
      <c r="D1168" s="54" t="s">
        <v>8610</v>
      </c>
      <c r="E1168" s="50">
        <f t="shared" si="39"/>
        <v>15.94520548</v>
      </c>
      <c r="F1168" s="51">
        <f t="shared" si="39"/>
        <v>4.3261797299999998</v>
      </c>
      <c r="H1168" s="33"/>
      <c r="I1168" s="33"/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</row>
    <row r="1169" spans="1:28" x14ac:dyDescent="0.15">
      <c r="A1169" s="46" t="s">
        <v>2389</v>
      </c>
      <c r="B1169" s="52" t="s">
        <v>7361</v>
      </c>
      <c r="C1169" s="53" t="s">
        <v>2390</v>
      </c>
      <c r="D1169" s="54" t="s">
        <v>8611</v>
      </c>
      <c r="E1169" s="50">
        <f t="shared" si="39"/>
        <v>15.958904110000001</v>
      </c>
      <c r="F1169" s="51">
        <f t="shared" si="39"/>
        <v>4.32641556</v>
      </c>
      <c r="H1169" s="33"/>
      <c r="I1169" s="33"/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</row>
    <row r="1170" spans="1:28" x14ac:dyDescent="0.15">
      <c r="A1170" s="46" t="s">
        <v>2391</v>
      </c>
      <c r="B1170" s="52" t="s">
        <v>7361</v>
      </c>
      <c r="C1170" s="53" t="s">
        <v>2392</v>
      </c>
      <c r="D1170" s="54" t="s">
        <v>8612</v>
      </c>
      <c r="E1170" s="50">
        <f t="shared" si="39"/>
        <v>15.972602739999999</v>
      </c>
      <c r="F1170" s="51">
        <f t="shared" si="39"/>
        <v>4.3266549300000001</v>
      </c>
      <c r="H1170" s="33"/>
      <c r="I1170" s="33"/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</row>
    <row r="1171" spans="1:28" x14ac:dyDescent="0.15">
      <c r="A1171" s="46" t="s">
        <v>2393</v>
      </c>
      <c r="B1171" s="52" t="s">
        <v>7361</v>
      </c>
      <c r="C1171" s="53" t="s">
        <v>2394</v>
      </c>
      <c r="D1171" s="54" t="s">
        <v>8613</v>
      </c>
      <c r="E1171" s="50">
        <f t="shared" ref="E1171:F1201" si="40">VALUE(C1171)</f>
        <v>15.98630137</v>
      </c>
      <c r="F1171" s="51">
        <f t="shared" si="40"/>
        <v>4.3268982200000004</v>
      </c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</row>
    <row r="1172" spans="1:28" x14ac:dyDescent="0.15">
      <c r="A1172" s="46" t="s">
        <v>2395</v>
      </c>
      <c r="B1172" s="52" t="s">
        <v>7361</v>
      </c>
      <c r="C1172" s="53" t="s">
        <v>2396</v>
      </c>
      <c r="D1172" s="54" t="s">
        <v>8614</v>
      </c>
      <c r="E1172" s="50">
        <f t="shared" si="40"/>
        <v>16</v>
      </c>
      <c r="F1172" s="51">
        <f t="shared" si="40"/>
        <v>4.3271458100000002</v>
      </c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</row>
    <row r="1173" spans="1:28" x14ac:dyDescent="0.15">
      <c r="A1173" s="46" t="s">
        <v>2397</v>
      </c>
      <c r="B1173" s="52" t="s">
        <v>7361</v>
      </c>
      <c r="C1173" s="53" t="s">
        <v>2398</v>
      </c>
      <c r="D1173" s="54" t="s">
        <v>8615</v>
      </c>
      <c r="E1173" s="50">
        <f t="shared" si="40"/>
        <v>16.01369863</v>
      </c>
      <c r="F1173" s="51">
        <f t="shared" si="40"/>
        <v>4.32739166</v>
      </c>
      <c r="H1173" s="33"/>
      <c r="I1173" s="33"/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</row>
    <row r="1174" spans="1:28" x14ac:dyDescent="0.15">
      <c r="A1174" s="46" t="s">
        <v>2399</v>
      </c>
      <c r="B1174" s="52" t="s">
        <v>7361</v>
      </c>
      <c r="C1174" s="53" t="s">
        <v>2400</v>
      </c>
      <c r="D1174" s="54" t="s">
        <v>8616</v>
      </c>
      <c r="E1174" s="50">
        <f t="shared" si="40"/>
        <v>16.027397260000001</v>
      </c>
      <c r="F1174" s="51">
        <f t="shared" si="40"/>
        <v>4.3276297000000001</v>
      </c>
      <c r="H1174" s="33"/>
      <c r="I1174" s="33"/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</row>
    <row r="1175" spans="1:28" x14ac:dyDescent="0.15">
      <c r="A1175" s="46" t="s">
        <v>2401</v>
      </c>
      <c r="B1175" s="52" t="s">
        <v>7361</v>
      </c>
      <c r="C1175" s="53" t="s">
        <v>2402</v>
      </c>
      <c r="D1175" s="54" t="s">
        <v>8617</v>
      </c>
      <c r="E1175" s="50">
        <f t="shared" si="40"/>
        <v>16.041095890000001</v>
      </c>
      <c r="F1175" s="51">
        <f t="shared" si="40"/>
        <v>4.3278602499999996</v>
      </c>
      <c r="H1175" s="33"/>
      <c r="I1175" s="33"/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</row>
    <row r="1176" spans="1:28" x14ac:dyDescent="0.15">
      <c r="A1176" s="46" t="s">
        <v>2403</v>
      </c>
      <c r="B1176" s="52" t="s">
        <v>7361</v>
      </c>
      <c r="C1176" s="53" t="s">
        <v>2404</v>
      </c>
      <c r="D1176" s="54" t="s">
        <v>8618</v>
      </c>
      <c r="E1176" s="50">
        <f t="shared" si="40"/>
        <v>16.054794520000002</v>
      </c>
      <c r="F1176" s="51">
        <f t="shared" si="40"/>
        <v>4.32808364</v>
      </c>
      <c r="H1176" s="33"/>
      <c r="I1176" s="33"/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</row>
    <row r="1177" spans="1:28" x14ac:dyDescent="0.15">
      <c r="A1177" s="46" t="s">
        <v>2405</v>
      </c>
      <c r="B1177" s="52" t="s">
        <v>7361</v>
      </c>
      <c r="C1177" s="53" t="s">
        <v>2406</v>
      </c>
      <c r="D1177" s="54" t="s">
        <v>8619</v>
      </c>
      <c r="E1177" s="50">
        <f t="shared" si="40"/>
        <v>16.068493149999998</v>
      </c>
      <c r="F1177" s="51">
        <f t="shared" si="40"/>
        <v>4.32830023</v>
      </c>
      <c r="H1177" s="33"/>
      <c r="I1177" s="33"/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</row>
    <row r="1178" spans="1:28" x14ac:dyDescent="0.15">
      <c r="A1178" s="46" t="s">
        <v>2407</v>
      </c>
      <c r="B1178" s="52" t="s">
        <v>7361</v>
      </c>
      <c r="C1178" s="53" t="s">
        <v>2408</v>
      </c>
      <c r="D1178" s="54" t="s">
        <v>8620</v>
      </c>
      <c r="E1178" s="50">
        <f t="shared" si="40"/>
        <v>16.082191779999999</v>
      </c>
      <c r="F1178" s="51">
        <f t="shared" si="40"/>
        <v>4.3285103400000002</v>
      </c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</row>
    <row r="1179" spans="1:28" x14ac:dyDescent="0.15">
      <c r="A1179" s="46" t="s">
        <v>2409</v>
      </c>
      <c r="B1179" s="52" t="s">
        <v>7361</v>
      </c>
      <c r="C1179" s="53" t="s">
        <v>2410</v>
      </c>
      <c r="D1179" s="54" t="s">
        <v>8621</v>
      </c>
      <c r="E1179" s="50">
        <f t="shared" si="40"/>
        <v>16.095890409999999</v>
      </c>
      <c r="F1179" s="51">
        <f t="shared" si="40"/>
        <v>4.3287142999999997</v>
      </c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</row>
    <row r="1180" spans="1:28" x14ac:dyDescent="0.15">
      <c r="A1180" s="46" t="s">
        <v>2411</v>
      </c>
      <c r="B1180" s="52" t="s">
        <v>7361</v>
      </c>
      <c r="C1180" s="53" t="s">
        <v>2412</v>
      </c>
      <c r="D1180" s="54" t="s">
        <v>8622</v>
      </c>
      <c r="E1180" s="50">
        <f t="shared" si="40"/>
        <v>16.109589039999999</v>
      </c>
      <c r="F1180" s="51">
        <f t="shared" si="40"/>
        <v>4.3289124499999998</v>
      </c>
      <c r="H1180" s="33"/>
      <c r="I1180" s="33"/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</row>
    <row r="1181" spans="1:28" x14ac:dyDescent="0.15">
      <c r="A1181" s="46" t="s">
        <v>2413</v>
      </c>
      <c r="B1181" s="52" t="s">
        <v>7361</v>
      </c>
      <c r="C1181" s="53" t="s">
        <v>2414</v>
      </c>
      <c r="D1181" s="54" t="s">
        <v>8623</v>
      </c>
      <c r="E1181" s="50">
        <f t="shared" si="40"/>
        <v>16.12328767</v>
      </c>
      <c r="F1181" s="51">
        <f t="shared" si="40"/>
        <v>4.3291051300000003</v>
      </c>
      <c r="H1181" s="33"/>
      <c r="I1181" s="33"/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</row>
    <row r="1182" spans="1:28" x14ac:dyDescent="0.15">
      <c r="A1182" s="46" t="s">
        <v>2415</v>
      </c>
      <c r="B1182" s="52" t="s">
        <v>7361</v>
      </c>
      <c r="C1182" s="53" t="s">
        <v>2416</v>
      </c>
      <c r="D1182" s="54" t="s">
        <v>8624</v>
      </c>
      <c r="E1182" s="50">
        <f t="shared" si="40"/>
        <v>16.1369863</v>
      </c>
      <c r="F1182" s="51">
        <f t="shared" si="40"/>
        <v>4.3292926700000001</v>
      </c>
      <c r="H1182" s="33"/>
      <c r="I1182" s="33"/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</row>
    <row r="1183" spans="1:28" x14ac:dyDescent="0.15">
      <c r="A1183" s="46" t="s">
        <v>2417</v>
      </c>
      <c r="B1183" s="52" t="s">
        <v>7361</v>
      </c>
      <c r="C1183" s="53" t="s">
        <v>2418</v>
      </c>
      <c r="D1183" s="54" t="s">
        <v>8625</v>
      </c>
      <c r="E1183" s="50">
        <f t="shared" si="40"/>
        <v>16.150684930000001</v>
      </c>
      <c r="F1183" s="51">
        <f t="shared" si="40"/>
        <v>4.3294754099999997</v>
      </c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</row>
    <row r="1184" spans="1:28" x14ac:dyDescent="0.15">
      <c r="A1184" s="46" t="s">
        <v>2419</v>
      </c>
      <c r="B1184" s="52" t="s">
        <v>7361</v>
      </c>
      <c r="C1184" s="53" t="s">
        <v>2420</v>
      </c>
      <c r="D1184" s="54" t="s">
        <v>8626</v>
      </c>
      <c r="E1184" s="50">
        <f t="shared" si="40"/>
        <v>16.164383560000001</v>
      </c>
      <c r="F1184" s="51">
        <f t="shared" si="40"/>
        <v>4.3296536699999999</v>
      </c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</row>
    <row r="1185" spans="1:28" x14ac:dyDescent="0.15">
      <c r="A1185" s="46" t="s">
        <v>2421</v>
      </c>
      <c r="B1185" s="52" t="s">
        <v>7361</v>
      </c>
      <c r="C1185" s="53" t="s">
        <v>2422</v>
      </c>
      <c r="D1185" s="54" t="s">
        <v>8627</v>
      </c>
      <c r="E1185" s="50">
        <f t="shared" si="40"/>
        <v>16.178082190000001</v>
      </c>
      <c r="F1185" s="51">
        <f t="shared" si="40"/>
        <v>4.3298278100000003</v>
      </c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</row>
    <row r="1186" spans="1:28" x14ac:dyDescent="0.15">
      <c r="A1186" s="46" t="s">
        <v>2423</v>
      </c>
      <c r="B1186" s="52" t="s">
        <v>7361</v>
      </c>
      <c r="C1186" s="53" t="s">
        <v>2424</v>
      </c>
      <c r="D1186" s="54" t="s">
        <v>8628</v>
      </c>
      <c r="E1186" s="50">
        <f t="shared" si="40"/>
        <v>16.191780820000002</v>
      </c>
      <c r="F1186" s="51">
        <f t="shared" si="40"/>
        <v>4.3299981499999998</v>
      </c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</row>
    <row r="1187" spans="1:28" x14ac:dyDescent="0.15">
      <c r="A1187" s="46" t="s">
        <v>2425</v>
      </c>
      <c r="B1187" s="52" t="s">
        <v>7361</v>
      </c>
      <c r="C1187" s="53" t="s">
        <v>2426</v>
      </c>
      <c r="D1187" s="54" t="s">
        <v>8629</v>
      </c>
      <c r="E1187" s="50">
        <f t="shared" si="40"/>
        <v>16.205479449999999</v>
      </c>
      <c r="F1187" s="51">
        <f t="shared" si="40"/>
        <v>4.3301650199999999</v>
      </c>
      <c r="H1187" s="33"/>
      <c r="I1187" s="33"/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</row>
    <row r="1188" spans="1:28" x14ac:dyDescent="0.15">
      <c r="A1188" s="46" t="s">
        <v>2427</v>
      </c>
      <c r="B1188" s="52" t="s">
        <v>7361</v>
      </c>
      <c r="C1188" s="53" t="s">
        <v>2428</v>
      </c>
      <c r="D1188" s="54" t="s">
        <v>8630</v>
      </c>
      <c r="E1188" s="50">
        <f t="shared" si="40"/>
        <v>16.219178079999999</v>
      </c>
      <c r="F1188" s="51">
        <f t="shared" si="40"/>
        <v>4.3303287700000004</v>
      </c>
      <c r="H1188" s="33"/>
      <c r="I1188" s="33"/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</row>
    <row r="1189" spans="1:28" x14ac:dyDescent="0.15">
      <c r="A1189" s="46" t="s">
        <v>2429</v>
      </c>
      <c r="B1189" s="52" t="s">
        <v>7361</v>
      </c>
      <c r="C1189" s="53" t="s">
        <v>2430</v>
      </c>
      <c r="D1189" s="54" t="s">
        <v>8631</v>
      </c>
      <c r="E1189" s="50">
        <f t="shared" si="40"/>
        <v>16.232876709999999</v>
      </c>
      <c r="F1189" s="51">
        <f t="shared" si="40"/>
        <v>4.3304897200000001</v>
      </c>
      <c r="H1189" s="33"/>
      <c r="I1189" s="33"/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</row>
    <row r="1190" spans="1:28" x14ac:dyDescent="0.15">
      <c r="A1190" s="46" t="s">
        <v>2431</v>
      </c>
      <c r="B1190" s="52" t="s">
        <v>7361</v>
      </c>
      <c r="C1190" s="53" t="s">
        <v>2432</v>
      </c>
      <c r="D1190" s="54" t="s">
        <v>8632</v>
      </c>
      <c r="E1190" s="50">
        <f t="shared" si="40"/>
        <v>16.24657534</v>
      </c>
      <c r="F1190" s="51">
        <f t="shared" si="40"/>
        <v>4.3306482199999996</v>
      </c>
      <c r="H1190" s="33"/>
      <c r="I1190" s="33"/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</row>
    <row r="1191" spans="1:28" x14ac:dyDescent="0.15">
      <c r="A1191" s="46" t="s">
        <v>2433</v>
      </c>
      <c r="B1191" s="52" t="s">
        <v>7361</v>
      </c>
      <c r="C1191" s="53" t="s">
        <v>2434</v>
      </c>
      <c r="D1191" s="54" t="s">
        <v>8633</v>
      </c>
      <c r="E1191" s="50">
        <f t="shared" si="40"/>
        <v>16.26027397</v>
      </c>
      <c r="F1191" s="51">
        <f t="shared" si="40"/>
        <v>4.3308045899999996</v>
      </c>
      <c r="H1191" s="33"/>
      <c r="I1191" s="33"/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</row>
    <row r="1192" spans="1:28" x14ac:dyDescent="0.15">
      <c r="A1192" s="46" t="s">
        <v>2435</v>
      </c>
      <c r="B1192" s="52" t="s">
        <v>7361</v>
      </c>
      <c r="C1192" s="53" t="s">
        <v>2436</v>
      </c>
      <c r="D1192" s="54" t="s">
        <v>8634</v>
      </c>
      <c r="E1192" s="50">
        <f t="shared" si="40"/>
        <v>16.2739726</v>
      </c>
      <c r="F1192" s="51">
        <f t="shared" si="40"/>
        <v>4.3309591699999999</v>
      </c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</row>
    <row r="1193" spans="1:28" x14ac:dyDescent="0.15">
      <c r="A1193" s="46" t="s">
        <v>2437</v>
      </c>
      <c r="B1193" s="52" t="s">
        <v>7361</v>
      </c>
      <c r="C1193" s="53" t="s">
        <v>2438</v>
      </c>
      <c r="D1193" s="54" t="s">
        <v>8635</v>
      </c>
      <c r="E1193" s="50">
        <f t="shared" si="40"/>
        <v>16.287671230000001</v>
      </c>
      <c r="F1193" s="51">
        <f t="shared" si="40"/>
        <v>4.33111231</v>
      </c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</row>
    <row r="1194" spans="1:28" x14ac:dyDescent="0.15">
      <c r="A1194" s="46" t="s">
        <v>2439</v>
      </c>
      <c r="B1194" s="52" t="s">
        <v>7361</v>
      </c>
      <c r="C1194" s="53" t="s">
        <v>2440</v>
      </c>
      <c r="D1194" s="54" t="s">
        <v>8636</v>
      </c>
      <c r="E1194" s="50">
        <f t="shared" si="40"/>
        <v>16.301369860000001</v>
      </c>
      <c r="F1194" s="51">
        <f t="shared" si="40"/>
        <v>4.3312643199999998</v>
      </c>
      <c r="H1194" s="33"/>
      <c r="I1194" s="33"/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</row>
    <row r="1195" spans="1:28" x14ac:dyDescent="0.15">
      <c r="A1195" s="46" t="s">
        <v>2441</v>
      </c>
      <c r="B1195" s="52" t="s">
        <v>7361</v>
      </c>
      <c r="C1195" s="53" t="s">
        <v>2442</v>
      </c>
      <c r="D1195" s="54" t="s">
        <v>8637</v>
      </c>
      <c r="E1195" s="50">
        <f t="shared" si="40"/>
        <v>16.315068490000002</v>
      </c>
      <c r="F1195" s="51">
        <f t="shared" si="40"/>
        <v>4.3314155599999999</v>
      </c>
      <c r="H1195" s="33"/>
      <c r="I1195" s="33"/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</row>
    <row r="1196" spans="1:28" x14ac:dyDescent="0.15">
      <c r="A1196" s="46" t="s">
        <v>2443</v>
      </c>
      <c r="B1196" s="52" t="s">
        <v>7361</v>
      </c>
      <c r="C1196" s="53" t="s">
        <v>2444</v>
      </c>
      <c r="D1196" s="54" t="s">
        <v>8638</v>
      </c>
      <c r="E1196" s="50">
        <f t="shared" si="40"/>
        <v>16.328767119999998</v>
      </c>
      <c r="F1196" s="51">
        <f t="shared" si="40"/>
        <v>4.3315663500000001</v>
      </c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</row>
    <row r="1197" spans="1:28" x14ac:dyDescent="0.15">
      <c r="A1197" s="46" t="s">
        <v>2445</v>
      </c>
      <c r="B1197" s="52" t="s">
        <v>7361</v>
      </c>
      <c r="C1197" s="53" t="s">
        <v>2446</v>
      </c>
      <c r="D1197" s="54" t="s">
        <v>8639</v>
      </c>
      <c r="E1197" s="50">
        <f t="shared" si="40"/>
        <v>16.342465749999999</v>
      </c>
      <c r="F1197" s="51">
        <f t="shared" si="40"/>
        <v>4.3317170200000001</v>
      </c>
      <c r="H1197" s="33"/>
      <c r="I1197" s="33"/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</row>
    <row r="1198" spans="1:28" x14ac:dyDescent="0.15">
      <c r="A1198" s="46" t="s">
        <v>2447</v>
      </c>
      <c r="B1198" s="52" t="s">
        <v>7361</v>
      </c>
      <c r="C1198" s="53" t="s">
        <v>2448</v>
      </c>
      <c r="D1198" s="54" t="s">
        <v>8640</v>
      </c>
      <c r="E1198" s="50">
        <f t="shared" si="40"/>
        <v>16.356164379999999</v>
      </c>
      <c r="F1198" s="51">
        <f t="shared" si="40"/>
        <v>4.3318679199999996</v>
      </c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</row>
    <row r="1199" spans="1:28" x14ac:dyDescent="0.15">
      <c r="A1199" s="46" t="s">
        <v>2449</v>
      </c>
      <c r="B1199" s="52" t="s">
        <v>7361</v>
      </c>
      <c r="C1199" s="53" t="s">
        <v>2450</v>
      </c>
      <c r="D1199" s="54" t="s">
        <v>8641</v>
      </c>
      <c r="E1199" s="50">
        <f t="shared" si="40"/>
        <v>16.36986301</v>
      </c>
      <c r="F1199" s="51">
        <f t="shared" si="40"/>
        <v>4.3320193800000002</v>
      </c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</row>
    <row r="1200" spans="1:28" x14ac:dyDescent="0.15">
      <c r="A1200" s="46" t="s">
        <v>2451</v>
      </c>
      <c r="B1200" s="52" t="s">
        <v>7361</v>
      </c>
      <c r="C1200" s="53" t="s">
        <v>2452</v>
      </c>
      <c r="D1200" s="54" t="s">
        <v>8642</v>
      </c>
      <c r="E1200" s="50">
        <f t="shared" si="40"/>
        <v>16.38356164</v>
      </c>
      <c r="F1200" s="51">
        <f t="shared" si="40"/>
        <v>4.3321717299999998</v>
      </c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</row>
    <row r="1201" spans="1:28" x14ac:dyDescent="0.15">
      <c r="A1201" s="46" t="s">
        <v>2453</v>
      </c>
      <c r="B1201" s="52" t="s">
        <v>7361</v>
      </c>
      <c r="C1201" s="53" t="s">
        <v>2454</v>
      </c>
      <c r="D1201" s="54" t="s">
        <v>8643</v>
      </c>
      <c r="E1201" s="50">
        <f t="shared" si="40"/>
        <v>16.39726027</v>
      </c>
      <c r="F1201" s="51">
        <f t="shared" si="40"/>
        <v>4.3323253099999999</v>
      </c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</row>
    <row r="1202" spans="1:28" x14ac:dyDescent="0.15">
      <c r="A1202" s="46" t="s">
        <v>2455</v>
      </c>
      <c r="B1202" s="52" t="s">
        <v>7361</v>
      </c>
      <c r="C1202" s="53" t="s">
        <v>2456</v>
      </c>
      <c r="D1202" s="54" t="s">
        <v>8644</v>
      </c>
      <c r="E1202" s="50">
        <f t="shared" ref="E1202:F1231" si="41">VALUE(C1202)</f>
        <v>16.410958900000001</v>
      </c>
      <c r="F1202" s="51">
        <f t="shared" si="41"/>
        <v>4.3324804600000002</v>
      </c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</row>
    <row r="1203" spans="1:28" x14ac:dyDescent="0.15">
      <c r="A1203" s="46" t="s">
        <v>2457</v>
      </c>
      <c r="B1203" s="52" t="s">
        <v>7361</v>
      </c>
      <c r="C1203" s="53" t="s">
        <v>2458</v>
      </c>
      <c r="D1203" s="54" t="s">
        <v>8645</v>
      </c>
      <c r="E1203" s="50">
        <f t="shared" si="41"/>
        <v>16.424657530000001</v>
      </c>
      <c r="F1203" s="51">
        <f t="shared" si="41"/>
        <v>4.3326374999999997</v>
      </c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</row>
    <row r="1204" spans="1:28" x14ac:dyDescent="0.15">
      <c r="A1204" s="46" t="s">
        <v>2459</v>
      </c>
      <c r="B1204" s="52" t="s">
        <v>7361</v>
      </c>
      <c r="C1204" s="53" t="s">
        <v>2460</v>
      </c>
      <c r="D1204" s="54" t="s">
        <v>8646</v>
      </c>
      <c r="E1204" s="50">
        <f t="shared" si="41"/>
        <v>16.438356160000001</v>
      </c>
      <c r="F1204" s="51">
        <f t="shared" si="41"/>
        <v>4.3327967799999998</v>
      </c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</row>
    <row r="1205" spans="1:28" x14ac:dyDescent="0.15">
      <c r="A1205" s="46" t="s">
        <v>2461</v>
      </c>
      <c r="B1205" s="52" t="s">
        <v>7361</v>
      </c>
      <c r="C1205" s="53" t="s">
        <v>2462</v>
      </c>
      <c r="D1205" s="54" t="s">
        <v>8647</v>
      </c>
      <c r="E1205" s="50">
        <f t="shared" si="41"/>
        <v>16.452054789999998</v>
      </c>
      <c r="F1205" s="51">
        <f t="shared" si="41"/>
        <v>4.3329586200000003</v>
      </c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</row>
    <row r="1206" spans="1:28" x14ac:dyDescent="0.15">
      <c r="A1206" s="46" t="s">
        <v>2463</v>
      </c>
      <c r="B1206" s="52" t="s">
        <v>7361</v>
      </c>
      <c r="C1206" s="53" t="s">
        <v>2464</v>
      </c>
      <c r="D1206" s="54" t="s">
        <v>8648</v>
      </c>
      <c r="E1206" s="50">
        <f t="shared" si="41"/>
        <v>16.465753419999999</v>
      </c>
      <c r="F1206" s="51">
        <f t="shared" si="41"/>
        <v>4.33312337</v>
      </c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</row>
    <row r="1207" spans="1:28" x14ac:dyDescent="0.15">
      <c r="A1207" s="46" t="s">
        <v>2465</v>
      </c>
      <c r="B1207" s="52" t="s">
        <v>7361</v>
      </c>
      <c r="C1207" s="53" t="s">
        <v>2466</v>
      </c>
      <c r="D1207" s="54" t="s">
        <v>8649</v>
      </c>
      <c r="E1207" s="50">
        <f t="shared" si="41"/>
        <v>16.479452049999999</v>
      </c>
      <c r="F1207" s="51">
        <f t="shared" si="41"/>
        <v>4.3332913700000004</v>
      </c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</row>
    <row r="1208" spans="1:28" x14ac:dyDescent="0.15">
      <c r="A1208" s="46" t="s">
        <v>2467</v>
      </c>
      <c r="B1208" s="52" t="s">
        <v>7361</v>
      </c>
      <c r="C1208" s="53" t="s">
        <v>2468</v>
      </c>
      <c r="D1208" s="54" t="s">
        <v>8650</v>
      </c>
      <c r="E1208" s="50">
        <f t="shared" si="41"/>
        <v>16.493150679999999</v>
      </c>
      <c r="F1208" s="51">
        <f t="shared" si="41"/>
        <v>4.3334629299999996</v>
      </c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</row>
    <row r="1209" spans="1:28" x14ac:dyDescent="0.15">
      <c r="A1209" s="46" t="s">
        <v>2469</v>
      </c>
      <c r="B1209" s="52" t="s">
        <v>7361</v>
      </c>
      <c r="C1209" s="53" t="s">
        <v>2470</v>
      </c>
      <c r="D1209" s="54" t="s">
        <v>8651</v>
      </c>
      <c r="E1209" s="50">
        <f t="shared" si="41"/>
        <v>16.506849320000001</v>
      </c>
      <c r="F1209" s="51">
        <f t="shared" si="41"/>
        <v>4.3336370400000002</v>
      </c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</row>
    <row r="1210" spans="1:28" x14ac:dyDescent="0.15">
      <c r="A1210" s="46" t="s">
        <v>2471</v>
      </c>
      <c r="B1210" s="52" t="s">
        <v>7361</v>
      </c>
      <c r="C1210" s="53" t="s">
        <v>2472</v>
      </c>
      <c r="D1210" s="54" t="s">
        <v>8652</v>
      </c>
      <c r="E1210" s="50">
        <f t="shared" si="41"/>
        <v>16.520547950000001</v>
      </c>
      <c r="F1210" s="51">
        <f t="shared" si="41"/>
        <v>4.3338057699999997</v>
      </c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</row>
    <row r="1211" spans="1:28" x14ac:dyDescent="0.15">
      <c r="A1211" s="46" t="s">
        <v>2473</v>
      </c>
      <c r="B1211" s="52" t="s">
        <v>7361</v>
      </c>
      <c r="C1211" s="53" t="s">
        <v>2474</v>
      </c>
      <c r="D1211" s="54" t="s">
        <v>8653</v>
      </c>
      <c r="E1211" s="50">
        <f t="shared" si="41"/>
        <v>16.534246580000001</v>
      </c>
      <c r="F1211" s="51">
        <f t="shared" si="41"/>
        <v>4.3339680500000002</v>
      </c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</row>
    <row r="1212" spans="1:28" x14ac:dyDescent="0.15">
      <c r="A1212" s="46" t="s">
        <v>2475</v>
      </c>
      <c r="B1212" s="52" t="s">
        <v>7361</v>
      </c>
      <c r="C1212" s="53" t="s">
        <v>2476</v>
      </c>
      <c r="D1212" s="54" t="s">
        <v>8654</v>
      </c>
      <c r="E1212" s="50">
        <f t="shared" si="41"/>
        <v>16.547945210000002</v>
      </c>
      <c r="F1212" s="51">
        <f t="shared" si="41"/>
        <v>4.3341241500000001</v>
      </c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</row>
    <row r="1213" spans="1:28" x14ac:dyDescent="0.15">
      <c r="A1213" s="46" t="s">
        <v>2477</v>
      </c>
      <c r="B1213" s="52" t="s">
        <v>7361</v>
      </c>
      <c r="C1213" s="53" t="s">
        <v>2478</v>
      </c>
      <c r="D1213" s="54" t="s">
        <v>8655</v>
      </c>
      <c r="E1213" s="50">
        <f t="shared" si="41"/>
        <v>16.561643839999999</v>
      </c>
      <c r="F1213" s="51">
        <f t="shared" si="41"/>
        <v>4.3342743600000002</v>
      </c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</row>
    <row r="1214" spans="1:28" x14ac:dyDescent="0.15">
      <c r="A1214" s="46" t="s">
        <v>2479</v>
      </c>
      <c r="B1214" s="52" t="s">
        <v>7361</v>
      </c>
      <c r="C1214" s="53" t="s">
        <v>2480</v>
      </c>
      <c r="D1214" s="54" t="s">
        <v>8656</v>
      </c>
      <c r="E1214" s="50">
        <f t="shared" si="41"/>
        <v>16.575342469999999</v>
      </c>
      <c r="F1214" s="51">
        <f t="shared" si="41"/>
        <v>4.3344189599999998</v>
      </c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</row>
    <row r="1215" spans="1:28" x14ac:dyDescent="0.15">
      <c r="A1215" s="46" t="s">
        <v>2481</v>
      </c>
      <c r="B1215" s="52" t="s">
        <v>7361</v>
      </c>
      <c r="C1215" s="53" t="s">
        <v>2482</v>
      </c>
      <c r="D1215" s="54" t="s">
        <v>8657</v>
      </c>
      <c r="E1215" s="50">
        <f t="shared" si="41"/>
        <v>16.589041099999999</v>
      </c>
      <c r="F1215" s="51">
        <f t="shared" si="41"/>
        <v>4.3345582299999998</v>
      </c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</row>
    <row r="1216" spans="1:28" x14ac:dyDescent="0.15">
      <c r="A1216" s="46" t="s">
        <v>2483</v>
      </c>
      <c r="B1216" s="52" t="s">
        <v>7361</v>
      </c>
      <c r="C1216" s="53" t="s">
        <v>2484</v>
      </c>
      <c r="D1216" s="54" t="s">
        <v>8658</v>
      </c>
      <c r="E1216" s="50">
        <f t="shared" si="41"/>
        <v>16.60273973</v>
      </c>
      <c r="F1216" s="51">
        <f t="shared" si="41"/>
        <v>4.3346924600000003</v>
      </c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</row>
    <row r="1217" spans="1:28" x14ac:dyDescent="0.15">
      <c r="A1217" s="46" t="s">
        <v>2485</v>
      </c>
      <c r="B1217" s="52" t="s">
        <v>7361</v>
      </c>
      <c r="C1217" s="53" t="s">
        <v>2486</v>
      </c>
      <c r="D1217" s="54" t="s">
        <v>8659</v>
      </c>
      <c r="E1217" s="50">
        <f t="shared" si="41"/>
        <v>16.61643836</v>
      </c>
      <c r="F1217" s="51">
        <f t="shared" si="41"/>
        <v>4.3348219300000004</v>
      </c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</row>
    <row r="1218" spans="1:28" x14ac:dyDescent="0.15">
      <c r="A1218" s="46" t="s">
        <v>2487</v>
      </c>
      <c r="B1218" s="52" t="s">
        <v>7361</v>
      </c>
      <c r="C1218" s="53" t="s">
        <v>2488</v>
      </c>
      <c r="D1218" s="54" t="s">
        <v>8660</v>
      </c>
      <c r="E1218" s="50">
        <f t="shared" si="41"/>
        <v>16.63013699</v>
      </c>
      <c r="F1218" s="51">
        <f t="shared" si="41"/>
        <v>4.3349469300000001</v>
      </c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</row>
    <row r="1219" spans="1:28" x14ac:dyDescent="0.15">
      <c r="A1219" s="46" t="s">
        <v>2489</v>
      </c>
      <c r="B1219" s="52" t="s">
        <v>7361</v>
      </c>
      <c r="C1219" s="53" t="s">
        <v>2490</v>
      </c>
      <c r="D1219" s="54" t="s">
        <v>8661</v>
      </c>
      <c r="E1219" s="50">
        <f t="shared" si="41"/>
        <v>16.643835620000001</v>
      </c>
      <c r="F1219" s="51">
        <f t="shared" si="41"/>
        <v>4.3350677199999996</v>
      </c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</row>
    <row r="1220" spans="1:28" x14ac:dyDescent="0.15">
      <c r="A1220" s="46" t="s">
        <v>2491</v>
      </c>
      <c r="B1220" s="52" t="s">
        <v>7361</v>
      </c>
      <c r="C1220" s="53" t="s">
        <v>2492</v>
      </c>
      <c r="D1220" s="54" t="s">
        <v>8662</v>
      </c>
      <c r="E1220" s="50">
        <f t="shared" si="41"/>
        <v>16.657534250000001</v>
      </c>
      <c r="F1220" s="51">
        <f t="shared" si="41"/>
        <v>4.3351846099999998</v>
      </c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</row>
    <row r="1221" spans="1:28" x14ac:dyDescent="0.15">
      <c r="A1221" s="46" t="s">
        <v>2493</v>
      </c>
      <c r="B1221" s="52" t="s">
        <v>7361</v>
      </c>
      <c r="C1221" s="53" t="s">
        <v>2494</v>
      </c>
      <c r="D1221" s="54" t="s">
        <v>8663</v>
      </c>
      <c r="E1221" s="50">
        <f t="shared" si="41"/>
        <v>16.671232880000002</v>
      </c>
      <c r="F1221" s="51">
        <f t="shared" si="41"/>
        <v>4.3352978699999998</v>
      </c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</row>
    <row r="1222" spans="1:28" x14ac:dyDescent="0.15">
      <c r="A1222" s="46" t="s">
        <v>2495</v>
      </c>
      <c r="B1222" s="52" t="s">
        <v>7361</v>
      </c>
      <c r="C1222" s="53" t="s">
        <v>2496</v>
      </c>
      <c r="D1222" s="54" t="s">
        <v>8664</v>
      </c>
      <c r="E1222" s="50">
        <f t="shared" si="41"/>
        <v>16.684931509999998</v>
      </c>
      <c r="F1222" s="51">
        <f t="shared" si="41"/>
        <v>4.3354077799999997</v>
      </c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</row>
    <row r="1223" spans="1:28" x14ac:dyDescent="0.15">
      <c r="A1223" s="46" t="s">
        <v>2497</v>
      </c>
      <c r="B1223" s="52" t="s">
        <v>7361</v>
      </c>
      <c r="C1223" s="53" t="s">
        <v>2498</v>
      </c>
      <c r="D1223" s="54" t="s">
        <v>8665</v>
      </c>
      <c r="E1223" s="50">
        <f t="shared" si="41"/>
        <v>16.698630139999999</v>
      </c>
      <c r="F1223" s="51">
        <f t="shared" si="41"/>
        <v>4.3355146199999997</v>
      </c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</row>
    <row r="1224" spans="1:28" x14ac:dyDescent="0.15">
      <c r="A1224" s="46" t="s">
        <v>2499</v>
      </c>
      <c r="B1224" s="52" t="s">
        <v>7361</v>
      </c>
      <c r="C1224" s="53" t="s">
        <v>2500</v>
      </c>
      <c r="D1224" s="54" t="s">
        <v>8666</v>
      </c>
      <c r="E1224" s="50">
        <f t="shared" si="41"/>
        <v>16.712328769999999</v>
      </c>
      <c r="F1224" s="51">
        <f t="shared" si="41"/>
        <v>4.3356186900000004</v>
      </c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</row>
    <row r="1225" spans="1:28" x14ac:dyDescent="0.15">
      <c r="A1225" s="46" t="s">
        <v>2501</v>
      </c>
      <c r="B1225" s="52" t="s">
        <v>7361</v>
      </c>
      <c r="C1225" s="53" t="s">
        <v>2502</v>
      </c>
      <c r="D1225" s="54" t="s">
        <v>8667</v>
      </c>
      <c r="E1225" s="50">
        <f t="shared" si="41"/>
        <v>16.7260274</v>
      </c>
      <c r="F1225" s="51">
        <f t="shared" si="41"/>
        <v>4.3357202499999996</v>
      </c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</row>
    <row r="1226" spans="1:28" x14ac:dyDescent="0.15">
      <c r="A1226" s="46" t="s">
        <v>2503</v>
      </c>
      <c r="B1226" s="52" t="s">
        <v>7361</v>
      </c>
      <c r="C1226" s="53" t="s">
        <v>2504</v>
      </c>
      <c r="D1226" s="54" t="s">
        <v>8668</v>
      </c>
      <c r="E1226" s="50">
        <f t="shared" si="41"/>
        <v>16.73972603</v>
      </c>
      <c r="F1226" s="51">
        <f t="shared" si="41"/>
        <v>4.3358196099999997</v>
      </c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</row>
    <row r="1227" spans="1:28" x14ac:dyDescent="0.15">
      <c r="A1227" s="46" t="s">
        <v>2505</v>
      </c>
      <c r="B1227" s="52" t="s">
        <v>7361</v>
      </c>
      <c r="C1227" s="53" t="s">
        <v>2506</v>
      </c>
      <c r="D1227" s="54" t="s">
        <v>8669</v>
      </c>
      <c r="E1227" s="50">
        <f t="shared" si="41"/>
        <v>16.75342466</v>
      </c>
      <c r="F1227" s="51">
        <f t="shared" si="41"/>
        <v>4.3359170300000001</v>
      </c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</row>
    <row r="1228" spans="1:28" x14ac:dyDescent="0.15">
      <c r="A1228" s="46" t="s">
        <v>2507</v>
      </c>
      <c r="B1228" s="52" t="s">
        <v>7361</v>
      </c>
      <c r="C1228" s="53" t="s">
        <v>2508</v>
      </c>
      <c r="D1228" s="54" t="s">
        <v>8670</v>
      </c>
      <c r="E1228" s="50">
        <f t="shared" si="41"/>
        <v>16.767123290000001</v>
      </c>
      <c r="F1228" s="51">
        <f t="shared" si="41"/>
        <v>4.3360127999999998</v>
      </c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</row>
    <row r="1229" spans="1:28" x14ac:dyDescent="0.15">
      <c r="A1229" s="46" t="s">
        <v>2509</v>
      </c>
      <c r="B1229" s="52" t="s">
        <v>7361</v>
      </c>
      <c r="C1229" s="53" t="s">
        <v>2510</v>
      </c>
      <c r="D1229" s="54" t="s">
        <v>8671</v>
      </c>
      <c r="E1229" s="50">
        <f t="shared" si="41"/>
        <v>16.780821920000001</v>
      </c>
      <c r="F1229" s="51">
        <f t="shared" si="41"/>
        <v>4.3361071999999998</v>
      </c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</row>
    <row r="1230" spans="1:28" x14ac:dyDescent="0.15">
      <c r="A1230" s="46" t="s">
        <v>2511</v>
      </c>
      <c r="B1230" s="52" t="s">
        <v>7361</v>
      </c>
      <c r="C1230" s="53" t="s">
        <v>2512</v>
      </c>
      <c r="D1230" s="54" t="s">
        <v>8672</v>
      </c>
      <c r="E1230" s="50">
        <f t="shared" si="41"/>
        <v>16.794520550000001</v>
      </c>
      <c r="F1230" s="51">
        <f t="shared" si="41"/>
        <v>4.3362005200000002</v>
      </c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</row>
    <row r="1231" spans="1:28" x14ac:dyDescent="0.15">
      <c r="A1231" s="46" t="s">
        <v>2513</v>
      </c>
      <c r="B1231" s="52" t="s">
        <v>7361</v>
      </c>
      <c r="C1231" s="53" t="s">
        <v>2514</v>
      </c>
      <c r="D1231" s="54" t="s">
        <v>8673</v>
      </c>
      <c r="E1231" s="50">
        <f t="shared" si="41"/>
        <v>16.808219179999998</v>
      </c>
      <c r="F1231" s="51">
        <f t="shared" si="41"/>
        <v>4.3362930300000002</v>
      </c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</row>
    <row r="1232" spans="1:28" x14ac:dyDescent="0.15">
      <c r="A1232" s="46" t="s">
        <v>2515</v>
      </c>
      <c r="B1232" s="52" t="s">
        <v>7361</v>
      </c>
      <c r="C1232" s="53" t="s">
        <v>2516</v>
      </c>
      <c r="D1232" s="54" t="s">
        <v>8674</v>
      </c>
      <c r="E1232" s="50">
        <f t="shared" ref="E1232:F1262" si="42">VALUE(C1232)</f>
        <v>16.821917809999999</v>
      </c>
      <c r="F1232" s="51">
        <f t="shared" si="42"/>
        <v>4.3363850299999998</v>
      </c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</row>
    <row r="1233" spans="1:28" x14ac:dyDescent="0.15">
      <c r="A1233" s="46" t="s">
        <v>2517</v>
      </c>
      <c r="B1233" s="52" t="s">
        <v>7361</v>
      </c>
      <c r="C1233" s="53" t="s">
        <v>2518</v>
      </c>
      <c r="D1233" s="54" t="s">
        <v>8675</v>
      </c>
      <c r="E1233" s="50">
        <f t="shared" si="42"/>
        <v>16.835616439999999</v>
      </c>
      <c r="F1233" s="51">
        <f t="shared" si="42"/>
        <v>4.3364767999999998</v>
      </c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</row>
    <row r="1234" spans="1:28" x14ac:dyDescent="0.15">
      <c r="A1234" s="46" t="s">
        <v>2519</v>
      </c>
      <c r="B1234" s="52" t="s">
        <v>7361</v>
      </c>
      <c r="C1234" s="53" t="s">
        <v>2520</v>
      </c>
      <c r="D1234" s="54" t="s">
        <v>8676</v>
      </c>
      <c r="E1234" s="50">
        <f t="shared" si="42"/>
        <v>16.849315069999999</v>
      </c>
      <c r="F1234" s="51">
        <f t="shared" si="42"/>
        <v>4.3365686099999996</v>
      </c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</row>
    <row r="1235" spans="1:28" x14ac:dyDescent="0.15">
      <c r="A1235" s="46" t="s">
        <v>2521</v>
      </c>
      <c r="B1235" s="52" t="s">
        <v>7361</v>
      </c>
      <c r="C1235" s="53" t="s">
        <v>2522</v>
      </c>
      <c r="D1235" s="54" t="s">
        <v>8677</v>
      </c>
      <c r="E1235" s="50">
        <f t="shared" si="42"/>
        <v>16.8630137</v>
      </c>
      <c r="F1235" s="51">
        <f t="shared" si="42"/>
        <v>4.3366607500000001</v>
      </c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</row>
    <row r="1236" spans="1:28" x14ac:dyDescent="0.15">
      <c r="A1236" s="46" t="s">
        <v>2523</v>
      </c>
      <c r="B1236" s="52" t="s">
        <v>7361</v>
      </c>
      <c r="C1236" s="53" t="s">
        <v>2524</v>
      </c>
      <c r="D1236" s="54" t="s">
        <v>8678</v>
      </c>
      <c r="E1236" s="50">
        <f t="shared" si="42"/>
        <v>16.87671233</v>
      </c>
      <c r="F1236" s="51">
        <f t="shared" si="42"/>
        <v>4.3367535000000004</v>
      </c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</row>
    <row r="1237" spans="1:28" x14ac:dyDescent="0.15">
      <c r="A1237" s="46" t="s">
        <v>2525</v>
      </c>
      <c r="B1237" s="52" t="s">
        <v>7361</v>
      </c>
      <c r="C1237" s="53" t="s">
        <v>2526</v>
      </c>
      <c r="D1237" s="54" t="s">
        <v>8679</v>
      </c>
      <c r="E1237" s="50">
        <f t="shared" si="42"/>
        <v>16.890410960000001</v>
      </c>
      <c r="F1237" s="51">
        <f t="shared" si="42"/>
        <v>4.3368471499999997</v>
      </c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</row>
    <row r="1238" spans="1:28" x14ac:dyDescent="0.15">
      <c r="A1238" s="46" t="s">
        <v>2527</v>
      </c>
      <c r="B1238" s="52" t="s">
        <v>7361</v>
      </c>
      <c r="C1238" s="53" t="s">
        <v>2528</v>
      </c>
      <c r="D1238" s="54" t="s">
        <v>8680</v>
      </c>
      <c r="E1238" s="50">
        <f t="shared" si="42"/>
        <v>16.904109590000001</v>
      </c>
      <c r="F1238" s="51">
        <f t="shared" si="42"/>
        <v>4.3369419699999998</v>
      </c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</row>
    <row r="1239" spans="1:28" x14ac:dyDescent="0.15">
      <c r="A1239" s="46" t="s">
        <v>2529</v>
      </c>
      <c r="B1239" s="52" t="s">
        <v>7361</v>
      </c>
      <c r="C1239" s="53" t="s">
        <v>2530</v>
      </c>
      <c r="D1239" s="54" t="s">
        <v>8681</v>
      </c>
      <c r="E1239" s="50">
        <f t="shared" si="42"/>
        <v>16.917808220000001</v>
      </c>
      <c r="F1239" s="51">
        <f t="shared" si="42"/>
        <v>4.3370382599999999</v>
      </c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</row>
    <row r="1240" spans="1:28" x14ac:dyDescent="0.15">
      <c r="A1240" s="46" t="s">
        <v>2531</v>
      </c>
      <c r="B1240" s="52" t="s">
        <v>7361</v>
      </c>
      <c r="C1240" s="53" t="s">
        <v>2532</v>
      </c>
      <c r="D1240" s="54" t="s">
        <v>8682</v>
      </c>
      <c r="E1240" s="50">
        <f t="shared" si="42"/>
        <v>16.931506850000002</v>
      </c>
      <c r="F1240" s="51">
        <f t="shared" si="42"/>
        <v>4.3371362900000001</v>
      </c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</row>
    <row r="1241" spans="1:28" x14ac:dyDescent="0.15">
      <c r="A1241" s="46" t="s">
        <v>2533</v>
      </c>
      <c r="B1241" s="52" t="s">
        <v>7361</v>
      </c>
      <c r="C1241" s="53" t="s">
        <v>2534</v>
      </c>
      <c r="D1241" s="54" t="s">
        <v>8683</v>
      </c>
      <c r="E1241" s="50">
        <f t="shared" si="42"/>
        <v>16.945205479999998</v>
      </c>
      <c r="F1241" s="51">
        <f t="shared" si="42"/>
        <v>4.3372363500000004</v>
      </c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</row>
    <row r="1242" spans="1:28" x14ac:dyDescent="0.15">
      <c r="A1242" s="46" t="s">
        <v>2535</v>
      </c>
      <c r="B1242" s="52" t="s">
        <v>7361</v>
      </c>
      <c r="C1242" s="53" t="s">
        <v>2536</v>
      </c>
      <c r="D1242" s="54" t="s">
        <v>8684</v>
      </c>
      <c r="E1242" s="50">
        <f t="shared" si="42"/>
        <v>16.958904109999999</v>
      </c>
      <c r="F1242" s="51">
        <f t="shared" si="42"/>
        <v>4.33733872</v>
      </c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</row>
    <row r="1243" spans="1:28" x14ac:dyDescent="0.15">
      <c r="A1243" s="46" t="s">
        <v>2537</v>
      </c>
      <c r="B1243" s="52" t="s">
        <v>7361</v>
      </c>
      <c r="C1243" s="53" t="s">
        <v>2538</v>
      </c>
      <c r="D1243" s="54" t="s">
        <v>8685</v>
      </c>
      <c r="E1243" s="50">
        <f t="shared" si="42"/>
        <v>16.972602739999999</v>
      </c>
      <c r="F1243" s="51">
        <f t="shared" si="42"/>
        <v>4.3374436799999998</v>
      </c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</row>
    <row r="1244" spans="1:28" x14ac:dyDescent="0.15">
      <c r="A1244" s="46" t="s">
        <v>2539</v>
      </c>
      <c r="B1244" s="52" t="s">
        <v>7361</v>
      </c>
      <c r="C1244" s="53" t="s">
        <v>2540</v>
      </c>
      <c r="D1244" s="54" t="s">
        <v>8686</v>
      </c>
      <c r="E1244" s="50">
        <f t="shared" si="42"/>
        <v>16.98630137</v>
      </c>
      <c r="F1244" s="51">
        <f t="shared" si="42"/>
        <v>4.3375515199999999</v>
      </c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</row>
    <row r="1245" spans="1:28" x14ac:dyDescent="0.15">
      <c r="A1245" s="46" t="s">
        <v>2541</v>
      </c>
      <c r="B1245" s="52" t="s">
        <v>7361</v>
      </c>
      <c r="C1245" s="53" t="s">
        <v>2542</v>
      </c>
      <c r="D1245" s="54" t="s">
        <v>8687</v>
      </c>
      <c r="E1245" s="50">
        <f t="shared" si="42"/>
        <v>17</v>
      </c>
      <c r="F1245" s="51">
        <f t="shared" si="42"/>
        <v>4.3376625100000004</v>
      </c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</row>
    <row r="1246" spans="1:28" x14ac:dyDescent="0.15">
      <c r="A1246" s="46" t="s">
        <v>2543</v>
      </c>
      <c r="B1246" s="52" t="s">
        <v>7361</v>
      </c>
      <c r="C1246" s="53" t="s">
        <v>2544</v>
      </c>
      <c r="D1246" s="54" t="s">
        <v>8688</v>
      </c>
      <c r="E1246" s="50">
        <f t="shared" si="42"/>
        <v>17.01369863</v>
      </c>
      <c r="F1246" s="51">
        <f t="shared" si="42"/>
        <v>4.3377724300000002</v>
      </c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</row>
    <row r="1247" spans="1:28" x14ac:dyDescent="0.15">
      <c r="A1247" s="46" t="s">
        <v>2545</v>
      </c>
      <c r="B1247" s="52" t="s">
        <v>7361</v>
      </c>
      <c r="C1247" s="53" t="s">
        <v>2546</v>
      </c>
      <c r="D1247" s="54" t="s">
        <v>8689</v>
      </c>
      <c r="E1247" s="50">
        <f t="shared" si="42"/>
        <v>17.027397260000001</v>
      </c>
      <c r="F1247" s="51">
        <f t="shared" si="42"/>
        <v>4.3378770199999996</v>
      </c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</row>
    <row r="1248" spans="1:28" x14ac:dyDescent="0.15">
      <c r="A1248" s="46" t="s">
        <v>2547</v>
      </c>
      <c r="B1248" s="52" t="s">
        <v>7361</v>
      </c>
      <c r="C1248" s="53" t="s">
        <v>2548</v>
      </c>
      <c r="D1248" s="54" t="s">
        <v>8690</v>
      </c>
      <c r="E1248" s="50">
        <f t="shared" si="42"/>
        <v>17.041095890000001</v>
      </c>
      <c r="F1248" s="51">
        <f t="shared" si="42"/>
        <v>4.3379764999999999</v>
      </c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</row>
    <row r="1249" spans="1:28" x14ac:dyDescent="0.15">
      <c r="A1249" s="46" t="s">
        <v>2549</v>
      </c>
      <c r="B1249" s="52" t="s">
        <v>7361</v>
      </c>
      <c r="C1249" s="53" t="s">
        <v>2550</v>
      </c>
      <c r="D1249" s="54" t="s">
        <v>8691</v>
      </c>
      <c r="E1249" s="50">
        <f t="shared" si="42"/>
        <v>17.054794520000002</v>
      </c>
      <c r="F1249" s="51">
        <f t="shared" si="42"/>
        <v>4.3380710999999996</v>
      </c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</row>
    <row r="1250" spans="1:28" x14ac:dyDescent="0.15">
      <c r="A1250" s="46" t="s">
        <v>2551</v>
      </c>
      <c r="B1250" s="52" t="s">
        <v>7361</v>
      </c>
      <c r="C1250" s="53" t="s">
        <v>2552</v>
      </c>
      <c r="D1250" s="54" t="s">
        <v>8692</v>
      </c>
      <c r="E1250" s="50">
        <f t="shared" si="42"/>
        <v>17.068493149999998</v>
      </c>
      <c r="F1250" s="51">
        <f t="shared" si="42"/>
        <v>4.3381610400000001</v>
      </c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</row>
    <row r="1251" spans="1:28" x14ac:dyDescent="0.15">
      <c r="A1251" s="46" t="s">
        <v>2553</v>
      </c>
      <c r="B1251" s="52" t="s">
        <v>7361</v>
      </c>
      <c r="C1251" s="53" t="s">
        <v>2554</v>
      </c>
      <c r="D1251" s="54" t="s">
        <v>8693</v>
      </c>
      <c r="E1251" s="50">
        <f t="shared" si="42"/>
        <v>17.082191779999999</v>
      </c>
      <c r="F1251" s="51">
        <f t="shared" si="42"/>
        <v>4.3382465699999999</v>
      </c>
      <c r="H1251" s="33"/>
      <c r="I1251" s="33"/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</row>
    <row r="1252" spans="1:28" x14ac:dyDescent="0.15">
      <c r="A1252" s="46" t="s">
        <v>2555</v>
      </c>
      <c r="B1252" s="52" t="s">
        <v>7361</v>
      </c>
      <c r="C1252" s="53" t="s">
        <v>2556</v>
      </c>
      <c r="D1252" s="54" t="s">
        <v>8694</v>
      </c>
      <c r="E1252" s="50">
        <f t="shared" si="42"/>
        <v>17.095890409999999</v>
      </c>
      <c r="F1252" s="51">
        <f t="shared" si="42"/>
        <v>4.3383279000000003</v>
      </c>
      <c r="H1252" s="33"/>
      <c r="I1252" s="33"/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</row>
    <row r="1253" spans="1:28" x14ac:dyDescent="0.15">
      <c r="A1253" s="46" t="s">
        <v>2557</v>
      </c>
      <c r="B1253" s="52" t="s">
        <v>7361</v>
      </c>
      <c r="C1253" s="53" t="s">
        <v>2558</v>
      </c>
      <c r="D1253" s="54" t="s">
        <v>8695</v>
      </c>
      <c r="E1253" s="50">
        <f t="shared" si="42"/>
        <v>17.109589039999999</v>
      </c>
      <c r="F1253" s="51">
        <f t="shared" si="42"/>
        <v>4.33840527</v>
      </c>
      <c r="H1253" s="33"/>
      <c r="I1253" s="33"/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</row>
    <row r="1254" spans="1:28" x14ac:dyDescent="0.15">
      <c r="A1254" s="46" t="s">
        <v>2559</v>
      </c>
      <c r="B1254" s="52" t="s">
        <v>7361</v>
      </c>
      <c r="C1254" s="53" t="s">
        <v>2560</v>
      </c>
      <c r="D1254" s="54" t="s">
        <v>8696</v>
      </c>
      <c r="E1254" s="50">
        <f t="shared" si="42"/>
        <v>17.12328767</v>
      </c>
      <c r="F1254" s="51">
        <f t="shared" si="42"/>
        <v>4.3384789100000001</v>
      </c>
      <c r="H1254" s="33"/>
      <c r="I1254" s="33"/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</row>
    <row r="1255" spans="1:28" x14ac:dyDescent="0.15">
      <c r="A1255" s="46" t="s">
        <v>2561</v>
      </c>
      <c r="B1255" s="52" t="s">
        <v>7361</v>
      </c>
      <c r="C1255" s="53" t="s">
        <v>2562</v>
      </c>
      <c r="D1255" s="54" t="s">
        <v>8697</v>
      </c>
      <c r="E1255" s="50">
        <f t="shared" si="42"/>
        <v>17.1369863</v>
      </c>
      <c r="F1255" s="51">
        <f t="shared" si="42"/>
        <v>4.3385490400000002</v>
      </c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</row>
    <row r="1256" spans="1:28" x14ac:dyDescent="0.15">
      <c r="A1256" s="46" t="s">
        <v>2563</v>
      </c>
      <c r="B1256" s="52" t="s">
        <v>7361</v>
      </c>
      <c r="C1256" s="53" t="s">
        <v>2564</v>
      </c>
      <c r="D1256" s="54" t="s">
        <v>8698</v>
      </c>
      <c r="E1256" s="50">
        <f t="shared" si="42"/>
        <v>17.150684930000001</v>
      </c>
      <c r="F1256" s="51">
        <f t="shared" si="42"/>
        <v>4.3386158899999998</v>
      </c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</row>
    <row r="1257" spans="1:28" x14ac:dyDescent="0.15">
      <c r="A1257" s="46" t="s">
        <v>2565</v>
      </c>
      <c r="B1257" s="52" t="s">
        <v>7361</v>
      </c>
      <c r="C1257" s="53" t="s">
        <v>2566</v>
      </c>
      <c r="D1257" s="54" t="s">
        <v>8699</v>
      </c>
      <c r="E1257" s="50">
        <f t="shared" si="42"/>
        <v>17.164383560000001</v>
      </c>
      <c r="F1257" s="51">
        <f t="shared" si="42"/>
        <v>4.3386796900000002</v>
      </c>
      <c r="H1257" s="33"/>
      <c r="I1257" s="33"/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</row>
    <row r="1258" spans="1:28" x14ac:dyDescent="0.15">
      <c r="A1258" s="46" t="s">
        <v>2567</v>
      </c>
      <c r="B1258" s="52" t="s">
        <v>7361</v>
      </c>
      <c r="C1258" s="53" t="s">
        <v>2568</v>
      </c>
      <c r="D1258" s="54" t="s">
        <v>8700</v>
      </c>
      <c r="E1258" s="50">
        <f t="shared" si="42"/>
        <v>17.178082190000001</v>
      </c>
      <c r="F1258" s="51">
        <f t="shared" si="42"/>
        <v>4.33874066</v>
      </c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</row>
    <row r="1259" spans="1:28" x14ac:dyDescent="0.15">
      <c r="A1259" s="46" t="s">
        <v>2569</v>
      </c>
      <c r="B1259" s="52" t="s">
        <v>7361</v>
      </c>
      <c r="C1259" s="53" t="s">
        <v>2570</v>
      </c>
      <c r="D1259" s="54" t="s">
        <v>8701</v>
      </c>
      <c r="E1259" s="50">
        <f t="shared" si="42"/>
        <v>17.191780820000002</v>
      </c>
      <c r="F1259" s="51">
        <f t="shared" si="42"/>
        <v>4.3387990500000004</v>
      </c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</row>
    <row r="1260" spans="1:28" x14ac:dyDescent="0.15">
      <c r="A1260" s="46" t="s">
        <v>2571</v>
      </c>
      <c r="B1260" s="52" t="s">
        <v>7361</v>
      </c>
      <c r="C1260" s="53" t="s">
        <v>2572</v>
      </c>
      <c r="D1260" s="54" t="s">
        <v>8702</v>
      </c>
      <c r="E1260" s="50">
        <f t="shared" si="42"/>
        <v>17.205479449999999</v>
      </c>
      <c r="F1260" s="51">
        <f t="shared" si="42"/>
        <v>4.3388550800000001</v>
      </c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</row>
    <row r="1261" spans="1:28" x14ac:dyDescent="0.15">
      <c r="A1261" s="46" t="s">
        <v>2573</v>
      </c>
      <c r="B1261" s="52" t="s">
        <v>7361</v>
      </c>
      <c r="C1261" s="53" t="s">
        <v>2574</v>
      </c>
      <c r="D1261" s="54" t="s">
        <v>8703</v>
      </c>
      <c r="E1261" s="50">
        <f t="shared" si="42"/>
        <v>17.219178079999999</v>
      </c>
      <c r="F1261" s="51">
        <f t="shared" si="42"/>
        <v>4.3389089600000004</v>
      </c>
      <c r="H1261" s="33"/>
      <c r="I1261" s="33"/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</row>
    <row r="1262" spans="1:28" x14ac:dyDescent="0.15">
      <c r="A1262" s="46" t="s">
        <v>2575</v>
      </c>
      <c r="B1262" s="52" t="s">
        <v>7361</v>
      </c>
      <c r="C1262" s="53" t="s">
        <v>2576</v>
      </c>
      <c r="D1262" s="54" t="s">
        <v>8704</v>
      </c>
      <c r="E1262" s="50">
        <f t="shared" si="42"/>
        <v>17.232876709999999</v>
      </c>
      <c r="F1262" s="51">
        <f t="shared" si="42"/>
        <v>4.3389609499999997</v>
      </c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</row>
    <row r="1263" spans="1:28" x14ac:dyDescent="0.15">
      <c r="A1263" s="46" t="s">
        <v>2577</v>
      </c>
      <c r="B1263" s="52" t="s">
        <v>7361</v>
      </c>
      <c r="C1263" s="53" t="s">
        <v>2578</v>
      </c>
      <c r="D1263" s="54" t="s">
        <v>8705</v>
      </c>
      <c r="E1263" s="50">
        <f t="shared" ref="E1263:F1292" si="43">VALUE(C1263)</f>
        <v>17.24657534</v>
      </c>
      <c r="F1263" s="51">
        <f t="shared" si="43"/>
        <v>4.3390112500000004</v>
      </c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</row>
    <row r="1264" spans="1:28" x14ac:dyDescent="0.15">
      <c r="A1264" s="46" t="s">
        <v>2579</v>
      </c>
      <c r="B1264" s="52" t="s">
        <v>7361</v>
      </c>
      <c r="C1264" s="53" t="s">
        <v>2580</v>
      </c>
      <c r="D1264" s="54" t="s">
        <v>8706</v>
      </c>
      <c r="E1264" s="50">
        <f t="shared" si="43"/>
        <v>17.26027397</v>
      </c>
      <c r="F1264" s="51">
        <f t="shared" si="43"/>
        <v>4.3390601100000001</v>
      </c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</row>
    <row r="1265" spans="1:28" x14ac:dyDescent="0.15">
      <c r="A1265" s="46" t="s">
        <v>2581</v>
      </c>
      <c r="B1265" s="52" t="s">
        <v>7361</v>
      </c>
      <c r="C1265" s="53" t="s">
        <v>2582</v>
      </c>
      <c r="D1265" s="54" t="s">
        <v>8707</v>
      </c>
      <c r="E1265" s="50">
        <f t="shared" si="43"/>
        <v>17.2739726</v>
      </c>
      <c r="F1265" s="51">
        <f t="shared" si="43"/>
        <v>4.3391077500000002</v>
      </c>
      <c r="H1265" s="33"/>
      <c r="I1265" s="33"/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</row>
    <row r="1266" spans="1:28" x14ac:dyDescent="0.15">
      <c r="A1266" s="46" t="s">
        <v>2583</v>
      </c>
      <c r="B1266" s="52" t="s">
        <v>7361</v>
      </c>
      <c r="C1266" s="53" t="s">
        <v>2584</v>
      </c>
      <c r="D1266" s="54" t="s">
        <v>8708</v>
      </c>
      <c r="E1266" s="50">
        <f t="shared" si="43"/>
        <v>17.287671230000001</v>
      </c>
      <c r="F1266" s="51">
        <f t="shared" si="43"/>
        <v>4.3391544</v>
      </c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</row>
    <row r="1267" spans="1:28" x14ac:dyDescent="0.15">
      <c r="A1267" s="46" t="s">
        <v>2585</v>
      </c>
      <c r="B1267" s="52" t="s">
        <v>7361</v>
      </c>
      <c r="C1267" s="53" t="s">
        <v>2586</v>
      </c>
      <c r="D1267" s="54" t="s">
        <v>8709</v>
      </c>
      <c r="E1267" s="50">
        <f t="shared" si="43"/>
        <v>17.301369860000001</v>
      </c>
      <c r="F1267" s="51">
        <f t="shared" si="43"/>
        <v>4.33920028</v>
      </c>
      <c r="H1267" s="33"/>
      <c r="I1267" s="33"/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</row>
    <row r="1268" spans="1:28" x14ac:dyDescent="0.15">
      <c r="A1268" s="46" t="s">
        <v>2587</v>
      </c>
      <c r="B1268" s="52" t="s">
        <v>7361</v>
      </c>
      <c r="C1268" s="53" t="s">
        <v>2588</v>
      </c>
      <c r="D1268" s="54" t="s">
        <v>8710</v>
      </c>
      <c r="E1268" s="50">
        <f t="shared" si="43"/>
        <v>17.315068490000002</v>
      </c>
      <c r="F1268" s="51">
        <f t="shared" si="43"/>
        <v>4.3392456299999997</v>
      </c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</row>
    <row r="1269" spans="1:28" x14ac:dyDescent="0.15">
      <c r="A1269" s="46" t="s">
        <v>2589</v>
      </c>
      <c r="B1269" s="52" t="s">
        <v>7361</v>
      </c>
      <c r="C1269" s="53" t="s">
        <v>2590</v>
      </c>
      <c r="D1269" s="54" t="s">
        <v>8711</v>
      </c>
      <c r="E1269" s="50">
        <f t="shared" si="43"/>
        <v>17.328767119999998</v>
      </c>
      <c r="F1269" s="51">
        <f t="shared" si="43"/>
        <v>4.3392906800000004</v>
      </c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</row>
    <row r="1270" spans="1:28" x14ac:dyDescent="0.15">
      <c r="A1270" s="46" t="s">
        <v>2591</v>
      </c>
      <c r="B1270" s="52" t="s">
        <v>7361</v>
      </c>
      <c r="C1270" s="53" t="s">
        <v>2592</v>
      </c>
      <c r="D1270" s="54" t="s">
        <v>8712</v>
      </c>
      <c r="E1270" s="50">
        <f t="shared" si="43"/>
        <v>17.342465749999999</v>
      </c>
      <c r="F1270" s="51">
        <f t="shared" si="43"/>
        <v>4.3393356499999998</v>
      </c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</row>
    <row r="1271" spans="1:28" x14ac:dyDescent="0.15">
      <c r="A1271" s="46" t="s">
        <v>2593</v>
      </c>
      <c r="B1271" s="52" t="s">
        <v>7361</v>
      </c>
      <c r="C1271" s="53" t="s">
        <v>2594</v>
      </c>
      <c r="D1271" s="54" t="s">
        <v>8713</v>
      </c>
      <c r="E1271" s="50">
        <f t="shared" si="43"/>
        <v>17.356164379999999</v>
      </c>
      <c r="F1271" s="51">
        <f t="shared" si="43"/>
        <v>4.33938077</v>
      </c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</row>
    <row r="1272" spans="1:28" x14ac:dyDescent="0.15">
      <c r="A1272" s="46" t="s">
        <v>2595</v>
      </c>
      <c r="B1272" s="52" t="s">
        <v>7361</v>
      </c>
      <c r="C1272" s="53" t="s">
        <v>2596</v>
      </c>
      <c r="D1272" s="54" t="s">
        <v>8714</v>
      </c>
      <c r="E1272" s="50">
        <f t="shared" si="43"/>
        <v>17.36986301</v>
      </c>
      <c r="F1272" s="51">
        <f t="shared" si="43"/>
        <v>4.3394262699999997</v>
      </c>
      <c r="H1272" s="33"/>
      <c r="I1272" s="33"/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</row>
    <row r="1273" spans="1:28" x14ac:dyDescent="0.15">
      <c r="A1273" s="46" t="s">
        <v>2597</v>
      </c>
      <c r="B1273" s="52" t="s">
        <v>7361</v>
      </c>
      <c r="C1273" s="53" t="s">
        <v>2598</v>
      </c>
      <c r="D1273" s="54" t="s">
        <v>8715</v>
      </c>
      <c r="E1273" s="50">
        <f t="shared" si="43"/>
        <v>17.38356164</v>
      </c>
      <c r="F1273" s="51">
        <f t="shared" si="43"/>
        <v>4.3394723900000001</v>
      </c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</row>
    <row r="1274" spans="1:28" x14ac:dyDescent="0.15">
      <c r="A1274" s="46" t="s">
        <v>2599</v>
      </c>
      <c r="B1274" s="52" t="s">
        <v>7361</v>
      </c>
      <c r="C1274" s="53" t="s">
        <v>2600</v>
      </c>
      <c r="D1274" s="54" t="s">
        <v>8716</v>
      </c>
      <c r="E1274" s="50">
        <f t="shared" si="43"/>
        <v>17.39726027</v>
      </c>
      <c r="F1274" s="51">
        <f t="shared" si="43"/>
        <v>4.3395193399999998</v>
      </c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</row>
    <row r="1275" spans="1:28" x14ac:dyDescent="0.15">
      <c r="A1275" s="46" t="s">
        <v>2601</v>
      </c>
      <c r="B1275" s="52" t="s">
        <v>7361</v>
      </c>
      <c r="C1275" s="53" t="s">
        <v>2602</v>
      </c>
      <c r="D1275" s="54" t="s">
        <v>8717</v>
      </c>
      <c r="E1275" s="50">
        <f t="shared" si="43"/>
        <v>17.410958900000001</v>
      </c>
      <c r="F1275" s="51">
        <f t="shared" si="43"/>
        <v>4.3395673600000002</v>
      </c>
      <c r="H1275" s="33"/>
      <c r="I1275" s="33"/>
      <c r="J1275" s="33"/>
      <c r="K1275" s="33"/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</row>
    <row r="1276" spans="1:28" x14ac:dyDescent="0.15">
      <c r="A1276" s="46" t="s">
        <v>2603</v>
      </c>
      <c r="B1276" s="52" t="s">
        <v>7361</v>
      </c>
      <c r="C1276" s="53" t="s">
        <v>2604</v>
      </c>
      <c r="D1276" s="54" t="s">
        <v>8718</v>
      </c>
      <c r="E1276" s="50">
        <f t="shared" si="43"/>
        <v>17.424657530000001</v>
      </c>
      <c r="F1276" s="51">
        <f t="shared" si="43"/>
        <v>4.3396166699999998</v>
      </c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</row>
    <row r="1277" spans="1:28" x14ac:dyDescent="0.15">
      <c r="A1277" s="46" t="s">
        <v>2605</v>
      </c>
      <c r="B1277" s="52" t="s">
        <v>7361</v>
      </c>
      <c r="C1277" s="53" t="s">
        <v>2606</v>
      </c>
      <c r="D1277" s="54" t="s">
        <v>8719</v>
      </c>
      <c r="E1277" s="50">
        <f t="shared" si="43"/>
        <v>17.438356160000001</v>
      </c>
      <c r="F1277" s="51">
        <f t="shared" si="43"/>
        <v>4.33966751</v>
      </c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</row>
    <row r="1278" spans="1:28" x14ac:dyDescent="0.15">
      <c r="A1278" s="46" t="s">
        <v>2607</v>
      </c>
      <c r="B1278" s="52" t="s">
        <v>7361</v>
      </c>
      <c r="C1278" s="53" t="s">
        <v>2608</v>
      </c>
      <c r="D1278" s="54" t="s">
        <v>8720</v>
      </c>
      <c r="E1278" s="50">
        <f t="shared" si="43"/>
        <v>17.452054789999998</v>
      </c>
      <c r="F1278" s="51">
        <f t="shared" si="43"/>
        <v>4.3397201000000001</v>
      </c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</row>
    <row r="1279" spans="1:28" x14ac:dyDescent="0.15">
      <c r="A1279" s="46" t="s">
        <v>2609</v>
      </c>
      <c r="B1279" s="52" t="s">
        <v>7361</v>
      </c>
      <c r="C1279" s="53" t="s">
        <v>2610</v>
      </c>
      <c r="D1279" s="54" t="s">
        <v>8721</v>
      </c>
      <c r="E1279" s="50">
        <f t="shared" si="43"/>
        <v>17.465753419999999</v>
      </c>
      <c r="F1279" s="51">
        <f t="shared" si="43"/>
        <v>4.3397746799999997</v>
      </c>
      <c r="H1279" s="33"/>
      <c r="I1279" s="33"/>
      <c r="J1279" s="33"/>
      <c r="K1279" s="33"/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</row>
    <row r="1280" spans="1:28" x14ac:dyDescent="0.15">
      <c r="A1280" s="46" t="s">
        <v>2611</v>
      </c>
      <c r="B1280" s="52" t="s">
        <v>7361</v>
      </c>
      <c r="C1280" s="53" t="s">
        <v>2612</v>
      </c>
      <c r="D1280" s="54" t="s">
        <v>8722</v>
      </c>
      <c r="E1280" s="50">
        <f t="shared" si="43"/>
        <v>17.479452049999999</v>
      </c>
      <c r="F1280" s="51">
        <f t="shared" si="43"/>
        <v>4.33983147</v>
      </c>
      <c r="H1280" s="33"/>
      <c r="I1280" s="33"/>
      <c r="J1280" s="33"/>
      <c r="K1280" s="33"/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</row>
    <row r="1281" spans="1:28" x14ac:dyDescent="0.15">
      <c r="A1281" s="46" t="s">
        <v>2613</v>
      </c>
      <c r="B1281" s="52" t="s">
        <v>7361</v>
      </c>
      <c r="C1281" s="53" t="s">
        <v>2614</v>
      </c>
      <c r="D1281" s="54" t="s">
        <v>8723</v>
      </c>
      <c r="E1281" s="50">
        <f t="shared" si="43"/>
        <v>17.493150679999999</v>
      </c>
      <c r="F1281" s="51">
        <f t="shared" si="43"/>
        <v>4.3398906899999998</v>
      </c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</row>
    <row r="1282" spans="1:28" x14ac:dyDescent="0.15">
      <c r="A1282" s="46" t="s">
        <v>2615</v>
      </c>
      <c r="B1282" s="52" t="s">
        <v>7361</v>
      </c>
      <c r="C1282" s="53" t="s">
        <v>2616</v>
      </c>
      <c r="D1282" s="54" t="s">
        <v>8724</v>
      </c>
      <c r="E1282" s="50">
        <f t="shared" si="43"/>
        <v>17.506849320000001</v>
      </c>
      <c r="F1282" s="51">
        <f t="shared" si="43"/>
        <v>4.3399518700000002</v>
      </c>
      <c r="H1282" s="33"/>
      <c r="I1282" s="33"/>
      <c r="J1282" s="33"/>
      <c r="K1282" s="33"/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</row>
    <row r="1283" spans="1:28" x14ac:dyDescent="0.15">
      <c r="A1283" s="46" t="s">
        <v>2617</v>
      </c>
      <c r="B1283" s="52" t="s">
        <v>7361</v>
      </c>
      <c r="C1283" s="53" t="s">
        <v>2618</v>
      </c>
      <c r="D1283" s="54" t="s">
        <v>8725</v>
      </c>
      <c r="E1283" s="50">
        <f t="shared" si="43"/>
        <v>17.520547950000001</v>
      </c>
      <c r="F1283" s="51">
        <f t="shared" si="43"/>
        <v>4.3400108700000004</v>
      </c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</row>
    <row r="1284" spans="1:28" x14ac:dyDescent="0.15">
      <c r="A1284" s="46" t="s">
        <v>2619</v>
      </c>
      <c r="B1284" s="52" t="s">
        <v>7361</v>
      </c>
      <c r="C1284" s="53" t="s">
        <v>2620</v>
      </c>
      <c r="D1284" s="54" t="s">
        <v>8726</v>
      </c>
      <c r="E1284" s="50">
        <f t="shared" si="43"/>
        <v>17.534246580000001</v>
      </c>
      <c r="F1284" s="51">
        <f t="shared" si="43"/>
        <v>4.34006705</v>
      </c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</row>
    <row r="1285" spans="1:28" x14ac:dyDescent="0.15">
      <c r="A1285" s="46" t="s">
        <v>2621</v>
      </c>
      <c r="B1285" s="52" t="s">
        <v>7361</v>
      </c>
      <c r="C1285" s="53" t="s">
        <v>2622</v>
      </c>
      <c r="D1285" s="54" t="s">
        <v>8727</v>
      </c>
      <c r="E1285" s="50">
        <f t="shared" si="43"/>
        <v>17.547945210000002</v>
      </c>
      <c r="F1285" s="51">
        <f t="shared" si="43"/>
        <v>4.3401204800000004</v>
      </c>
      <c r="H1285" s="33"/>
      <c r="I1285" s="33"/>
      <c r="J1285" s="33"/>
      <c r="K1285" s="33"/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</row>
    <row r="1286" spans="1:28" x14ac:dyDescent="0.15">
      <c r="A1286" s="46" t="s">
        <v>2623</v>
      </c>
      <c r="B1286" s="52" t="s">
        <v>7361</v>
      </c>
      <c r="C1286" s="53" t="s">
        <v>2624</v>
      </c>
      <c r="D1286" s="54" t="s">
        <v>8728</v>
      </c>
      <c r="E1286" s="50">
        <f t="shared" si="43"/>
        <v>17.561643839999999</v>
      </c>
      <c r="F1286" s="51">
        <f t="shared" si="43"/>
        <v>4.3401712300000002</v>
      </c>
      <c r="H1286" s="33"/>
      <c r="I1286" s="33"/>
      <c r="J1286" s="33"/>
      <c r="K1286" s="33"/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</row>
    <row r="1287" spans="1:28" x14ac:dyDescent="0.15">
      <c r="A1287" s="46" t="s">
        <v>2625</v>
      </c>
      <c r="B1287" s="52" t="s">
        <v>7361</v>
      </c>
      <c r="C1287" s="53" t="s">
        <v>2626</v>
      </c>
      <c r="D1287" s="54" t="s">
        <v>8729</v>
      </c>
      <c r="E1287" s="50">
        <f t="shared" si="43"/>
        <v>17.575342469999999</v>
      </c>
      <c r="F1287" s="51">
        <f t="shared" si="43"/>
        <v>4.3402193599999999</v>
      </c>
      <c r="H1287" s="33"/>
      <c r="I1287" s="33"/>
      <c r="J1287" s="33"/>
      <c r="K1287" s="33"/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</row>
    <row r="1288" spans="1:28" x14ac:dyDescent="0.15">
      <c r="A1288" s="46" t="s">
        <v>2627</v>
      </c>
      <c r="B1288" s="52" t="s">
        <v>7361</v>
      </c>
      <c r="C1288" s="53" t="s">
        <v>2628</v>
      </c>
      <c r="D1288" s="54" t="s">
        <v>8730</v>
      </c>
      <c r="E1288" s="50">
        <f t="shared" si="43"/>
        <v>17.589041099999999</v>
      </c>
      <c r="F1288" s="51">
        <f t="shared" si="43"/>
        <v>4.34026493</v>
      </c>
      <c r="H1288" s="33"/>
      <c r="I1288" s="33"/>
      <c r="J1288" s="33"/>
      <c r="K1288" s="33"/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</row>
    <row r="1289" spans="1:28" x14ac:dyDescent="0.15">
      <c r="A1289" s="46" t="s">
        <v>2629</v>
      </c>
      <c r="B1289" s="52" t="s">
        <v>7361</v>
      </c>
      <c r="C1289" s="53" t="s">
        <v>2630</v>
      </c>
      <c r="D1289" s="54" t="s">
        <v>8731</v>
      </c>
      <c r="E1289" s="50">
        <f t="shared" si="43"/>
        <v>17.60273973</v>
      </c>
      <c r="F1289" s="51">
        <f t="shared" si="43"/>
        <v>4.3403080300000001</v>
      </c>
      <c r="H1289" s="33"/>
      <c r="I1289" s="33"/>
      <c r="J1289" s="33"/>
      <c r="K1289" s="33"/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</row>
    <row r="1290" spans="1:28" x14ac:dyDescent="0.15">
      <c r="A1290" s="46" t="s">
        <v>2631</v>
      </c>
      <c r="B1290" s="52" t="s">
        <v>7361</v>
      </c>
      <c r="C1290" s="53" t="s">
        <v>2632</v>
      </c>
      <c r="D1290" s="54" t="s">
        <v>8732</v>
      </c>
      <c r="E1290" s="50">
        <f t="shared" si="43"/>
        <v>17.61643836</v>
      </c>
      <c r="F1290" s="51">
        <f t="shared" si="43"/>
        <v>4.3403486999999998</v>
      </c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</row>
    <row r="1291" spans="1:28" x14ac:dyDescent="0.15">
      <c r="A1291" s="46" t="s">
        <v>2633</v>
      </c>
      <c r="B1291" s="52" t="s">
        <v>7361</v>
      </c>
      <c r="C1291" s="53" t="s">
        <v>2634</v>
      </c>
      <c r="D1291" s="54" t="s">
        <v>8733</v>
      </c>
      <c r="E1291" s="50">
        <f t="shared" si="43"/>
        <v>17.63013699</v>
      </c>
      <c r="F1291" s="51">
        <f t="shared" si="43"/>
        <v>4.3403870299999996</v>
      </c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</row>
    <row r="1292" spans="1:28" x14ac:dyDescent="0.15">
      <c r="A1292" s="46" t="s">
        <v>2635</v>
      </c>
      <c r="B1292" s="52" t="s">
        <v>7361</v>
      </c>
      <c r="C1292" s="53" t="s">
        <v>2636</v>
      </c>
      <c r="D1292" s="54" t="s">
        <v>8734</v>
      </c>
      <c r="E1292" s="50">
        <f t="shared" si="43"/>
        <v>17.643835620000001</v>
      </c>
      <c r="F1292" s="51">
        <f t="shared" si="43"/>
        <v>4.3404230699999999</v>
      </c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</row>
    <row r="1293" spans="1:28" x14ac:dyDescent="0.15">
      <c r="A1293" s="46" t="s">
        <v>2637</v>
      </c>
      <c r="B1293" s="52" t="s">
        <v>7361</v>
      </c>
      <c r="C1293" s="53" t="s">
        <v>2638</v>
      </c>
      <c r="D1293" s="54" t="s">
        <v>8735</v>
      </c>
      <c r="E1293" s="50">
        <f t="shared" ref="E1293:F1323" si="44">VALUE(C1293)</f>
        <v>17.657534250000001</v>
      </c>
      <c r="F1293" s="51">
        <f t="shared" si="44"/>
        <v>4.3404569000000004</v>
      </c>
      <c r="H1293" s="33"/>
      <c r="I1293" s="33"/>
      <c r="J1293" s="33"/>
      <c r="K1293" s="33"/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</row>
    <row r="1294" spans="1:28" x14ac:dyDescent="0.15">
      <c r="A1294" s="46" t="s">
        <v>2639</v>
      </c>
      <c r="B1294" s="52" t="s">
        <v>7361</v>
      </c>
      <c r="C1294" s="53" t="s">
        <v>2640</v>
      </c>
      <c r="D1294" s="54" t="s">
        <v>8736</v>
      </c>
      <c r="E1294" s="50">
        <f t="shared" si="44"/>
        <v>17.671232880000002</v>
      </c>
      <c r="F1294" s="51">
        <f t="shared" si="44"/>
        <v>4.3404885899999996</v>
      </c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</row>
    <row r="1295" spans="1:28" x14ac:dyDescent="0.15">
      <c r="A1295" s="46" t="s">
        <v>2641</v>
      </c>
      <c r="B1295" s="52" t="s">
        <v>7361</v>
      </c>
      <c r="C1295" s="53" t="s">
        <v>2642</v>
      </c>
      <c r="D1295" s="54" t="s">
        <v>8737</v>
      </c>
      <c r="E1295" s="50">
        <f t="shared" si="44"/>
        <v>17.684931509999998</v>
      </c>
      <c r="F1295" s="51">
        <f t="shared" si="44"/>
        <v>4.3405181900000001</v>
      </c>
      <c r="H1295" s="33"/>
      <c r="I1295" s="33"/>
      <c r="J1295" s="33"/>
      <c r="K1295" s="33"/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</row>
    <row r="1296" spans="1:28" x14ac:dyDescent="0.15">
      <c r="A1296" s="46" t="s">
        <v>2643</v>
      </c>
      <c r="B1296" s="52" t="s">
        <v>7361</v>
      </c>
      <c r="C1296" s="53" t="s">
        <v>2644</v>
      </c>
      <c r="D1296" s="54" t="s">
        <v>8738</v>
      </c>
      <c r="E1296" s="50">
        <f t="shared" si="44"/>
        <v>17.698630139999999</v>
      </c>
      <c r="F1296" s="51">
        <f t="shared" si="44"/>
        <v>4.3405457700000003</v>
      </c>
      <c r="H1296" s="33"/>
      <c r="I1296" s="33"/>
      <c r="J1296" s="33"/>
      <c r="K1296" s="33"/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</row>
    <row r="1297" spans="1:28" x14ac:dyDescent="0.15">
      <c r="A1297" s="46" t="s">
        <v>2645</v>
      </c>
      <c r="B1297" s="52" t="s">
        <v>7361</v>
      </c>
      <c r="C1297" s="53" t="s">
        <v>2646</v>
      </c>
      <c r="D1297" s="54" t="s">
        <v>8739</v>
      </c>
      <c r="E1297" s="50">
        <f t="shared" si="44"/>
        <v>17.712328769999999</v>
      </c>
      <c r="F1297" s="51">
        <f t="shared" si="44"/>
        <v>4.3405714099999999</v>
      </c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</row>
    <row r="1298" spans="1:28" x14ac:dyDescent="0.15">
      <c r="A1298" s="46" t="s">
        <v>2647</v>
      </c>
      <c r="B1298" s="52" t="s">
        <v>7361</v>
      </c>
      <c r="C1298" s="53" t="s">
        <v>2648</v>
      </c>
      <c r="D1298" s="54" t="s">
        <v>8740</v>
      </c>
      <c r="E1298" s="50">
        <f t="shared" si="44"/>
        <v>17.7260274</v>
      </c>
      <c r="F1298" s="51">
        <f t="shared" si="44"/>
        <v>4.3405951700000003</v>
      </c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</row>
    <row r="1299" spans="1:28" x14ac:dyDescent="0.15">
      <c r="A1299" s="46" t="s">
        <v>2649</v>
      </c>
      <c r="B1299" s="52" t="s">
        <v>7361</v>
      </c>
      <c r="C1299" s="53" t="s">
        <v>2650</v>
      </c>
      <c r="D1299" s="54" t="s">
        <v>8741</v>
      </c>
      <c r="E1299" s="50">
        <f t="shared" si="44"/>
        <v>17.73972603</v>
      </c>
      <c r="F1299" s="51">
        <f t="shared" si="44"/>
        <v>4.3406171200000001</v>
      </c>
      <c r="H1299" s="33"/>
      <c r="I1299" s="33"/>
      <c r="J1299" s="33"/>
      <c r="K1299" s="33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</row>
    <row r="1300" spans="1:28" x14ac:dyDescent="0.15">
      <c r="A1300" s="46" t="s">
        <v>2651</v>
      </c>
      <c r="B1300" s="52" t="s">
        <v>7361</v>
      </c>
      <c r="C1300" s="53" t="s">
        <v>2652</v>
      </c>
      <c r="D1300" s="54" t="s">
        <v>8742</v>
      </c>
      <c r="E1300" s="50">
        <f t="shared" si="44"/>
        <v>17.75342466</v>
      </c>
      <c r="F1300" s="51">
        <f t="shared" si="44"/>
        <v>4.3406373199999999</v>
      </c>
      <c r="H1300" s="33"/>
      <c r="I1300" s="33"/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</row>
    <row r="1301" spans="1:28" x14ac:dyDescent="0.15">
      <c r="A1301" s="46" t="s">
        <v>2653</v>
      </c>
      <c r="B1301" s="52" t="s">
        <v>7361</v>
      </c>
      <c r="C1301" s="53" t="s">
        <v>2654</v>
      </c>
      <c r="D1301" s="54" t="s">
        <v>8743</v>
      </c>
      <c r="E1301" s="50">
        <f t="shared" si="44"/>
        <v>17.767123290000001</v>
      </c>
      <c r="F1301" s="51">
        <f t="shared" si="44"/>
        <v>4.3406558400000002</v>
      </c>
      <c r="H1301" s="33"/>
      <c r="I1301" s="33"/>
      <c r="J1301" s="33"/>
      <c r="K1301" s="33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</row>
    <row r="1302" spans="1:28" x14ac:dyDescent="0.15">
      <c r="A1302" s="46" t="s">
        <v>2655</v>
      </c>
      <c r="B1302" s="52" t="s">
        <v>7361</v>
      </c>
      <c r="C1302" s="53" t="s">
        <v>2656</v>
      </c>
      <c r="D1302" s="54" t="s">
        <v>8744</v>
      </c>
      <c r="E1302" s="50">
        <f t="shared" si="44"/>
        <v>17.780821920000001</v>
      </c>
      <c r="F1302" s="51">
        <f t="shared" si="44"/>
        <v>4.3406727500000004</v>
      </c>
      <c r="H1302" s="33"/>
      <c r="I1302" s="33"/>
      <c r="J1302" s="33"/>
      <c r="K1302" s="33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</row>
    <row r="1303" spans="1:28" x14ac:dyDescent="0.15">
      <c r="A1303" s="46" t="s">
        <v>2657</v>
      </c>
      <c r="B1303" s="52" t="s">
        <v>7361</v>
      </c>
      <c r="C1303" s="53" t="s">
        <v>2658</v>
      </c>
      <c r="D1303" s="54" t="s">
        <v>8745</v>
      </c>
      <c r="E1303" s="50">
        <f t="shared" si="44"/>
        <v>17.794520550000001</v>
      </c>
      <c r="F1303" s="51">
        <f t="shared" si="44"/>
        <v>4.3406881200000003</v>
      </c>
      <c r="H1303" s="33"/>
      <c r="I1303" s="33"/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</row>
    <row r="1304" spans="1:28" x14ac:dyDescent="0.15">
      <c r="A1304" s="46" t="s">
        <v>2659</v>
      </c>
      <c r="B1304" s="52" t="s">
        <v>7361</v>
      </c>
      <c r="C1304" s="53" t="s">
        <v>2660</v>
      </c>
      <c r="D1304" s="54" t="s">
        <v>8746</v>
      </c>
      <c r="E1304" s="50">
        <f t="shared" si="44"/>
        <v>17.808219179999998</v>
      </c>
      <c r="F1304" s="51">
        <f t="shared" si="44"/>
        <v>4.3407020000000003</v>
      </c>
      <c r="H1304" s="33"/>
      <c r="I1304" s="33"/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</row>
    <row r="1305" spans="1:28" x14ac:dyDescent="0.15">
      <c r="A1305" s="46" t="s">
        <v>2661</v>
      </c>
      <c r="B1305" s="52" t="s">
        <v>7361</v>
      </c>
      <c r="C1305" s="53" t="s">
        <v>2662</v>
      </c>
      <c r="D1305" s="54" t="s">
        <v>8747</v>
      </c>
      <c r="E1305" s="50">
        <f t="shared" si="44"/>
        <v>17.821917809999999</v>
      </c>
      <c r="F1305" s="51">
        <f t="shared" si="44"/>
        <v>4.3407144799999999</v>
      </c>
      <c r="H1305" s="33"/>
      <c r="I1305" s="33"/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</row>
    <row r="1306" spans="1:28" x14ac:dyDescent="0.15">
      <c r="A1306" s="46" t="s">
        <v>2663</v>
      </c>
      <c r="B1306" s="52" t="s">
        <v>7361</v>
      </c>
      <c r="C1306" s="53" t="s">
        <v>2664</v>
      </c>
      <c r="D1306" s="54" t="s">
        <v>8748</v>
      </c>
      <c r="E1306" s="50">
        <f t="shared" si="44"/>
        <v>17.835616439999999</v>
      </c>
      <c r="F1306" s="51">
        <f t="shared" si="44"/>
        <v>4.3407256199999997</v>
      </c>
      <c r="H1306" s="33"/>
      <c r="I1306" s="33"/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</row>
    <row r="1307" spans="1:28" x14ac:dyDescent="0.15">
      <c r="A1307" s="46" t="s">
        <v>2665</v>
      </c>
      <c r="B1307" s="52" t="s">
        <v>7361</v>
      </c>
      <c r="C1307" s="53" t="s">
        <v>2666</v>
      </c>
      <c r="D1307" s="54" t="s">
        <v>8749</v>
      </c>
      <c r="E1307" s="50">
        <f t="shared" si="44"/>
        <v>17.849315069999999</v>
      </c>
      <c r="F1307" s="51">
        <f t="shared" si="44"/>
        <v>4.3407354800000002</v>
      </c>
      <c r="H1307" s="33"/>
      <c r="I1307" s="33"/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</row>
    <row r="1308" spans="1:28" x14ac:dyDescent="0.15">
      <c r="A1308" s="46" t="s">
        <v>2667</v>
      </c>
      <c r="B1308" s="52" t="s">
        <v>7361</v>
      </c>
      <c r="C1308" s="53" t="s">
        <v>2668</v>
      </c>
      <c r="D1308" s="54" t="s">
        <v>8750</v>
      </c>
      <c r="E1308" s="50">
        <f t="shared" si="44"/>
        <v>17.8630137</v>
      </c>
      <c r="F1308" s="51">
        <f t="shared" si="44"/>
        <v>4.3407441200000001</v>
      </c>
      <c r="H1308" s="33"/>
      <c r="I1308" s="33"/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</row>
    <row r="1309" spans="1:28" x14ac:dyDescent="0.15">
      <c r="A1309" s="46" t="s">
        <v>2669</v>
      </c>
      <c r="B1309" s="52" t="s">
        <v>7361</v>
      </c>
      <c r="C1309" s="53" t="s">
        <v>2670</v>
      </c>
      <c r="D1309" s="54" t="s">
        <v>8751</v>
      </c>
      <c r="E1309" s="50">
        <f t="shared" si="44"/>
        <v>17.87671233</v>
      </c>
      <c r="F1309" s="51">
        <f t="shared" si="44"/>
        <v>4.3407516299999997</v>
      </c>
      <c r="H1309" s="33"/>
      <c r="I1309" s="33"/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</row>
    <row r="1310" spans="1:28" x14ac:dyDescent="0.15">
      <c r="A1310" s="46" t="s">
        <v>2671</v>
      </c>
      <c r="B1310" s="52" t="s">
        <v>7361</v>
      </c>
      <c r="C1310" s="53" t="s">
        <v>2672</v>
      </c>
      <c r="D1310" s="54" t="s">
        <v>8752</v>
      </c>
      <c r="E1310" s="50">
        <f t="shared" si="44"/>
        <v>17.890410960000001</v>
      </c>
      <c r="F1310" s="51">
        <f t="shared" si="44"/>
        <v>4.3407580599999998</v>
      </c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</row>
    <row r="1311" spans="1:28" x14ac:dyDescent="0.15">
      <c r="A1311" s="46" t="s">
        <v>2673</v>
      </c>
      <c r="B1311" s="52" t="s">
        <v>7361</v>
      </c>
      <c r="C1311" s="53" t="s">
        <v>2674</v>
      </c>
      <c r="D1311" s="54" t="s">
        <v>8753</v>
      </c>
      <c r="E1311" s="50">
        <f t="shared" si="44"/>
        <v>17.904109590000001</v>
      </c>
      <c r="F1311" s="51">
        <f t="shared" si="44"/>
        <v>4.3407634899999996</v>
      </c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</row>
    <row r="1312" spans="1:28" x14ac:dyDescent="0.15">
      <c r="A1312" s="46" t="s">
        <v>2675</v>
      </c>
      <c r="B1312" s="52" t="s">
        <v>7361</v>
      </c>
      <c r="C1312" s="53" t="s">
        <v>2676</v>
      </c>
      <c r="D1312" s="54" t="s">
        <v>8754</v>
      </c>
      <c r="E1312" s="50">
        <f t="shared" si="44"/>
        <v>17.917808220000001</v>
      </c>
      <c r="F1312" s="51">
        <f t="shared" si="44"/>
        <v>4.3407679699999999</v>
      </c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</row>
    <row r="1313" spans="1:28" x14ac:dyDescent="0.15">
      <c r="A1313" s="46" t="s">
        <v>2677</v>
      </c>
      <c r="B1313" s="52" t="s">
        <v>7361</v>
      </c>
      <c r="C1313" s="53" t="s">
        <v>2678</v>
      </c>
      <c r="D1313" s="54" t="s">
        <v>8755</v>
      </c>
      <c r="E1313" s="50">
        <f t="shared" si="44"/>
        <v>17.931506850000002</v>
      </c>
      <c r="F1313" s="51">
        <f t="shared" si="44"/>
        <v>4.3407715800000002</v>
      </c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</row>
    <row r="1314" spans="1:28" x14ac:dyDescent="0.15">
      <c r="A1314" s="46" t="s">
        <v>2679</v>
      </c>
      <c r="B1314" s="52" t="s">
        <v>7361</v>
      </c>
      <c r="C1314" s="53" t="s">
        <v>2680</v>
      </c>
      <c r="D1314" s="54" t="s">
        <v>8756</v>
      </c>
      <c r="E1314" s="50">
        <f t="shared" si="44"/>
        <v>17.945205479999998</v>
      </c>
      <c r="F1314" s="51">
        <f t="shared" si="44"/>
        <v>4.34077438</v>
      </c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</row>
    <row r="1315" spans="1:28" x14ac:dyDescent="0.15">
      <c r="A1315" s="46" t="s">
        <v>2681</v>
      </c>
      <c r="B1315" s="52" t="s">
        <v>7361</v>
      </c>
      <c r="C1315" s="53" t="s">
        <v>2682</v>
      </c>
      <c r="D1315" s="54" t="s">
        <v>8757</v>
      </c>
      <c r="E1315" s="50">
        <f t="shared" si="44"/>
        <v>17.958904109999999</v>
      </c>
      <c r="F1315" s="51">
        <f t="shared" si="44"/>
        <v>4.3407764499999999</v>
      </c>
      <c r="H1315" s="33"/>
      <c r="I1315" s="33"/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</row>
    <row r="1316" spans="1:28" x14ac:dyDescent="0.15">
      <c r="A1316" s="46" t="s">
        <v>2683</v>
      </c>
      <c r="B1316" s="52" t="s">
        <v>7361</v>
      </c>
      <c r="C1316" s="53" t="s">
        <v>2684</v>
      </c>
      <c r="D1316" s="54" t="s">
        <v>8758</v>
      </c>
      <c r="E1316" s="50">
        <f t="shared" si="44"/>
        <v>17.972602739999999</v>
      </c>
      <c r="F1316" s="51">
        <f t="shared" si="44"/>
        <v>4.3407778400000003</v>
      </c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</row>
    <row r="1317" spans="1:28" x14ac:dyDescent="0.15">
      <c r="A1317" s="46" t="s">
        <v>2685</v>
      </c>
      <c r="B1317" s="52" t="s">
        <v>7361</v>
      </c>
      <c r="C1317" s="53" t="s">
        <v>2686</v>
      </c>
      <c r="D1317" s="54" t="s">
        <v>8759</v>
      </c>
      <c r="E1317" s="50">
        <f t="shared" si="44"/>
        <v>17.98630137</v>
      </c>
      <c r="F1317" s="51">
        <f t="shared" si="44"/>
        <v>4.34077862</v>
      </c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</row>
    <row r="1318" spans="1:28" x14ac:dyDescent="0.15">
      <c r="A1318" s="46" t="s">
        <v>2687</v>
      </c>
      <c r="B1318" s="52" t="s">
        <v>7361</v>
      </c>
      <c r="C1318" s="53" t="s">
        <v>2688</v>
      </c>
      <c r="D1318" s="54" t="s">
        <v>8760</v>
      </c>
      <c r="E1318" s="50">
        <f t="shared" si="44"/>
        <v>18</v>
      </c>
      <c r="F1318" s="51">
        <f t="shared" si="44"/>
        <v>4.3407788700000003</v>
      </c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</row>
    <row r="1319" spans="1:28" x14ac:dyDescent="0.15">
      <c r="A1319" s="46" t="s">
        <v>2689</v>
      </c>
      <c r="B1319" s="52" t="s">
        <v>7361</v>
      </c>
      <c r="C1319" s="53" t="s">
        <v>2690</v>
      </c>
      <c r="D1319" s="54" t="s">
        <v>8761</v>
      </c>
      <c r="E1319" s="50">
        <f t="shared" si="44"/>
        <v>18.01369863</v>
      </c>
      <c r="F1319" s="51">
        <f t="shared" si="44"/>
        <v>4.3407787500000001</v>
      </c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</row>
    <row r="1320" spans="1:28" x14ac:dyDescent="0.15">
      <c r="A1320" s="46" t="s">
        <v>2691</v>
      </c>
      <c r="B1320" s="52" t="s">
        <v>7361</v>
      </c>
      <c r="C1320" s="53" t="s">
        <v>2692</v>
      </c>
      <c r="D1320" s="54" t="s">
        <v>8762</v>
      </c>
      <c r="E1320" s="50">
        <f t="shared" si="44"/>
        <v>18.027397260000001</v>
      </c>
      <c r="F1320" s="51">
        <f t="shared" si="44"/>
        <v>4.3407784200000004</v>
      </c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</row>
    <row r="1321" spans="1:28" x14ac:dyDescent="0.15">
      <c r="A1321" s="46" t="s">
        <v>2693</v>
      </c>
      <c r="B1321" s="52" t="s">
        <v>7361</v>
      </c>
      <c r="C1321" s="53" t="s">
        <v>2694</v>
      </c>
      <c r="D1321" s="54" t="s">
        <v>8763</v>
      </c>
      <c r="E1321" s="50">
        <f t="shared" si="44"/>
        <v>18.041095890000001</v>
      </c>
      <c r="F1321" s="51">
        <f t="shared" si="44"/>
        <v>4.3407778600000002</v>
      </c>
      <c r="H1321" s="33"/>
      <c r="I1321" s="33"/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</row>
    <row r="1322" spans="1:28" x14ac:dyDescent="0.15">
      <c r="A1322" s="46" t="s">
        <v>2695</v>
      </c>
      <c r="B1322" s="52" t="s">
        <v>7361</v>
      </c>
      <c r="C1322" s="53" t="s">
        <v>2696</v>
      </c>
      <c r="D1322" s="54" t="s">
        <v>8764</v>
      </c>
      <c r="E1322" s="50">
        <f t="shared" si="44"/>
        <v>18.054794520000002</v>
      </c>
      <c r="F1322" s="51">
        <f t="shared" si="44"/>
        <v>4.3407771100000003</v>
      </c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</row>
    <row r="1323" spans="1:28" x14ac:dyDescent="0.15">
      <c r="A1323" s="46" t="s">
        <v>2697</v>
      </c>
      <c r="B1323" s="52" t="s">
        <v>7361</v>
      </c>
      <c r="C1323" s="53" t="s">
        <v>2698</v>
      </c>
      <c r="D1323" s="54" t="s">
        <v>8765</v>
      </c>
      <c r="E1323" s="50">
        <f t="shared" si="44"/>
        <v>18.068493149999998</v>
      </c>
      <c r="F1323" s="51">
        <f t="shared" si="44"/>
        <v>4.3407761499999999</v>
      </c>
      <c r="H1323" s="33"/>
      <c r="I1323" s="33"/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</row>
    <row r="1324" spans="1:28" x14ac:dyDescent="0.15">
      <c r="A1324" s="46" t="s">
        <v>2699</v>
      </c>
      <c r="B1324" s="52" t="s">
        <v>7361</v>
      </c>
      <c r="C1324" s="53" t="s">
        <v>2700</v>
      </c>
      <c r="D1324" s="54" t="s">
        <v>8766</v>
      </c>
      <c r="E1324" s="50">
        <f t="shared" ref="E1324:F1353" si="45">VALUE(C1324)</f>
        <v>18.082191779999999</v>
      </c>
      <c r="F1324" s="51">
        <f t="shared" si="45"/>
        <v>4.3407750099999998</v>
      </c>
      <c r="H1324" s="33"/>
      <c r="I1324" s="33"/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</row>
    <row r="1325" spans="1:28" x14ac:dyDescent="0.15">
      <c r="A1325" s="46" t="s">
        <v>2701</v>
      </c>
      <c r="B1325" s="52" t="s">
        <v>7361</v>
      </c>
      <c r="C1325" s="53" t="s">
        <v>2702</v>
      </c>
      <c r="D1325" s="54" t="s">
        <v>8767</v>
      </c>
      <c r="E1325" s="50">
        <f t="shared" si="45"/>
        <v>18.095890409999999</v>
      </c>
      <c r="F1325" s="51">
        <f t="shared" si="45"/>
        <v>4.3407736999999997</v>
      </c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</row>
    <row r="1326" spans="1:28" x14ac:dyDescent="0.15">
      <c r="A1326" s="46" t="s">
        <v>2703</v>
      </c>
      <c r="B1326" s="52" t="s">
        <v>7361</v>
      </c>
      <c r="C1326" s="53" t="s">
        <v>2704</v>
      </c>
      <c r="D1326" s="54" t="s">
        <v>8768</v>
      </c>
      <c r="E1326" s="50">
        <f t="shared" si="45"/>
        <v>18.109589039999999</v>
      </c>
      <c r="F1326" s="51">
        <f t="shared" si="45"/>
        <v>4.3407722199999998</v>
      </c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</row>
    <row r="1327" spans="1:28" x14ac:dyDescent="0.15">
      <c r="A1327" s="46" t="s">
        <v>2705</v>
      </c>
      <c r="B1327" s="52" t="s">
        <v>7361</v>
      </c>
      <c r="C1327" s="53" t="s">
        <v>2706</v>
      </c>
      <c r="D1327" s="54" t="s">
        <v>8769</v>
      </c>
      <c r="E1327" s="50">
        <f t="shared" si="45"/>
        <v>18.12328767</v>
      </c>
      <c r="F1327" s="51">
        <f t="shared" si="45"/>
        <v>4.34077058</v>
      </c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</row>
    <row r="1328" spans="1:28" x14ac:dyDescent="0.15">
      <c r="A1328" s="46" t="s">
        <v>2707</v>
      </c>
      <c r="B1328" s="52" t="s">
        <v>7361</v>
      </c>
      <c r="C1328" s="53" t="s">
        <v>2708</v>
      </c>
      <c r="D1328" s="54" t="s">
        <v>8770</v>
      </c>
      <c r="E1328" s="50">
        <f t="shared" si="45"/>
        <v>18.1369863</v>
      </c>
      <c r="F1328" s="51">
        <f t="shared" si="45"/>
        <v>4.3407688000000002</v>
      </c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</row>
    <row r="1329" spans="1:28" x14ac:dyDescent="0.15">
      <c r="A1329" s="46" t="s">
        <v>2709</v>
      </c>
      <c r="B1329" s="52" t="s">
        <v>7361</v>
      </c>
      <c r="C1329" s="53" t="s">
        <v>2710</v>
      </c>
      <c r="D1329" s="54" t="s">
        <v>8771</v>
      </c>
      <c r="E1329" s="50">
        <f t="shared" si="45"/>
        <v>18.150684930000001</v>
      </c>
      <c r="F1329" s="51">
        <f t="shared" si="45"/>
        <v>4.3407668800000003</v>
      </c>
      <c r="H1329" s="33"/>
      <c r="I1329" s="33"/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</row>
    <row r="1330" spans="1:28" x14ac:dyDescent="0.15">
      <c r="A1330" s="46" t="s">
        <v>2711</v>
      </c>
      <c r="B1330" s="52" t="s">
        <v>7361</v>
      </c>
      <c r="C1330" s="53" t="s">
        <v>2712</v>
      </c>
      <c r="D1330" s="54" t="s">
        <v>8772</v>
      </c>
      <c r="E1330" s="50">
        <f t="shared" si="45"/>
        <v>18.164383560000001</v>
      </c>
      <c r="F1330" s="51">
        <f t="shared" si="45"/>
        <v>4.3407648300000004</v>
      </c>
      <c r="H1330" s="33"/>
      <c r="I1330" s="33"/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</row>
    <row r="1331" spans="1:28" x14ac:dyDescent="0.15">
      <c r="A1331" s="46" t="s">
        <v>2713</v>
      </c>
      <c r="B1331" s="52" t="s">
        <v>7361</v>
      </c>
      <c r="C1331" s="53" t="s">
        <v>2714</v>
      </c>
      <c r="D1331" s="54" t="s">
        <v>8773</v>
      </c>
      <c r="E1331" s="50">
        <f t="shared" si="45"/>
        <v>18.178082190000001</v>
      </c>
      <c r="F1331" s="51">
        <f t="shared" si="45"/>
        <v>4.3407626600000002</v>
      </c>
      <c r="H1331" s="33"/>
      <c r="I1331" s="33"/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</row>
    <row r="1332" spans="1:28" x14ac:dyDescent="0.15">
      <c r="A1332" s="46" t="s">
        <v>2715</v>
      </c>
      <c r="B1332" s="52" t="s">
        <v>7361</v>
      </c>
      <c r="C1332" s="53" t="s">
        <v>2716</v>
      </c>
      <c r="D1332" s="54" t="s">
        <v>8774</v>
      </c>
      <c r="E1332" s="50">
        <f t="shared" si="45"/>
        <v>18.191780820000002</v>
      </c>
      <c r="F1332" s="51">
        <f t="shared" si="45"/>
        <v>4.3407603899999998</v>
      </c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</row>
    <row r="1333" spans="1:28" x14ac:dyDescent="0.15">
      <c r="A1333" s="46" t="s">
        <v>2717</v>
      </c>
      <c r="B1333" s="52" t="s">
        <v>7361</v>
      </c>
      <c r="C1333" s="53" t="s">
        <v>2718</v>
      </c>
      <c r="D1333" s="54" t="s">
        <v>8775</v>
      </c>
      <c r="E1333" s="50">
        <f t="shared" si="45"/>
        <v>18.205479449999999</v>
      </c>
      <c r="F1333" s="51">
        <f t="shared" si="45"/>
        <v>4.3407580100000001</v>
      </c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</row>
    <row r="1334" spans="1:28" x14ac:dyDescent="0.15">
      <c r="A1334" s="46" t="s">
        <v>2719</v>
      </c>
      <c r="B1334" s="52" t="s">
        <v>7361</v>
      </c>
      <c r="C1334" s="53" t="s">
        <v>2720</v>
      </c>
      <c r="D1334" s="54" t="s">
        <v>8776</v>
      </c>
      <c r="E1334" s="50">
        <f t="shared" si="45"/>
        <v>18.219178079999999</v>
      </c>
      <c r="F1334" s="51">
        <f t="shared" si="45"/>
        <v>4.3407555499999999</v>
      </c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</row>
    <row r="1335" spans="1:28" x14ac:dyDescent="0.15">
      <c r="A1335" s="46" t="s">
        <v>2721</v>
      </c>
      <c r="B1335" s="52" t="s">
        <v>7361</v>
      </c>
      <c r="C1335" s="53" t="s">
        <v>2722</v>
      </c>
      <c r="D1335" s="54" t="s">
        <v>8777</v>
      </c>
      <c r="E1335" s="50">
        <f t="shared" si="45"/>
        <v>18.232876709999999</v>
      </c>
      <c r="F1335" s="51">
        <f t="shared" si="45"/>
        <v>4.3407530000000003</v>
      </c>
      <c r="H1335" s="33"/>
      <c r="I1335" s="33"/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</row>
    <row r="1336" spans="1:28" x14ac:dyDescent="0.15">
      <c r="A1336" s="46" t="s">
        <v>2723</v>
      </c>
      <c r="B1336" s="52" t="s">
        <v>7361</v>
      </c>
      <c r="C1336" s="53" t="s">
        <v>2724</v>
      </c>
      <c r="D1336" s="54" t="s">
        <v>8778</v>
      </c>
      <c r="E1336" s="50">
        <f t="shared" si="45"/>
        <v>18.24657534</v>
      </c>
      <c r="F1336" s="51">
        <f t="shared" si="45"/>
        <v>4.3407503900000002</v>
      </c>
      <c r="H1336" s="33"/>
      <c r="I1336" s="33"/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</row>
    <row r="1337" spans="1:28" x14ac:dyDescent="0.15">
      <c r="A1337" s="46" t="s">
        <v>2725</v>
      </c>
      <c r="B1337" s="52" t="s">
        <v>7361</v>
      </c>
      <c r="C1337" s="53" t="s">
        <v>2726</v>
      </c>
      <c r="D1337" s="54" t="s">
        <v>8779</v>
      </c>
      <c r="E1337" s="50">
        <f t="shared" si="45"/>
        <v>18.26027397</v>
      </c>
      <c r="F1337" s="51">
        <f t="shared" si="45"/>
        <v>4.3407477099999996</v>
      </c>
      <c r="H1337" s="33"/>
      <c r="I1337" s="33"/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</row>
    <row r="1338" spans="1:28" x14ac:dyDescent="0.15">
      <c r="A1338" s="46" t="s">
        <v>2727</v>
      </c>
      <c r="B1338" s="52" t="s">
        <v>7361</v>
      </c>
      <c r="C1338" s="53" t="s">
        <v>2728</v>
      </c>
      <c r="D1338" s="54" t="s">
        <v>8780</v>
      </c>
      <c r="E1338" s="50">
        <f t="shared" si="45"/>
        <v>18.2739726</v>
      </c>
      <c r="F1338" s="51">
        <f t="shared" si="45"/>
        <v>4.3407449900000001</v>
      </c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</row>
    <row r="1339" spans="1:28" x14ac:dyDescent="0.15">
      <c r="A1339" s="46" t="s">
        <v>2729</v>
      </c>
      <c r="B1339" s="52" t="s">
        <v>7361</v>
      </c>
      <c r="C1339" s="53" t="s">
        <v>2730</v>
      </c>
      <c r="D1339" s="54" t="s">
        <v>8781</v>
      </c>
      <c r="E1339" s="50">
        <f t="shared" si="45"/>
        <v>18.287671230000001</v>
      </c>
      <c r="F1339" s="51">
        <f t="shared" si="45"/>
        <v>4.3407422200000001</v>
      </c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</row>
    <row r="1340" spans="1:28" x14ac:dyDescent="0.15">
      <c r="A1340" s="46" t="s">
        <v>2731</v>
      </c>
      <c r="B1340" s="52" t="s">
        <v>7361</v>
      </c>
      <c r="C1340" s="53" t="s">
        <v>2732</v>
      </c>
      <c r="D1340" s="54" t="s">
        <v>8782</v>
      </c>
      <c r="E1340" s="50">
        <f t="shared" si="45"/>
        <v>18.301369860000001</v>
      </c>
      <c r="F1340" s="51">
        <f t="shared" si="45"/>
        <v>4.3407394200000002</v>
      </c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</row>
    <row r="1341" spans="1:28" x14ac:dyDescent="0.15">
      <c r="A1341" s="46" t="s">
        <v>2733</v>
      </c>
      <c r="B1341" s="52" t="s">
        <v>7361</v>
      </c>
      <c r="C1341" s="53" t="s">
        <v>2734</v>
      </c>
      <c r="D1341" s="54" t="s">
        <v>8783</v>
      </c>
      <c r="E1341" s="50">
        <f t="shared" si="45"/>
        <v>18.315068490000002</v>
      </c>
      <c r="F1341" s="51">
        <f t="shared" si="45"/>
        <v>4.3407365999999996</v>
      </c>
      <c r="H1341" s="33"/>
      <c r="I1341" s="33"/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</row>
    <row r="1342" spans="1:28" x14ac:dyDescent="0.15">
      <c r="A1342" s="46" t="s">
        <v>2735</v>
      </c>
      <c r="B1342" s="52" t="s">
        <v>7361</v>
      </c>
      <c r="C1342" s="53" t="s">
        <v>2736</v>
      </c>
      <c r="D1342" s="54" t="s">
        <v>8784</v>
      </c>
      <c r="E1342" s="50">
        <f t="shared" si="45"/>
        <v>18.328767119999998</v>
      </c>
      <c r="F1342" s="51">
        <f t="shared" si="45"/>
        <v>4.34073376</v>
      </c>
      <c r="H1342" s="33"/>
      <c r="I1342" s="33"/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</row>
    <row r="1343" spans="1:28" x14ac:dyDescent="0.15">
      <c r="A1343" s="46" t="s">
        <v>2737</v>
      </c>
      <c r="B1343" s="52" t="s">
        <v>7361</v>
      </c>
      <c r="C1343" s="53" t="s">
        <v>2738</v>
      </c>
      <c r="D1343" s="54" t="s">
        <v>8785</v>
      </c>
      <c r="E1343" s="50">
        <f t="shared" si="45"/>
        <v>18.342465749999999</v>
      </c>
      <c r="F1343" s="51">
        <f t="shared" si="45"/>
        <v>4.3407309200000004</v>
      </c>
      <c r="H1343" s="33"/>
      <c r="I1343" s="33"/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</row>
    <row r="1344" spans="1:28" x14ac:dyDescent="0.15">
      <c r="A1344" s="46" t="s">
        <v>2739</v>
      </c>
      <c r="B1344" s="52" t="s">
        <v>7361</v>
      </c>
      <c r="C1344" s="53" t="s">
        <v>2740</v>
      </c>
      <c r="D1344" s="54" t="s">
        <v>8786</v>
      </c>
      <c r="E1344" s="50">
        <f t="shared" si="45"/>
        <v>18.356164379999999</v>
      </c>
      <c r="F1344" s="51">
        <f t="shared" si="45"/>
        <v>4.3407280899999998</v>
      </c>
      <c r="H1344" s="33"/>
      <c r="I1344" s="33"/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</row>
    <row r="1345" spans="1:28" x14ac:dyDescent="0.15">
      <c r="A1345" s="46" t="s">
        <v>2741</v>
      </c>
      <c r="B1345" s="52" t="s">
        <v>7361</v>
      </c>
      <c r="C1345" s="53" t="s">
        <v>2742</v>
      </c>
      <c r="D1345" s="54" t="s">
        <v>8787</v>
      </c>
      <c r="E1345" s="50">
        <f t="shared" si="45"/>
        <v>18.36986301</v>
      </c>
      <c r="F1345" s="51">
        <f t="shared" si="45"/>
        <v>4.3407252700000001</v>
      </c>
      <c r="H1345" s="33"/>
      <c r="I1345" s="33"/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</row>
    <row r="1346" spans="1:28" x14ac:dyDescent="0.15">
      <c r="A1346" s="46" t="s">
        <v>2743</v>
      </c>
      <c r="B1346" s="52" t="s">
        <v>7361</v>
      </c>
      <c r="C1346" s="53" t="s">
        <v>2744</v>
      </c>
      <c r="D1346" s="54" t="s">
        <v>8788</v>
      </c>
      <c r="E1346" s="50">
        <f t="shared" si="45"/>
        <v>18.38356164</v>
      </c>
      <c r="F1346" s="51">
        <f t="shared" si="45"/>
        <v>4.3407224800000002</v>
      </c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</row>
    <row r="1347" spans="1:28" x14ac:dyDescent="0.15">
      <c r="A1347" s="46" t="s">
        <v>2745</v>
      </c>
      <c r="B1347" s="52" t="s">
        <v>7361</v>
      </c>
      <c r="C1347" s="53" t="s">
        <v>2746</v>
      </c>
      <c r="D1347" s="54" t="s">
        <v>8789</v>
      </c>
      <c r="E1347" s="50">
        <f t="shared" si="45"/>
        <v>18.39726027</v>
      </c>
      <c r="F1347" s="51">
        <f t="shared" si="45"/>
        <v>4.34071973</v>
      </c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</row>
    <row r="1348" spans="1:28" x14ac:dyDescent="0.15">
      <c r="A1348" s="46" t="s">
        <v>2747</v>
      </c>
      <c r="B1348" s="52" t="s">
        <v>7361</v>
      </c>
      <c r="C1348" s="53" t="s">
        <v>2748</v>
      </c>
      <c r="D1348" s="54" t="s">
        <v>8790</v>
      </c>
      <c r="E1348" s="50">
        <f t="shared" si="45"/>
        <v>18.410958900000001</v>
      </c>
      <c r="F1348" s="51">
        <f t="shared" si="45"/>
        <v>4.3407170199999996</v>
      </c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</row>
    <row r="1349" spans="1:28" x14ac:dyDescent="0.15">
      <c r="A1349" s="46" t="s">
        <v>2749</v>
      </c>
      <c r="B1349" s="52" t="s">
        <v>7361</v>
      </c>
      <c r="C1349" s="53" t="s">
        <v>2750</v>
      </c>
      <c r="D1349" s="54" t="s">
        <v>8791</v>
      </c>
      <c r="E1349" s="50">
        <f t="shared" si="45"/>
        <v>18.424657530000001</v>
      </c>
      <c r="F1349" s="51">
        <f t="shared" si="45"/>
        <v>4.3407143599999998</v>
      </c>
      <c r="H1349" s="33"/>
      <c r="I1349" s="33"/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</row>
    <row r="1350" spans="1:28" x14ac:dyDescent="0.15">
      <c r="A1350" s="46" t="s">
        <v>2751</v>
      </c>
      <c r="B1350" s="52" t="s">
        <v>7361</v>
      </c>
      <c r="C1350" s="53" t="s">
        <v>2752</v>
      </c>
      <c r="D1350" s="54" t="s">
        <v>8792</v>
      </c>
      <c r="E1350" s="50">
        <f t="shared" si="45"/>
        <v>18.438356160000001</v>
      </c>
      <c r="F1350" s="51">
        <f t="shared" si="45"/>
        <v>4.3407117700000004</v>
      </c>
      <c r="H1350" s="33"/>
      <c r="I1350" s="33"/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</row>
    <row r="1351" spans="1:28" x14ac:dyDescent="0.15">
      <c r="A1351" s="46" t="s">
        <v>2753</v>
      </c>
      <c r="B1351" s="52" t="s">
        <v>7361</v>
      </c>
      <c r="C1351" s="53" t="s">
        <v>2754</v>
      </c>
      <c r="D1351" s="54" t="s">
        <v>8793</v>
      </c>
      <c r="E1351" s="50">
        <f t="shared" si="45"/>
        <v>18.452054789999998</v>
      </c>
      <c r="F1351" s="51">
        <f t="shared" si="45"/>
        <v>4.3407092499999997</v>
      </c>
      <c r="H1351" s="33"/>
      <c r="I1351" s="33"/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</row>
    <row r="1352" spans="1:28" x14ac:dyDescent="0.15">
      <c r="A1352" s="46" t="s">
        <v>2755</v>
      </c>
      <c r="B1352" s="52" t="s">
        <v>7361</v>
      </c>
      <c r="C1352" s="53" t="s">
        <v>2756</v>
      </c>
      <c r="D1352" s="54" t="s">
        <v>8794</v>
      </c>
      <c r="E1352" s="50">
        <f t="shared" si="45"/>
        <v>18.465753419999999</v>
      </c>
      <c r="F1352" s="51">
        <f t="shared" si="45"/>
        <v>4.3407068100000004</v>
      </c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</row>
    <row r="1353" spans="1:28" x14ac:dyDescent="0.15">
      <c r="A1353" s="46" t="s">
        <v>2757</v>
      </c>
      <c r="B1353" s="52" t="s">
        <v>7361</v>
      </c>
      <c r="C1353" s="53" t="s">
        <v>2758</v>
      </c>
      <c r="D1353" s="54" t="s">
        <v>8795</v>
      </c>
      <c r="E1353" s="50">
        <f t="shared" si="45"/>
        <v>18.479452049999999</v>
      </c>
      <c r="F1353" s="51">
        <f t="shared" si="45"/>
        <v>4.3407044700000004</v>
      </c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</row>
    <row r="1354" spans="1:28" x14ac:dyDescent="0.15">
      <c r="A1354" s="46" t="s">
        <v>2759</v>
      </c>
      <c r="B1354" s="52" t="s">
        <v>7361</v>
      </c>
      <c r="C1354" s="53" t="s">
        <v>2760</v>
      </c>
      <c r="D1354" s="54" t="s">
        <v>8796</v>
      </c>
      <c r="E1354" s="50">
        <f t="shared" ref="E1354:F1384" si="46">VALUE(C1354)</f>
        <v>18.493150679999999</v>
      </c>
      <c r="F1354" s="51">
        <f t="shared" si="46"/>
        <v>4.3407022299999998</v>
      </c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</row>
    <row r="1355" spans="1:28" x14ac:dyDescent="0.15">
      <c r="A1355" s="46" t="s">
        <v>2761</v>
      </c>
      <c r="B1355" s="52" t="s">
        <v>7361</v>
      </c>
      <c r="C1355" s="53" t="s">
        <v>2762</v>
      </c>
      <c r="D1355" s="54" t="s">
        <v>8797</v>
      </c>
      <c r="E1355" s="50">
        <f t="shared" si="46"/>
        <v>18.506849320000001</v>
      </c>
      <c r="F1355" s="51">
        <f t="shared" si="46"/>
        <v>4.3406999199999996</v>
      </c>
      <c r="H1355" s="33"/>
      <c r="I1355" s="33"/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</row>
    <row r="1356" spans="1:28" x14ac:dyDescent="0.15">
      <c r="A1356" s="46" t="s">
        <v>2763</v>
      </c>
      <c r="B1356" s="52" t="s">
        <v>7361</v>
      </c>
      <c r="C1356" s="53" t="s">
        <v>2764</v>
      </c>
      <c r="D1356" s="54" t="s">
        <v>8798</v>
      </c>
      <c r="E1356" s="50">
        <f t="shared" si="46"/>
        <v>18.520547950000001</v>
      </c>
      <c r="F1356" s="51">
        <f t="shared" si="46"/>
        <v>4.3406964500000003</v>
      </c>
      <c r="H1356" s="33"/>
      <c r="I1356" s="33"/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</row>
    <row r="1357" spans="1:28" x14ac:dyDescent="0.15">
      <c r="A1357" s="46" t="s">
        <v>2765</v>
      </c>
      <c r="B1357" s="52" t="s">
        <v>7361</v>
      </c>
      <c r="C1357" s="53" t="s">
        <v>2766</v>
      </c>
      <c r="D1357" s="54" t="s">
        <v>8799</v>
      </c>
      <c r="E1357" s="50">
        <f t="shared" si="46"/>
        <v>18.534246580000001</v>
      </c>
      <c r="F1357" s="51">
        <f t="shared" si="46"/>
        <v>4.3406916899999999</v>
      </c>
      <c r="H1357" s="33"/>
      <c r="I1357" s="33"/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</row>
    <row r="1358" spans="1:28" x14ac:dyDescent="0.15">
      <c r="A1358" s="46" t="s">
        <v>2767</v>
      </c>
      <c r="B1358" s="52" t="s">
        <v>7361</v>
      </c>
      <c r="C1358" s="53" t="s">
        <v>2768</v>
      </c>
      <c r="D1358" s="54" t="s">
        <v>8800</v>
      </c>
      <c r="E1358" s="50">
        <f t="shared" si="46"/>
        <v>18.547945210000002</v>
      </c>
      <c r="F1358" s="51">
        <f t="shared" si="46"/>
        <v>4.3406857099999998</v>
      </c>
      <c r="H1358" s="33"/>
      <c r="I1358" s="33"/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</row>
    <row r="1359" spans="1:28" x14ac:dyDescent="0.15">
      <c r="A1359" s="46" t="s">
        <v>2769</v>
      </c>
      <c r="B1359" s="52" t="s">
        <v>7361</v>
      </c>
      <c r="C1359" s="53" t="s">
        <v>2770</v>
      </c>
      <c r="D1359" s="54" t="s">
        <v>8801</v>
      </c>
      <c r="E1359" s="50">
        <f t="shared" si="46"/>
        <v>18.561643839999999</v>
      </c>
      <c r="F1359" s="51">
        <f t="shared" si="46"/>
        <v>4.3406785599999997</v>
      </c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</row>
    <row r="1360" spans="1:28" x14ac:dyDescent="0.15">
      <c r="A1360" s="46" t="s">
        <v>2771</v>
      </c>
      <c r="B1360" s="52" t="s">
        <v>7361</v>
      </c>
      <c r="C1360" s="53" t="s">
        <v>2772</v>
      </c>
      <c r="D1360" s="54" t="s">
        <v>8802</v>
      </c>
      <c r="E1360" s="50">
        <f t="shared" si="46"/>
        <v>18.575342469999999</v>
      </c>
      <c r="F1360" s="51">
        <f t="shared" si="46"/>
        <v>4.3406702900000003</v>
      </c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</row>
    <row r="1361" spans="1:28" x14ac:dyDescent="0.15">
      <c r="A1361" s="46" t="s">
        <v>2773</v>
      </c>
      <c r="B1361" s="52" t="s">
        <v>7361</v>
      </c>
      <c r="C1361" s="53" t="s">
        <v>2774</v>
      </c>
      <c r="D1361" s="54" t="s">
        <v>8803</v>
      </c>
      <c r="E1361" s="50">
        <f t="shared" si="46"/>
        <v>18.589041099999999</v>
      </c>
      <c r="F1361" s="51">
        <f t="shared" si="46"/>
        <v>4.3406609600000001</v>
      </c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</row>
    <row r="1362" spans="1:28" x14ac:dyDescent="0.15">
      <c r="A1362" s="46" t="s">
        <v>2775</v>
      </c>
      <c r="B1362" s="52" t="s">
        <v>7361</v>
      </c>
      <c r="C1362" s="53" t="s">
        <v>2776</v>
      </c>
      <c r="D1362" s="54" t="s">
        <v>8804</v>
      </c>
      <c r="E1362" s="50">
        <f t="shared" si="46"/>
        <v>18.60273973</v>
      </c>
      <c r="F1362" s="51">
        <f t="shared" si="46"/>
        <v>4.3406506199999999</v>
      </c>
      <c r="H1362" s="33"/>
      <c r="I1362" s="33"/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</row>
    <row r="1363" spans="1:28" x14ac:dyDescent="0.15">
      <c r="A1363" s="46" t="s">
        <v>2777</v>
      </c>
      <c r="B1363" s="52" t="s">
        <v>7361</v>
      </c>
      <c r="C1363" s="53" t="s">
        <v>2778</v>
      </c>
      <c r="D1363" s="54" t="s">
        <v>8805</v>
      </c>
      <c r="E1363" s="50">
        <f t="shared" si="46"/>
        <v>18.61643836</v>
      </c>
      <c r="F1363" s="51">
        <f t="shared" si="46"/>
        <v>4.3406393400000001</v>
      </c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</row>
    <row r="1364" spans="1:28" x14ac:dyDescent="0.15">
      <c r="A1364" s="46" t="s">
        <v>2779</v>
      </c>
      <c r="B1364" s="52" t="s">
        <v>7361</v>
      </c>
      <c r="C1364" s="53" t="s">
        <v>2780</v>
      </c>
      <c r="D1364" s="54" t="s">
        <v>8806</v>
      </c>
      <c r="E1364" s="50">
        <f t="shared" si="46"/>
        <v>18.63013699</v>
      </c>
      <c r="F1364" s="51">
        <f t="shared" si="46"/>
        <v>4.3406271700000003</v>
      </c>
      <c r="H1364" s="33"/>
      <c r="I1364" s="33"/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</row>
    <row r="1365" spans="1:28" x14ac:dyDescent="0.15">
      <c r="A1365" s="46" t="s">
        <v>2781</v>
      </c>
      <c r="B1365" s="52" t="s">
        <v>7361</v>
      </c>
      <c r="C1365" s="53" t="s">
        <v>2782</v>
      </c>
      <c r="D1365" s="54" t="s">
        <v>8807</v>
      </c>
      <c r="E1365" s="50">
        <f t="shared" si="46"/>
        <v>18.643835620000001</v>
      </c>
      <c r="F1365" s="51">
        <f t="shared" si="46"/>
        <v>4.3406141600000003</v>
      </c>
      <c r="H1365" s="33"/>
      <c r="I1365" s="33"/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</row>
    <row r="1366" spans="1:28" x14ac:dyDescent="0.15">
      <c r="A1366" s="46" t="s">
        <v>2783</v>
      </c>
      <c r="B1366" s="52" t="s">
        <v>7361</v>
      </c>
      <c r="C1366" s="53" t="s">
        <v>2784</v>
      </c>
      <c r="D1366" s="54" t="s">
        <v>8808</v>
      </c>
      <c r="E1366" s="50">
        <f t="shared" si="46"/>
        <v>18.657534250000001</v>
      </c>
      <c r="F1366" s="51">
        <f t="shared" si="46"/>
        <v>4.3406003799999997</v>
      </c>
      <c r="H1366" s="33"/>
      <c r="I1366" s="33"/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</row>
    <row r="1367" spans="1:28" x14ac:dyDescent="0.15">
      <c r="A1367" s="46" t="s">
        <v>2785</v>
      </c>
      <c r="B1367" s="52" t="s">
        <v>7361</v>
      </c>
      <c r="C1367" s="53" t="s">
        <v>2786</v>
      </c>
      <c r="D1367" s="54" t="s">
        <v>8809</v>
      </c>
      <c r="E1367" s="50">
        <f t="shared" si="46"/>
        <v>18.671232880000002</v>
      </c>
      <c r="F1367" s="51">
        <f t="shared" si="46"/>
        <v>4.34058587</v>
      </c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</row>
    <row r="1368" spans="1:28" x14ac:dyDescent="0.15">
      <c r="A1368" s="46" t="s">
        <v>2787</v>
      </c>
      <c r="B1368" s="52" t="s">
        <v>7361</v>
      </c>
      <c r="C1368" s="53" t="s">
        <v>2788</v>
      </c>
      <c r="D1368" s="54" t="s">
        <v>8810</v>
      </c>
      <c r="E1368" s="50">
        <f t="shared" si="46"/>
        <v>18.684931509999998</v>
      </c>
      <c r="F1368" s="51">
        <f t="shared" si="46"/>
        <v>4.3405706999999998</v>
      </c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</row>
    <row r="1369" spans="1:28" x14ac:dyDescent="0.15">
      <c r="A1369" s="46" t="s">
        <v>2789</v>
      </c>
      <c r="B1369" s="52" t="s">
        <v>7361</v>
      </c>
      <c r="C1369" s="53" t="s">
        <v>2790</v>
      </c>
      <c r="D1369" s="54" t="s">
        <v>8811</v>
      </c>
      <c r="E1369" s="50">
        <f t="shared" si="46"/>
        <v>18.698630139999999</v>
      </c>
      <c r="F1369" s="51">
        <f t="shared" si="46"/>
        <v>4.3405549099999998</v>
      </c>
      <c r="H1369" s="33"/>
      <c r="I1369" s="33"/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</row>
    <row r="1370" spans="1:28" x14ac:dyDescent="0.15">
      <c r="A1370" s="46" t="s">
        <v>2791</v>
      </c>
      <c r="B1370" s="52" t="s">
        <v>7361</v>
      </c>
      <c r="C1370" s="53" t="s">
        <v>2792</v>
      </c>
      <c r="D1370" s="54" t="s">
        <v>8812</v>
      </c>
      <c r="E1370" s="50">
        <f t="shared" si="46"/>
        <v>18.712328769999999</v>
      </c>
      <c r="F1370" s="51">
        <f t="shared" si="46"/>
        <v>4.3405385799999996</v>
      </c>
      <c r="H1370" s="33"/>
      <c r="I1370" s="33"/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</row>
    <row r="1371" spans="1:28" x14ac:dyDescent="0.15">
      <c r="A1371" s="46" t="s">
        <v>2793</v>
      </c>
      <c r="B1371" s="52" t="s">
        <v>7361</v>
      </c>
      <c r="C1371" s="53" t="s">
        <v>2794</v>
      </c>
      <c r="D1371" s="54" t="s">
        <v>8813</v>
      </c>
      <c r="E1371" s="50">
        <f t="shared" si="46"/>
        <v>18.7260274</v>
      </c>
      <c r="F1371" s="51">
        <f t="shared" si="46"/>
        <v>4.3405217399999998</v>
      </c>
      <c r="H1371" s="33"/>
      <c r="I1371" s="33"/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</row>
    <row r="1372" spans="1:28" x14ac:dyDescent="0.15">
      <c r="A1372" s="46" t="s">
        <v>2795</v>
      </c>
      <c r="B1372" s="52" t="s">
        <v>7361</v>
      </c>
      <c r="C1372" s="53" t="s">
        <v>2796</v>
      </c>
      <c r="D1372" s="54" t="s">
        <v>8814</v>
      </c>
      <c r="E1372" s="50">
        <f t="shared" si="46"/>
        <v>18.73972603</v>
      </c>
      <c r="F1372" s="51">
        <f t="shared" si="46"/>
        <v>4.3405044699999999</v>
      </c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</row>
    <row r="1373" spans="1:28" x14ac:dyDescent="0.15">
      <c r="A1373" s="46" t="s">
        <v>2797</v>
      </c>
      <c r="B1373" s="52" t="s">
        <v>7361</v>
      </c>
      <c r="C1373" s="53" t="s">
        <v>2798</v>
      </c>
      <c r="D1373" s="54" t="s">
        <v>8815</v>
      </c>
      <c r="E1373" s="50">
        <f t="shared" si="46"/>
        <v>18.75342466</v>
      </c>
      <c r="F1373" s="51">
        <f t="shared" si="46"/>
        <v>4.3404868099999998</v>
      </c>
      <c r="H1373" s="33"/>
      <c r="I1373" s="33"/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</row>
    <row r="1374" spans="1:28" x14ac:dyDescent="0.15">
      <c r="A1374" s="46" t="s">
        <v>2799</v>
      </c>
      <c r="B1374" s="52" t="s">
        <v>7361</v>
      </c>
      <c r="C1374" s="53" t="s">
        <v>2800</v>
      </c>
      <c r="D1374" s="54" t="s">
        <v>8816</v>
      </c>
      <c r="E1374" s="50">
        <f t="shared" si="46"/>
        <v>18.767123290000001</v>
      </c>
      <c r="F1374" s="51">
        <f t="shared" si="46"/>
        <v>4.3404688199999999</v>
      </c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</row>
    <row r="1375" spans="1:28" x14ac:dyDescent="0.15">
      <c r="A1375" s="46" t="s">
        <v>2801</v>
      </c>
      <c r="B1375" s="52" t="s">
        <v>7361</v>
      </c>
      <c r="C1375" s="53" t="s">
        <v>2802</v>
      </c>
      <c r="D1375" s="54" t="s">
        <v>8817</v>
      </c>
      <c r="E1375" s="50">
        <f t="shared" si="46"/>
        <v>18.780821920000001</v>
      </c>
      <c r="F1375" s="51">
        <f t="shared" si="46"/>
        <v>4.3404505699999998</v>
      </c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</row>
    <row r="1376" spans="1:28" x14ac:dyDescent="0.15">
      <c r="A1376" s="46" t="s">
        <v>2803</v>
      </c>
      <c r="B1376" s="52" t="s">
        <v>7361</v>
      </c>
      <c r="C1376" s="53" t="s">
        <v>2804</v>
      </c>
      <c r="D1376" s="54" t="s">
        <v>8818</v>
      </c>
      <c r="E1376" s="50">
        <f t="shared" si="46"/>
        <v>18.794520550000001</v>
      </c>
      <c r="F1376" s="51">
        <f t="shared" si="46"/>
        <v>4.3404320900000002</v>
      </c>
      <c r="H1376" s="33"/>
      <c r="I1376" s="33"/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</row>
    <row r="1377" spans="1:28" x14ac:dyDescent="0.15">
      <c r="A1377" s="46" t="s">
        <v>2805</v>
      </c>
      <c r="B1377" s="52" t="s">
        <v>7361</v>
      </c>
      <c r="C1377" s="53" t="s">
        <v>2806</v>
      </c>
      <c r="D1377" s="54" t="s">
        <v>8819</v>
      </c>
      <c r="E1377" s="50">
        <f t="shared" si="46"/>
        <v>18.808219179999998</v>
      </c>
      <c r="F1377" s="51">
        <f t="shared" si="46"/>
        <v>4.3404134599999997</v>
      </c>
      <c r="H1377" s="33"/>
      <c r="I1377" s="33"/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</row>
    <row r="1378" spans="1:28" x14ac:dyDescent="0.15">
      <c r="A1378" s="46" t="s">
        <v>2807</v>
      </c>
      <c r="B1378" s="52" t="s">
        <v>7361</v>
      </c>
      <c r="C1378" s="53" t="s">
        <v>2808</v>
      </c>
      <c r="D1378" s="54" t="s">
        <v>8820</v>
      </c>
      <c r="E1378" s="50">
        <f t="shared" si="46"/>
        <v>18.821917809999999</v>
      </c>
      <c r="F1378" s="51">
        <f t="shared" si="46"/>
        <v>4.3403947199999999</v>
      </c>
      <c r="H1378" s="33"/>
      <c r="I1378" s="33"/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</row>
    <row r="1379" spans="1:28" x14ac:dyDescent="0.15">
      <c r="A1379" s="46" t="s">
        <v>2809</v>
      </c>
      <c r="B1379" s="52" t="s">
        <v>7361</v>
      </c>
      <c r="C1379" s="53" t="s">
        <v>2810</v>
      </c>
      <c r="D1379" s="54" t="s">
        <v>8821</v>
      </c>
      <c r="E1379" s="50">
        <f t="shared" si="46"/>
        <v>18.835616439999999</v>
      </c>
      <c r="F1379" s="51">
        <f t="shared" si="46"/>
        <v>4.3403759300000004</v>
      </c>
      <c r="H1379" s="33"/>
      <c r="I1379" s="33"/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</row>
    <row r="1380" spans="1:28" x14ac:dyDescent="0.15">
      <c r="A1380" s="46" t="s">
        <v>2811</v>
      </c>
      <c r="B1380" s="52" t="s">
        <v>7361</v>
      </c>
      <c r="C1380" s="53" t="s">
        <v>2812</v>
      </c>
      <c r="D1380" s="54" t="s">
        <v>8822</v>
      </c>
      <c r="E1380" s="50">
        <f t="shared" si="46"/>
        <v>18.849315069999999</v>
      </c>
      <c r="F1380" s="51">
        <f t="shared" si="46"/>
        <v>4.3403571599999999</v>
      </c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</row>
    <row r="1381" spans="1:28" x14ac:dyDescent="0.15">
      <c r="A1381" s="46" t="s">
        <v>2813</v>
      </c>
      <c r="B1381" s="52" t="s">
        <v>7361</v>
      </c>
      <c r="C1381" s="53" t="s">
        <v>2814</v>
      </c>
      <c r="D1381" s="54" t="s">
        <v>8823</v>
      </c>
      <c r="E1381" s="50">
        <f t="shared" si="46"/>
        <v>18.8630137</v>
      </c>
      <c r="F1381" s="51">
        <f t="shared" si="46"/>
        <v>4.34033845</v>
      </c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</row>
    <row r="1382" spans="1:28" x14ac:dyDescent="0.15">
      <c r="A1382" s="46" t="s">
        <v>2815</v>
      </c>
      <c r="B1382" s="52" t="s">
        <v>7361</v>
      </c>
      <c r="C1382" s="53" t="s">
        <v>2816</v>
      </c>
      <c r="D1382" s="54" t="s">
        <v>8824</v>
      </c>
      <c r="E1382" s="50">
        <f t="shared" si="46"/>
        <v>18.87671233</v>
      </c>
      <c r="F1382" s="51">
        <f t="shared" si="46"/>
        <v>4.3403198600000001</v>
      </c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</row>
    <row r="1383" spans="1:28" x14ac:dyDescent="0.15">
      <c r="A1383" s="46" t="s">
        <v>2817</v>
      </c>
      <c r="B1383" s="52" t="s">
        <v>7361</v>
      </c>
      <c r="C1383" s="53" t="s">
        <v>2818</v>
      </c>
      <c r="D1383" s="54" t="s">
        <v>8825</v>
      </c>
      <c r="E1383" s="50">
        <f t="shared" si="46"/>
        <v>18.890410960000001</v>
      </c>
      <c r="F1383" s="51">
        <f t="shared" si="46"/>
        <v>4.3403014500000001</v>
      </c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</row>
    <row r="1384" spans="1:28" x14ac:dyDescent="0.15">
      <c r="A1384" s="46" t="s">
        <v>2819</v>
      </c>
      <c r="B1384" s="52" t="s">
        <v>7361</v>
      </c>
      <c r="C1384" s="53" t="s">
        <v>2820</v>
      </c>
      <c r="D1384" s="54" t="s">
        <v>8826</v>
      </c>
      <c r="E1384" s="50">
        <f t="shared" si="46"/>
        <v>18.904109590000001</v>
      </c>
      <c r="F1384" s="51">
        <f t="shared" si="46"/>
        <v>4.3402832800000004</v>
      </c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</row>
    <row r="1385" spans="1:28" x14ac:dyDescent="0.15">
      <c r="A1385" s="46" t="s">
        <v>2821</v>
      </c>
      <c r="B1385" s="52" t="s">
        <v>7361</v>
      </c>
      <c r="C1385" s="53" t="s">
        <v>2822</v>
      </c>
      <c r="D1385" s="54" t="s">
        <v>8827</v>
      </c>
      <c r="E1385" s="50">
        <f t="shared" ref="E1385:F1414" si="47">VALUE(C1385)</f>
        <v>18.917808220000001</v>
      </c>
      <c r="F1385" s="51">
        <f t="shared" si="47"/>
        <v>4.3402653999999998</v>
      </c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</row>
    <row r="1386" spans="1:28" x14ac:dyDescent="0.15">
      <c r="A1386" s="46" t="s">
        <v>2823</v>
      </c>
      <c r="B1386" s="52" t="s">
        <v>7361</v>
      </c>
      <c r="C1386" s="53" t="s">
        <v>2824</v>
      </c>
      <c r="D1386" s="54" t="s">
        <v>8828</v>
      </c>
      <c r="E1386" s="50">
        <f t="shared" si="47"/>
        <v>18.931506850000002</v>
      </c>
      <c r="F1386" s="51">
        <f t="shared" si="47"/>
        <v>4.3402478599999998</v>
      </c>
      <c r="H1386" s="33"/>
      <c r="I1386" s="33"/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</row>
    <row r="1387" spans="1:28" x14ac:dyDescent="0.15">
      <c r="A1387" s="46" t="s">
        <v>2825</v>
      </c>
      <c r="B1387" s="52" t="s">
        <v>7361</v>
      </c>
      <c r="C1387" s="53" t="s">
        <v>2826</v>
      </c>
      <c r="D1387" s="54" t="s">
        <v>8829</v>
      </c>
      <c r="E1387" s="50">
        <f t="shared" si="47"/>
        <v>18.945205479999998</v>
      </c>
      <c r="F1387" s="51">
        <f t="shared" si="47"/>
        <v>4.34023073</v>
      </c>
      <c r="H1387" s="33"/>
      <c r="I1387" s="33"/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</row>
    <row r="1388" spans="1:28" x14ac:dyDescent="0.15">
      <c r="A1388" s="46" t="s">
        <v>2827</v>
      </c>
      <c r="B1388" s="52" t="s">
        <v>7361</v>
      </c>
      <c r="C1388" s="53" t="s">
        <v>2828</v>
      </c>
      <c r="D1388" s="54" t="s">
        <v>8830</v>
      </c>
      <c r="E1388" s="50">
        <f t="shared" si="47"/>
        <v>18.958904109999999</v>
      </c>
      <c r="F1388" s="51">
        <f t="shared" si="47"/>
        <v>4.3402140500000002</v>
      </c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</row>
    <row r="1389" spans="1:28" x14ac:dyDescent="0.15">
      <c r="A1389" s="46" t="s">
        <v>2829</v>
      </c>
      <c r="B1389" s="52" t="s">
        <v>7361</v>
      </c>
      <c r="C1389" s="53" t="s">
        <v>2830</v>
      </c>
      <c r="D1389" s="54" t="s">
        <v>8831</v>
      </c>
      <c r="E1389" s="50">
        <f t="shared" si="47"/>
        <v>18.972602739999999</v>
      </c>
      <c r="F1389" s="51">
        <f t="shared" si="47"/>
        <v>4.3401978899999998</v>
      </c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</row>
    <row r="1390" spans="1:28" x14ac:dyDescent="0.15">
      <c r="A1390" s="46" t="s">
        <v>2831</v>
      </c>
      <c r="B1390" s="52" t="s">
        <v>7361</v>
      </c>
      <c r="C1390" s="53" t="s">
        <v>2832</v>
      </c>
      <c r="D1390" s="54" t="s">
        <v>8832</v>
      </c>
      <c r="E1390" s="50">
        <f t="shared" si="47"/>
        <v>18.98630137</v>
      </c>
      <c r="F1390" s="51">
        <f t="shared" si="47"/>
        <v>4.3401823100000003</v>
      </c>
      <c r="H1390" s="33"/>
      <c r="I1390" s="33"/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</row>
    <row r="1391" spans="1:28" x14ac:dyDescent="0.15">
      <c r="A1391" s="46" t="s">
        <v>2833</v>
      </c>
      <c r="B1391" s="52" t="s">
        <v>7361</v>
      </c>
      <c r="C1391" s="53" t="s">
        <v>2834</v>
      </c>
      <c r="D1391" s="54" t="s">
        <v>8833</v>
      </c>
      <c r="E1391" s="50">
        <f t="shared" si="47"/>
        <v>19</v>
      </c>
      <c r="F1391" s="51">
        <f t="shared" si="47"/>
        <v>4.3401673499999998</v>
      </c>
      <c r="H1391" s="33"/>
      <c r="I1391" s="33"/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</row>
    <row r="1392" spans="1:28" x14ac:dyDescent="0.15">
      <c r="A1392" s="46" t="s">
        <v>2835</v>
      </c>
      <c r="B1392" s="52" t="s">
        <v>7361</v>
      </c>
      <c r="C1392" s="53" t="s">
        <v>2836</v>
      </c>
      <c r="D1392" s="54" t="s">
        <v>8834</v>
      </c>
      <c r="E1392" s="50">
        <f t="shared" si="47"/>
        <v>19.01369863</v>
      </c>
      <c r="F1392" s="51">
        <f t="shared" si="47"/>
        <v>4.3401524199999999</v>
      </c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</row>
    <row r="1393" spans="1:28" x14ac:dyDescent="0.15">
      <c r="A1393" s="46" t="s">
        <v>2837</v>
      </c>
      <c r="B1393" s="52" t="s">
        <v>7361</v>
      </c>
      <c r="C1393" s="53" t="s">
        <v>2838</v>
      </c>
      <c r="D1393" s="54" t="s">
        <v>8835</v>
      </c>
      <c r="E1393" s="50">
        <f t="shared" si="47"/>
        <v>19.027397260000001</v>
      </c>
      <c r="F1393" s="51">
        <f t="shared" si="47"/>
        <v>4.3401369000000001</v>
      </c>
      <c r="H1393" s="33"/>
      <c r="I1393" s="33"/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</row>
    <row r="1394" spans="1:28" x14ac:dyDescent="0.15">
      <c r="A1394" s="46" t="s">
        <v>2839</v>
      </c>
      <c r="B1394" s="52" t="s">
        <v>7361</v>
      </c>
      <c r="C1394" s="53" t="s">
        <v>2840</v>
      </c>
      <c r="D1394" s="54" t="s">
        <v>8836</v>
      </c>
      <c r="E1394" s="50">
        <f t="shared" si="47"/>
        <v>19.041095890000001</v>
      </c>
      <c r="F1394" s="51">
        <f t="shared" si="47"/>
        <v>4.3401208699999998</v>
      </c>
      <c r="H1394" s="33"/>
      <c r="I1394" s="33"/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</row>
    <row r="1395" spans="1:28" x14ac:dyDescent="0.15">
      <c r="A1395" s="46" t="s">
        <v>2841</v>
      </c>
      <c r="B1395" s="52" t="s">
        <v>7361</v>
      </c>
      <c r="C1395" s="53" t="s">
        <v>2842</v>
      </c>
      <c r="D1395" s="54" t="s">
        <v>8837</v>
      </c>
      <c r="E1395" s="50">
        <f t="shared" si="47"/>
        <v>19.054794520000002</v>
      </c>
      <c r="F1395" s="51">
        <f t="shared" si="47"/>
        <v>4.3401043699999997</v>
      </c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</row>
    <row r="1396" spans="1:28" x14ac:dyDescent="0.15">
      <c r="A1396" s="46" t="s">
        <v>2843</v>
      </c>
      <c r="B1396" s="52" t="s">
        <v>7361</v>
      </c>
      <c r="C1396" s="53" t="s">
        <v>2844</v>
      </c>
      <c r="D1396" s="54" t="s">
        <v>8838</v>
      </c>
      <c r="E1396" s="50">
        <f t="shared" si="47"/>
        <v>19.068493149999998</v>
      </c>
      <c r="F1396" s="51">
        <f t="shared" si="47"/>
        <v>4.3400874500000004</v>
      </c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</row>
    <row r="1397" spans="1:28" x14ac:dyDescent="0.15">
      <c r="A1397" s="46" t="s">
        <v>2845</v>
      </c>
      <c r="B1397" s="52" t="s">
        <v>7361</v>
      </c>
      <c r="C1397" s="53" t="s">
        <v>2846</v>
      </c>
      <c r="D1397" s="54" t="s">
        <v>8839</v>
      </c>
      <c r="E1397" s="50">
        <f t="shared" si="47"/>
        <v>19.082191779999999</v>
      </c>
      <c r="F1397" s="51">
        <f t="shared" si="47"/>
        <v>4.3400701899999996</v>
      </c>
      <c r="H1397" s="33"/>
      <c r="I1397" s="33"/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</row>
    <row r="1398" spans="1:28" x14ac:dyDescent="0.15">
      <c r="A1398" s="46" t="s">
        <v>2847</v>
      </c>
      <c r="B1398" s="52" t="s">
        <v>7361</v>
      </c>
      <c r="C1398" s="53" t="s">
        <v>2848</v>
      </c>
      <c r="D1398" s="54" t="s">
        <v>8840</v>
      </c>
      <c r="E1398" s="50">
        <f t="shared" si="47"/>
        <v>19.095890409999999</v>
      </c>
      <c r="F1398" s="51">
        <f t="shared" si="47"/>
        <v>4.3400526299999997</v>
      </c>
      <c r="H1398" s="33"/>
      <c r="I1398" s="33"/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</row>
    <row r="1399" spans="1:28" x14ac:dyDescent="0.15">
      <c r="A1399" s="46" t="s">
        <v>2849</v>
      </c>
      <c r="B1399" s="52" t="s">
        <v>7361</v>
      </c>
      <c r="C1399" s="53" t="s">
        <v>2850</v>
      </c>
      <c r="D1399" s="54" t="s">
        <v>8841</v>
      </c>
      <c r="E1399" s="50">
        <f t="shared" si="47"/>
        <v>19.109589039999999</v>
      </c>
      <c r="F1399" s="51">
        <f t="shared" si="47"/>
        <v>4.3400348299999996</v>
      </c>
      <c r="H1399" s="33"/>
      <c r="I1399" s="33"/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</row>
    <row r="1400" spans="1:28" x14ac:dyDescent="0.15">
      <c r="A1400" s="46" t="s">
        <v>2851</v>
      </c>
      <c r="B1400" s="52" t="s">
        <v>7361</v>
      </c>
      <c r="C1400" s="53" t="s">
        <v>2852</v>
      </c>
      <c r="D1400" s="54" t="s">
        <v>8842</v>
      </c>
      <c r="E1400" s="50">
        <f t="shared" si="47"/>
        <v>19.12328767</v>
      </c>
      <c r="F1400" s="51">
        <f t="shared" si="47"/>
        <v>4.3400168499999996</v>
      </c>
      <c r="H1400" s="33"/>
      <c r="I1400" s="33"/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</row>
    <row r="1401" spans="1:28" x14ac:dyDescent="0.15">
      <c r="A1401" s="46" t="s">
        <v>2853</v>
      </c>
      <c r="B1401" s="52" t="s">
        <v>7361</v>
      </c>
      <c r="C1401" s="53" t="s">
        <v>2854</v>
      </c>
      <c r="D1401" s="54" t="s">
        <v>8843</v>
      </c>
      <c r="E1401" s="50">
        <f t="shared" si="47"/>
        <v>19.1369863</v>
      </c>
      <c r="F1401" s="51">
        <f t="shared" si="47"/>
        <v>4.3399987500000003</v>
      </c>
      <c r="H1401" s="33"/>
      <c r="I1401" s="33"/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</row>
    <row r="1402" spans="1:28" x14ac:dyDescent="0.15">
      <c r="A1402" s="46" t="s">
        <v>2855</v>
      </c>
      <c r="B1402" s="52" t="s">
        <v>7361</v>
      </c>
      <c r="C1402" s="53" t="s">
        <v>2856</v>
      </c>
      <c r="D1402" s="54" t="s">
        <v>8844</v>
      </c>
      <c r="E1402" s="50">
        <f t="shared" si="47"/>
        <v>19.150684930000001</v>
      </c>
      <c r="F1402" s="51">
        <f t="shared" si="47"/>
        <v>4.3399805699999998</v>
      </c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</row>
    <row r="1403" spans="1:28" x14ac:dyDescent="0.15">
      <c r="A1403" s="46" t="s">
        <v>2857</v>
      </c>
      <c r="B1403" s="52" t="s">
        <v>7361</v>
      </c>
      <c r="C1403" s="53" t="s">
        <v>2858</v>
      </c>
      <c r="D1403" s="54" t="s">
        <v>8845</v>
      </c>
      <c r="E1403" s="50">
        <f t="shared" si="47"/>
        <v>19.164383560000001</v>
      </c>
      <c r="F1403" s="51">
        <f t="shared" si="47"/>
        <v>4.3399623900000002</v>
      </c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</row>
    <row r="1404" spans="1:28" x14ac:dyDescent="0.15">
      <c r="A1404" s="46" t="s">
        <v>2859</v>
      </c>
      <c r="B1404" s="52" t="s">
        <v>7361</v>
      </c>
      <c r="C1404" s="53" t="s">
        <v>2860</v>
      </c>
      <c r="D1404" s="54" t="s">
        <v>8846</v>
      </c>
      <c r="E1404" s="50">
        <f t="shared" si="47"/>
        <v>19.178082190000001</v>
      </c>
      <c r="F1404" s="51">
        <f t="shared" si="47"/>
        <v>4.3399442500000003</v>
      </c>
      <c r="H1404" s="33"/>
      <c r="I1404" s="33"/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</row>
    <row r="1405" spans="1:28" x14ac:dyDescent="0.15">
      <c r="A1405" s="46" t="s">
        <v>2861</v>
      </c>
      <c r="B1405" s="52" t="s">
        <v>7361</v>
      </c>
      <c r="C1405" s="53" t="s">
        <v>2862</v>
      </c>
      <c r="D1405" s="54" t="s">
        <v>8847</v>
      </c>
      <c r="E1405" s="50">
        <f t="shared" si="47"/>
        <v>19.191780820000002</v>
      </c>
      <c r="F1405" s="51">
        <f t="shared" si="47"/>
        <v>4.3399262099999998</v>
      </c>
      <c r="H1405" s="33"/>
      <c r="I1405" s="33"/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</row>
    <row r="1406" spans="1:28" x14ac:dyDescent="0.15">
      <c r="A1406" s="46" t="s">
        <v>2863</v>
      </c>
      <c r="B1406" s="52" t="s">
        <v>7361</v>
      </c>
      <c r="C1406" s="53" t="s">
        <v>2864</v>
      </c>
      <c r="D1406" s="54" t="s">
        <v>8848</v>
      </c>
      <c r="E1406" s="50">
        <f t="shared" si="47"/>
        <v>19.205479449999999</v>
      </c>
      <c r="F1406" s="51">
        <f t="shared" si="47"/>
        <v>4.3399083300000001</v>
      </c>
      <c r="H1406" s="33"/>
      <c r="I1406" s="33"/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</row>
    <row r="1407" spans="1:28" x14ac:dyDescent="0.15">
      <c r="A1407" s="46" t="s">
        <v>2865</v>
      </c>
      <c r="B1407" s="52" t="s">
        <v>7361</v>
      </c>
      <c r="C1407" s="53" t="s">
        <v>2866</v>
      </c>
      <c r="D1407" s="54" t="s">
        <v>8849</v>
      </c>
      <c r="E1407" s="50">
        <f t="shared" si="47"/>
        <v>19.219178079999999</v>
      </c>
      <c r="F1407" s="51">
        <f t="shared" si="47"/>
        <v>4.33989067</v>
      </c>
      <c r="H1407" s="33"/>
      <c r="I1407" s="33"/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</row>
    <row r="1408" spans="1:28" x14ac:dyDescent="0.15">
      <c r="A1408" s="46" t="s">
        <v>2867</v>
      </c>
      <c r="B1408" s="52" t="s">
        <v>7361</v>
      </c>
      <c r="C1408" s="53" t="s">
        <v>2868</v>
      </c>
      <c r="D1408" s="54" t="s">
        <v>8850</v>
      </c>
      <c r="E1408" s="50">
        <f t="shared" si="47"/>
        <v>19.232876709999999</v>
      </c>
      <c r="F1408" s="51">
        <f t="shared" si="47"/>
        <v>4.3398732799999999</v>
      </c>
      <c r="H1408" s="33"/>
      <c r="I1408" s="33"/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</row>
    <row r="1409" spans="1:28" x14ac:dyDescent="0.15">
      <c r="A1409" s="46" t="s">
        <v>2869</v>
      </c>
      <c r="B1409" s="52" t="s">
        <v>7361</v>
      </c>
      <c r="C1409" s="53" t="s">
        <v>2870</v>
      </c>
      <c r="D1409" s="54" t="s">
        <v>8851</v>
      </c>
      <c r="E1409" s="50">
        <f t="shared" si="47"/>
        <v>19.24657534</v>
      </c>
      <c r="F1409" s="51">
        <f t="shared" si="47"/>
        <v>4.3398562199999997</v>
      </c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</row>
    <row r="1410" spans="1:28" x14ac:dyDescent="0.15">
      <c r="A1410" s="46" t="s">
        <v>2871</v>
      </c>
      <c r="B1410" s="52" t="s">
        <v>7361</v>
      </c>
      <c r="C1410" s="53" t="s">
        <v>2872</v>
      </c>
      <c r="D1410" s="54" t="s">
        <v>8852</v>
      </c>
      <c r="E1410" s="50">
        <f t="shared" si="47"/>
        <v>19.26027397</v>
      </c>
      <c r="F1410" s="51">
        <f t="shared" si="47"/>
        <v>4.3398395499999998</v>
      </c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</row>
    <row r="1411" spans="1:28" x14ac:dyDescent="0.15">
      <c r="A1411" s="46" t="s">
        <v>2873</v>
      </c>
      <c r="B1411" s="52" t="s">
        <v>7361</v>
      </c>
      <c r="C1411" s="53" t="s">
        <v>2874</v>
      </c>
      <c r="D1411" s="54" t="s">
        <v>8853</v>
      </c>
      <c r="E1411" s="50">
        <f t="shared" si="47"/>
        <v>19.2739726</v>
      </c>
      <c r="F1411" s="51">
        <f t="shared" si="47"/>
        <v>4.3398233199999998</v>
      </c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</row>
    <row r="1412" spans="1:28" x14ac:dyDescent="0.15">
      <c r="A1412" s="46" t="s">
        <v>2875</v>
      </c>
      <c r="B1412" s="52" t="s">
        <v>7361</v>
      </c>
      <c r="C1412" s="53" t="s">
        <v>2876</v>
      </c>
      <c r="D1412" s="54" t="s">
        <v>8854</v>
      </c>
      <c r="E1412" s="50">
        <f t="shared" si="47"/>
        <v>19.287671230000001</v>
      </c>
      <c r="F1412" s="51">
        <f t="shared" si="47"/>
        <v>4.3398075900000004</v>
      </c>
      <c r="H1412" s="33"/>
      <c r="I1412" s="33"/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</row>
    <row r="1413" spans="1:28" x14ac:dyDescent="0.15">
      <c r="A1413" s="46" t="s">
        <v>2877</v>
      </c>
      <c r="B1413" s="52" t="s">
        <v>7361</v>
      </c>
      <c r="C1413" s="53" t="s">
        <v>2878</v>
      </c>
      <c r="D1413" s="54" t="s">
        <v>8855</v>
      </c>
      <c r="E1413" s="50">
        <f t="shared" si="47"/>
        <v>19.301369860000001</v>
      </c>
      <c r="F1413" s="51">
        <f t="shared" si="47"/>
        <v>4.3397924200000002</v>
      </c>
      <c r="H1413" s="33"/>
      <c r="I1413" s="33"/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</row>
    <row r="1414" spans="1:28" x14ac:dyDescent="0.15">
      <c r="A1414" s="46" t="s">
        <v>2879</v>
      </c>
      <c r="B1414" s="52" t="s">
        <v>7361</v>
      </c>
      <c r="C1414" s="53" t="s">
        <v>2880</v>
      </c>
      <c r="D1414" s="54" t="s">
        <v>8856</v>
      </c>
      <c r="E1414" s="50">
        <f t="shared" si="47"/>
        <v>19.315068490000002</v>
      </c>
      <c r="F1414" s="51">
        <f t="shared" si="47"/>
        <v>4.3397778599999999</v>
      </c>
      <c r="H1414" s="33"/>
      <c r="I1414" s="33"/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</row>
    <row r="1415" spans="1:28" x14ac:dyDescent="0.15">
      <c r="A1415" s="46" t="s">
        <v>2881</v>
      </c>
      <c r="B1415" s="52" t="s">
        <v>7361</v>
      </c>
      <c r="C1415" s="53" t="s">
        <v>2882</v>
      </c>
      <c r="D1415" s="54" t="s">
        <v>8857</v>
      </c>
      <c r="E1415" s="50">
        <f t="shared" ref="E1415:F1445" si="48">VALUE(C1415)</f>
        <v>19.328767119999998</v>
      </c>
      <c r="F1415" s="51">
        <f t="shared" si="48"/>
        <v>4.3397639699999999</v>
      </c>
      <c r="H1415" s="33"/>
      <c r="I1415" s="33"/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</row>
    <row r="1416" spans="1:28" x14ac:dyDescent="0.15">
      <c r="A1416" s="46" t="s">
        <v>2883</v>
      </c>
      <c r="B1416" s="52" t="s">
        <v>7361</v>
      </c>
      <c r="C1416" s="53" t="s">
        <v>2884</v>
      </c>
      <c r="D1416" s="54" t="s">
        <v>8858</v>
      </c>
      <c r="E1416" s="50">
        <f t="shared" si="48"/>
        <v>19.342465749999999</v>
      </c>
      <c r="F1416" s="51">
        <f t="shared" si="48"/>
        <v>4.33975081</v>
      </c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</row>
    <row r="1417" spans="1:28" x14ac:dyDescent="0.15">
      <c r="A1417" s="46" t="s">
        <v>2885</v>
      </c>
      <c r="B1417" s="52" t="s">
        <v>7361</v>
      </c>
      <c r="C1417" s="53" t="s">
        <v>2886</v>
      </c>
      <c r="D1417" s="54" t="s">
        <v>8859</v>
      </c>
      <c r="E1417" s="50">
        <f t="shared" si="48"/>
        <v>19.356164379999999</v>
      </c>
      <c r="F1417" s="51">
        <f t="shared" si="48"/>
        <v>4.3397384299999997</v>
      </c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</row>
    <row r="1418" spans="1:28" x14ac:dyDescent="0.15">
      <c r="A1418" s="46" t="s">
        <v>2887</v>
      </c>
      <c r="B1418" s="52" t="s">
        <v>7361</v>
      </c>
      <c r="C1418" s="53" t="s">
        <v>2888</v>
      </c>
      <c r="D1418" s="54" t="s">
        <v>8860</v>
      </c>
      <c r="E1418" s="50">
        <f t="shared" si="48"/>
        <v>19.36986301</v>
      </c>
      <c r="F1418" s="51">
        <f t="shared" si="48"/>
        <v>4.3397268999999996</v>
      </c>
      <c r="H1418" s="33"/>
      <c r="I1418" s="33"/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</row>
    <row r="1419" spans="1:28" x14ac:dyDescent="0.15">
      <c r="A1419" s="46" t="s">
        <v>2889</v>
      </c>
      <c r="B1419" s="52" t="s">
        <v>7361</v>
      </c>
      <c r="C1419" s="53" t="s">
        <v>2890</v>
      </c>
      <c r="D1419" s="54" t="s">
        <v>8861</v>
      </c>
      <c r="E1419" s="50">
        <f t="shared" si="48"/>
        <v>19.38356164</v>
      </c>
      <c r="F1419" s="51">
        <f t="shared" si="48"/>
        <v>4.3397162600000003</v>
      </c>
      <c r="H1419" s="33"/>
      <c r="I1419" s="33"/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</row>
    <row r="1420" spans="1:28" x14ac:dyDescent="0.15">
      <c r="A1420" s="46" t="s">
        <v>2891</v>
      </c>
      <c r="B1420" s="52" t="s">
        <v>7361</v>
      </c>
      <c r="C1420" s="53" t="s">
        <v>2892</v>
      </c>
      <c r="D1420" s="54" t="s">
        <v>8862</v>
      </c>
      <c r="E1420" s="50">
        <f t="shared" si="48"/>
        <v>19.39726027</v>
      </c>
      <c r="F1420" s="51">
        <f t="shared" si="48"/>
        <v>4.3397065799999996</v>
      </c>
      <c r="H1420" s="33"/>
      <c r="I1420" s="33"/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</row>
    <row r="1421" spans="1:28" x14ac:dyDescent="0.15">
      <c r="A1421" s="46" t="s">
        <v>2893</v>
      </c>
      <c r="B1421" s="52" t="s">
        <v>7361</v>
      </c>
      <c r="C1421" s="53" t="s">
        <v>2894</v>
      </c>
      <c r="D1421" s="54" t="s">
        <v>8863</v>
      </c>
      <c r="E1421" s="50">
        <f t="shared" si="48"/>
        <v>19.410958900000001</v>
      </c>
      <c r="F1421" s="51">
        <f t="shared" si="48"/>
        <v>4.3396979099999999</v>
      </c>
      <c r="H1421" s="33"/>
      <c r="I1421" s="33"/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</row>
    <row r="1422" spans="1:28" x14ac:dyDescent="0.15">
      <c r="A1422" s="46" t="s">
        <v>2895</v>
      </c>
      <c r="B1422" s="52" t="s">
        <v>7361</v>
      </c>
      <c r="C1422" s="53" t="s">
        <v>2896</v>
      </c>
      <c r="D1422" s="54" t="s">
        <v>8864</v>
      </c>
      <c r="E1422" s="50">
        <f t="shared" si="48"/>
        <v>19.424657530000001</v>
      </c>
      <c r="F1422" s="51">
        <f t="shared" si="48"/>
        <v>4.3396903</v>
      </c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</row>
    <row r="1423" spans="1:28" x14ac:dyDescent="0.15">
      <c r="A1423" s="46" t="s">
        <v>2897</v>
      </c>
      <c r="B1423" s="52" t="s">
        <v>7361</v>
      </c>
      <c r="C1423" s="53" t="s">
        <v>2898</v>
      </c>
      <c r="D1423" s="54" t="s">
        <v>8865</v>
      </c>
      <c r="E1423" s="50">
        <f t="shared" si="48"/>
        <v>19.438356160000001</v>
      </c>
      <c r="F1423" s="51">
        <f t="shared" si="48"/>
        <v>4.3396838300000002</v>
      </c>
      <c r="H1423" s="33"/>
      <c r="I1423" s="33"/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</row>
    <row r="1424" spans="1:28" x14ac:dyDescent="0.15">
      <c r="A1424" s="46" t="s">
        <v>2899</v>
      </c>
      <c r="B1424" s="52" t="s">
        <v>7361</v>
      </c>
      <c r="C1424" s="53" t="s">
        <v>2900</v>
      </c>
      <c r="D1424" s="54" t="s">
        <v>8866</v>
      </c>
      <c r="E1424" s="50">
        <f t="shared" si="48"/>
        <v>19.452054789999998</v>
      </c>
      <c r="F1424" s="51">
        <f t="shared" si="48"/>
        <v>4.3396785299999996</v>
      </c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</row>
    <row r="1425" spans="1:28" x14ac:dyDescent="0.15">
      <c r="A1425" s="46" t="s">
        <v>2901</v>
      </c>
      <c r="B1425" s="52" t="s">
        <v>7361</v>
      </c>
      <c r="C1425" s="53" t="s">
        <v>2902</v>
      </c>
      <c r="D1425" s="54" t="s">
        <v>8867</v>
      </c>
      <c r="E1425" s="50">
        <f t="shared" si="48"/>
        <v>19.465753419999999</v>
      </c>
      <c r="F1425" s="51">
        <f t="shared" si="48"/>
        <v>4.3396744800000002</v>
      </c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</row>
    <row r="1426" spans="1:28" x14ac:dyDescent="0.15">
      <c r="A1426" s="46" t="s">
        <v>2903</v>
      </c>
      <c r="B1426" s="52" t="s">
        <v>7361</v>
      </c>
      <c r="C1426" s="53" t="s">
        <v>2904</v>
      </c>
      <c r="D1426" s="54" t="s">
        <v>8868</v>
      </c>
      <c r="E1426" s="50">
        <f t="shared" si="48"/>
        <v>19.479452049999999</v>
      </c>
      <c r="F1426" s="51">
        <f t="shared" si="48"/>
        <v>4.3396717200000001</v>
      </c>
      <c r="H1426" s="33"/>
      <c r="I1426" s="33"/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</row>
    <row r="1427" spans="1:28" x14ac:dyDescent="0.15">
      <c r="A1427" s="46" t="s">
        <v>2905</v>
      </c>
      <c r="B1427" s="52" t="s">
        <v>7361</v>
      </c>
      <c r="C1427" s="53" t="s">
        <v>2906</v>
      </c>
      <c r="D1427" s="54" t="s">
        <v>8869</v>
      </c>
      <c r="E1427" s="50">
        <f t="shared" si="48"/>
        <v>19.493150679999999</v>
      </c>
      <c r="F1427" s="51">
        <f t="shared" si="48"/>
        <v>4.3396703099999998</v>
      </c>
      <c r="H1427" s="33"/>
      <c r="I1427" s="33"/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</row>
    <row r="1428" spans="1:28" x14ac:dyDescent="0.15">
      <c r="A1428" s="46" t="s">
        <v>2907</v>
      </c>
      <c r="B1428" s="52" t="s">
        <v>7361</v>
      </c>
      <c r="C1428" s="53" t="s">
        <v>2908</v>
      </c>
      <c r="D1428" s="54" t="s">
        <v>8870</v>
      </c>
      <c r="E1428" s="50">
        <f t="shared" si="48"/>
        <v>19.506849320000001</v>
      </c>
      <c r="F1428" s="51">
        <f t="shared" si="48"/>
        <v>4.3396701499999999</v>
      </c>
      <c r="H1428" s="33"/>
      <c r="I1428" s="33"/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</row>
    <row r="1429" spans="1:28" x14ac:dyDescent="0.15">
      <c r="A1429" s="46" t="s">
        <v>2909</v>
      </c>
      <c r="B1429" s="52" t="s">
        <v>7361</v>
      </c>
      <c r="C1429" s="53" t="s">
        <v>2910</v>
      </c>
      <c r="D1429" s="54" t="s">
        <v>8871</v>
      </c>
      <c r="E1429" s="50">
        <f t="shared" si="48"/>
        <v>19.520547950000001</v>
      </c>
      <c r="F1429" s="51">
        <f t="shared" si="48"/>
        <v>4.33967028</v>
      </c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</row>
    <row r="1430" spans="1:28" x14ac:dyDescent="0.15">
      <c r="A1430" s="46" t="s">
        <v>2911</v>
      </c>
      <c r="B1430" s="52" t="s">
        <v>7361</v>
      </c>
      <c r="C1430" s="53" t="s">
        <v>2912</v>
      </c>
      <c r="D1430" s="54" t="s">
        <v>8872</v>
      </c>
      <c r="E1430" s="50">
        <f t="shared" si="48"/>
        <v>19.534246580000001</v>
      </c>
      <c r="F1430" s="51">
        <f t="shared" si="48"/>
        <v>4.3396705500000001</v>
      </c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</row>
    <row r="1431" spans="1:28" x14ac:dyDescent="0.15">
      <c r="A1431" s="46" t="s">
        <v>2913</v>
      </c>
      <c r="B1431" s="52" t="s">
        <v>7361</v>
      </c>
      <c r="C1431" s="53" t="s">
        <v>2914</v>
      </c>
      <c r="D1431" s="54" t="s">
        <v>8873</v>
      </c>
      <c r="E1431" s="50">
        <f t="shared" si="48"/>
        <v>19.547945210000002</v>
      </c>
      <c r="F1431" s="51">
        <f t="shared" si="48"/>
        <v>4.3396709299999996</v>
      </c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</row>
    <row r="1432" spans="1:28" x14ac:dyDescent="0.15">
      <c r="A1432" s="46" t="s">
        <v>2915</v>
      </c>
      <c r="B1432" s="52" t="s">
        <v>7361</v>
      </c>
      <c r="C1432" s="53" t="s">
        <v>2916</v>
      </c>
      <c r="D1432" s="54" t="s">
        <v>8874</v>
      </c>
      <c r="E1432" s="50">
        <f t="shared" si="48"/>
        <v>19.561643839999999</v>
      </c>
      <c r="F1432" s="51">
        <f t="shared" si="48"/>
        <v>4.33967144</v>
      </c>
      <c r="H1432" s="33"/>
      <c r="I1432" s="33"/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</row>
    <row r="1433" spans="1:28" x14ac:dyDescent="0.15">
      <c r="A1433" s="46" t="s">
        <v>2917</v>
      </c>
      <c r="B1433" s="52" t="s">
        <v>7361</v>
      </c>
      <c r="C1433" s="53" t="s">
        <v>2918</v>
      </c>
      <c r="D1433" s="54" t="s">
        <v>8875</v>
      </c>
      <c r="E1433" s="50">
        <f t="shared" si="48"/>
        <v>19.575342469999999</v>
      </c>
      <c r="F1433" s="51">
        <f t="shared" si="48"/>
        <v>4.3396720599999998</v>
      </c>
      <c r="H1433" s="33"/>
      <c r="I1433" s="33"/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</row>
    <row r="1434" spans="1:28" x14ac:dyDescent="0.15">
      <c r="A1434" s="46" t="s">
        <v>2919</v>
      </c>
      <c r="B1434" s="52" t="s">
        <v>7361</v>
      </c>
      <c r="C1434" s="53" t="s">
        <v>2920</v>
      </c>
      <c r="D1434" s="54" t="s">
        <v>8876</v>
      </c>
      <c r="E1434" s="50">
        <f t="shared" si="48"/>
        <v>19.589041099999999</v>
      </c>
      <c r="F1434" s="51">
        <f t="shared" si="48"/>
        <v>4.3396727799999999</v>
      </c>
      <c r="H1434" s="33"/>
      <c r="I1434" s="33"/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</row>
    <row r="1435" spans="1:28" x14ac:dyDescent="0.15">
      <c r="A1435" s="46" t="s">
        <v>2921</v>
      </c>
      <c r="B1435" s="52" t="s">
        <v>7361</v>
      </c>
      <c r="C1435" s="53" t="s">
        <v>2922</v>
      </c>
      <c r="D1435" s="54" t="s">
        <v>8877</v>
      </c>
      <c r="E1435" s="50">
        <f t="shared" si="48"/>
        <v>19.60273973</v>
      </c>
      <c r="F1435" s="51">
        <f t="shared" si="48"/>
        <v>4.3396736100000002</v>
      </c>
      <c r="H1435" s="33"/>
      <c r="I1435" s="33"/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</row>
    <row r="1436" spans="1:28" x14ac:dyDescent="0.15">
      <c r="A1436" s="46" t="s">
        <v>2923</v>
      </c>
      <c r="B1436" s="52" t="s">
        <v>7361</v>
      </c>
      <c r="C1436" s="53" t="s">
        <v>2924</v>
      </c>
      <c r="D1436" s="54" t="s">
        <v>8878</v>
      </c>
      <c r="E1436" s="50">
        <f t="shared" si="48"/>
        <v>19.61643836</v>
      </c>
      <c r="F1436" s="51">
        <f t="shared" si="48"/>
        <v>4.3396745299999999</v>
      </c>
      <c r="H1436" s="33"/>
      <c r="I1436" s="33"/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</row>
    <row r="1437" spans="1:28" x14ac:dyDescent="0.15">
      <c r="A1437" s="46" t="s">
        <v>2925</v>
      </c>
      <c r="B1437" s="52" t="s">
        <v>7361</v>
      </c>
      <c r="C1437" s="53" t="s">
        <v>2926</v>
      </c>
      <c r="D1437" s="54" t="s">
        <v>8879</v>
      </c>
      <c r="E1437" s="50">
        <f t="shared" si="48"/>
        <v>19.63013699</v>
      </c>
      <c r="F1437" s="51">
        <f t="shared" si="48"/>
        <v>4.33967554</v>
      </c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</row>
    <row r="1438" spans="1:28" x14ac:dyDescent="0.15">
      <c r="A1438" s="46" t="s">
        <v>2927</v>
      </c>
      <c r="B1438" s="52" t="s">
        <v>7361</v>
      </c>
      <c r="C1438" s="53" t="s">
        <v>2928</v>
      </c>
      <c r="D1438" s="54" t="s">
        <v>8880</v>
      </c>
      <c r="E1438" s="50">
        <f t="shared" si="48"/>
        <v>19.643835620000001</v>
      </c>
      <c r="F1438" s="51">
        <f t="shared" si="48"/>
        <v>4.3396766299999996</v>
      </c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</row>
    <row r="1439" spans="1:28" x14ac:dyDescent="0.15">
      <c r="A1439" s="46" t="s">
        <v>2929</v>
      </c>
      <c r="B1439" s="52" t="s">
        <v>7361</v>
      </c>
      <c r="C1439" s="53" t="s">
        <v>2930</v>
      </c>
      <c r="D1439" s="54" t="s">
        <v>8881</v>
      </c>
      <c r="E1439" s="50">
        <f t="shared" si="48"/>
        <v>19.657534250000001</v>
      </c>
      <c r="F1439" s="51">
        <f t="shared" si="48"/>
        <v>4.3396777999999996</v>
      </c>
      <c r="H1439" s="33"/>
      <c r="I1439" s="33"/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</row>
    <row r="1440" spans="1:28" x14ac:dyDescent="0.15">
      <c r="A1440" s="46" t="s">
        <v>2931</v>
      </c>
      <c r="B1440" s="52" t="s">
        <v>7361</v>
      </c>
      <c r="C1440" s="53" t="s">
        <v>2932</v>
      </c>
      <c r="D1440" s="54" t="s">
        <v>8882</v>
      </c>
      <c r="E1440" s="50">
        <f t="shared" si="48"/>
        <v>19.671232880000002</v>
      </c>
      <c r="F1440" s="51">
        <f t="shared" si="48"/>
        <v>4.33967905</v>
      </c>
      <c r="H1440" s="33"/>
      <c r="I1440" s="33"/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</row>
    <row r="1441" spans="1:28" x14ac:dyDescent="0.15">
      <c r="A1441" s="46" t="s">
        <v>2933</v>
      </c>
      <c r="B1441" s="52" t="s">
        <v>7361</v>
      </c>
      <c r="C1441" s="53" t="s">
        <v>2934</v>
      </c>
      <c r="D1441" s="54" t="s">
        <v>8883</v>
      </c>
      <c r="E1441" s="50">
        <f t="shared" si="48"/>
        <v>19.684931509999998</v>
      </c>
      <c r="F1441" s="51">
        <f t="shared" si="48"/>
        <v>4.33968036</v>
      </c>
      <c r="H1441" s="33"/>
      <c r="I1441" s="33"/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</row>
    <row r="1442" spans="1:28" x14ac:dyDescent="0.15">
      <c r="A1442" s="46" t="s">
        <v>2935</v>
      </c>
      <c r="B1442" s="52" t="s">
        <v>7361</v>
      </c>
      <c r="C1442" s="53" t="s">
        <v>2936</v>
      </c>
      <c r="D1442" s="54" t="s">
        <v>8884</v>
      </c>
      <c r="E1442" s="50">
        <f t="shared" si="48"/>
        <v>19.698630139999999</v>
      </c>
      <c r="F1442" s="51">
        <f t="shared" si="48"/>
        <v>4.3396817299999997</v>
      </c>
      <c r="H1442" s="33"/>
      <c r="I1442" s="33"/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</row>
    <row r="1443" spans="1:28" x14ac:dyDescent="0.15">
      <c r="A1443" s="46" t="s">
        <v>2937</v>
      </c>
      <c r="B1443" s="52" t="s">
        <v>7361</v>
      </c>
      <c r="C1443" s="53" t="s">
        <v>2938</v>
      </c>
      <c r="D1443" s="54" t="s">
        <v>8885</v>
      </c>
      <c r="E1443" s="50">
        <f t="shared" si="48"/>
        <v>19.712328769999999</v>
      </c>
      <c r="F1443" s="51">
        <f t="shared" si="48"/>
        <v>4.3396831599999999</v>
      </c>
      <c r="H1443" s="33"/>
      <c r="I1443" s="33"/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</row>
    <row r="1444" spans="1:28" x14ac:dyDescent="0.15">
      <c r="A1444" s="46" t="s">
        <v>2939</v>
      </c>
      <c r="B1444" s="52" t="s">
        <v>7361</v>
      </c>
      <c r="C1444" s="53" t="s">
        <v>2940</v>
      </c>
      <c r="D1444" s="54" t="s">
        <v>8886</v>
      </c>
      <c r="E1444" s="50">
        <f t="shared" si="48"/>
        <v>19.7260274</v>
      </c>
      <c r="F1444" s="51">
        <f t="shared" si="48"/>
        <v>4.3396846399999998</v>
      </c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</row>
    <row r="1445" spans="1:28" x14ac:dyDescent="0.15">
      <c r="A1445" s="46" t="s">
        <v>2941</v>
      </c>
      <c r="B1445" s="52" t="s">
        <v>7361</v>
      </c>
      <c r="C1445" s="53" t="s">
        <v>2942</v>
      </c>
      <c r="D1445" s="54" t="s">
        <v>8887</v>
      </c>
      <c r="E1445" s="50">
        <f t="shared" si="48"/>
        <v>19.73972603</v>
      </c>
      <c r="F1445" s="51">
        <f t="shared" si="48"/>
        <v>4.3396861600000003</v>
      </c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</row>
    <row r="1446" spans="1:28" x14ac:dyDescent="0.15">
      <c r="A1446" s="46" t="s">
        <v>2943</v>
      </c>
      <c r="B1446" s="52" t="s">
        <v>7361</v>
      </c>
      <c r="C1446" s="53" t="s">
        <v>2944</v>
      </c>
      <c r="D1446" s="54" t="s">
        <v>8888</v>
      </c>
      <c r="E1446" s="50">
        <f t="shared" ref="E1446:F1461" si="49">VALUE(C1446)</f>
        <v>19.75342466</v>
      </c>
      <c r="F1446" s="51">
        <f t="shared" si="49"/>
        <v>4.3396877299999996</v>
      </c>
      <c r="H1446" s="33"/>
      <c r="I1446" s="33"/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</row>
    <row r="1447" spans="1:28" x14ac:dyDescent="0.15">
      <c r="A1447" s="46" t="s">
        <v>2945</v>
      </c>
      <c r="B1447" s="52" t="s">
        <v>7361</v>
      </c>
      <c r="C1447" s="53" t="s">
        <v>2946</v>
      </c>
      <c r="D1447" s="54" t="s">
        <v>8889</v>
      </c>
      <c r="E1447" s="50">
        <f t="shared" si="49"/>
        <v>19.767123290000001</v>
      </c>
      <c r="F1447" s="51">
        <f t="shared" si="49"/>
        <v>4.3396893199999997</v>
      </c>
      <c r="H1447" s="33"/>
      <c r="I1447" s="33"/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</row>
    <row r="1448" spans="1:28" x14ac:dyDescent="0.15">
      <c r="A1448" s="46" t="s">
        <v>2947</v>
      </c>
      <c r="B1448" s="52" t="s">
        <v>7361</v>
      </c>
      <c r="C1448" s="53" t="s">
        <v>2948</v>
      </c>
      <c r="D1448" s="54" t="s">
        <v>8890</v>
      </c>
      <c r="E1448" s="50">
        <f t="shared" si="49"/>
        <v>19.780821920000001</v>
      </c>
      <c r="F1448" s="51">
        <f t="shared" si="49"/>
        <v>4.3396909399999997</v>
      </c>
      <c r="H1448" s="33"/>
      <c r="I1448" s="33"/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</row>
    <row r="1449" spans="1:28" x14ac:dyDescent="0.15">
      <c r="A1449" s="46" t="s">
        <v>2949</v>
      </c>
      <c r="B1449" s="52" t="s">
        <v>7361</v>
      </c>
      <c r="C1449" s="53" t="s">
        <v>2950</v>
      </c>
      <c r="D1449" s="54" t="s">
        <v>8891</v>
      </c>
      <c r="E1449" s="50">
        <f t="shared" si="49"/>
        <v>19.794520550000001</v>
      </c>
      <c r="F1449" s="51">
        <f t="shared" si="49"/>
        <v>4.3396925900000003</v>
      </c>
      <c r="H1449" s="33"/>
      <c r="I1449" s="33"/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</row>
    <row r="1450" spans="1:28" x14ac:dyDescent="0.15">
      <c r="A1450" s="46" t="s">
        <v>2951</v>
      </c>
      <c r="B1450" s="52" t="s">
        <v>7361</v>
      </c>
      <c r="C1450" s="53" t="s">
        <v>2952</v>
      </c>
      <c r="D1450" s="54" t="s">
        <v>8892</v>
      </c>
      <c r="E1450" s="50">
        <f t="shared" si="49"/>
        <v>19.808219179999998</v>
      </c>
      <c r="F1450" s="51">
        <f t="shared" si="49"/>
        <v>4.33969425</v>
      </c>
      <c r="H1450" s="33"/>
      <c r="I1450" s="33"/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</row>
    <row r="1451" spans="1:28" x14ac:dyDescent="0.15">
      <c r="A1451" s="46" t="s">
        <v>2953</v>
      </c>
      <c r="B1451" s="52" t="s">
        <v>7361</v>
      </c>
      <c r="C1451" s="53" t="s">
        <v>2954</v>
      </c>
      <c r="D1451" s="54" t="s">
        <v>8893</v>
      </c>
      <c r="E1451" s="50">
        <f t="shared" si="49"/>
        <v>19.821917809999999</v>
      </c>
      <c r="F1451" s="51">
        <f t="shared" si="49"/>
        <v>4.3396959199999996</v>
      </c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</row>
    <row r="1452" spans="1:28" x14ac:dyDescent="0.15">
      <c r="A1452" s="46" t="s">
        <v>2955</v>
      </c>
      <c r="B1452" s="52" t="s">
        <v>7361</v>
      </c>
      <c r="C1452" s="53" t="s">
        <v>2956</v>
      </c>
      <c r="D1452" s="54" t="s">
        <v>8894</v>
      </c>
      <c r="E1452" s="50">
        <f t="shared" si="49"/>
        <v>19.835616439999999</v>
      </c>
      <c r="F1452" s="51">
        <f t="shared" si="49"/>
        <v>4.3396975900000001</v>
      </c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</row>
    <row r="1453" spans="1:28" x14ac:dyDescent="0.15">
      <c r="A1453" s="46" t="s">
        <v>2957</v>
      </c>
      <c r="B1453" s="52" t="s">
        <v>7361</v>
      </c>
      <c r="C1453" s="53" t="s">
        <v>2958</v>
      </c>
      <c r="D1453" s="54" t="s">
        <v>8895</v>
      </c>
      <c r="E1453" s="50">
        <f t="shared" si="49"/>
        <v>19.849315069999999</v>
      </c>
      <c r="F1453" s="51">
        <f t="shared" si="49"/>
        <v>4.3396992699999997</v>
      </c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</row>
    <row r="1454" spans="1:28" x14ac:dyDescent="0.15">
      <c r="A1454" s="46" t="s">
        <v>2959</v>
      </c>
      <c r="B1454" s="52" t="s">
        <v>7361</v>
      </c>
      <c r="C1454" s="53" t="s">
        <v>2960</v>
      </c>
      <c r="D1454" s="54" t="s">
        <v>8896</v>
      </c>
      <c r="E1454" s="50">
        <f t="shared" si="49"/>
        <v>19.8630137</v>
      </c>
      <c r="F1454" s="51">
        <f t="shared" si="49"/>
        <v>4.3397009300000002</v>
      </c>
      <c r="H1454" s="33"/>
      <c r="I1454" s="33"/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</row>
    <row r="1455" spans="1:28" x14ac:dyDescent="0.15">
      <c r="A1455" s="46" t="s">
        <v>2961</v>
      </c>
      <c r="B1455" s="52" t="s">
        <v>7361</v>
      </c>
      <c r="C1455" s="53" t="s">
        <v>2962</v>
      </c>
      <c r="D1455" s="54" t="s">
        <v>8897</v>
      </c>
      <c r="E1455" s="50">
        <f t="shared" si="49"/>
        <v>19.87671233</v>
      </c>
      <c r="F1455" s="51">
        <f t="shared" si="49"/>
        <v>4.3397025899999999</v>
      </c>
      <c r="H1455" s="33"/>
      <c r="I1455" s="33"/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</row>
    <row r="1456" spans="1:28" x14ac:dyDescent="0.15">
      <c r="A1456" s="46" t="s">
        <v>2963</v>
      </c>
      <c r="B1456" s="52" t="s">
        <v>7361</v>
      </c>
      <c r="C1456" s="53" t="s">
        <v>2964</v>
      </c>
      <c r="D1456" s="54" t="s">
        <v>8898</v>
      </c>
      <c r="E1456" s="50">
        <f t="shared" si="49"/>
        <v>19.890410960000001</v>
      </c>
      <c r="F1456" s="51">
        <f t="shared" si="49"/>
        <v>4.3397042299999997</v>
      </c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</row>
    <row r="1457" spans="1:28" x14ac:dyDescent="0.15">
      <c r="A1457" s="46" t="s">
        <v>2965</v>
      </c>
      <c r="B1457" s="52" t="s">
        <v>7361</v>
      </c>
      <c r="C1457" s="53" t="s">
        <v>2966</v>
      </c>
      <c r="D1457" s="54" t="s">
        <v>8899</v>
      </c>
      <c r="E1457" s="50">
        <f t="shared" si="49"/>
        <v>19.904109590000001</v>
      </c>
      <c r="F1457" s="51">
        <f t="shared" si="49"/>
        <v>4.3397058399999997</v>
      </c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</row>
    <row r="1458" spans="1:28" x14ac:dyDescent="0.15">
      <c r="A1458" s="46" t="s">
        <v>2967</v>
      </c>
      <c r="B1458" s="52" t="s">
        <v>7361</v>
      </c>
      <c r="C1458" s="53" t="s">
        <v>2968</v>
      </c>
      <c r="D1458" s="54" t="s">
        <v>8900</v>
      </c>
      <c r="E1458" s="50">
        <f t="shared" si="49"/>
        <v>19.917808220000001</v>
      </c>
      <c r="F1458" s="51">
        <f t="shared" si="49"/>
        <v>4.3397074199999999</v>
      </c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</row>
    <row r="1459" spans="1:28" x14ac:dyDescent="0.15">
      <c r="A1459" s="46" t="s">
        <v>2969</v>
      </c>
      <c r="B1459" s="52" t="s">
        <v>7361</v>
      </c>
      <c r="C1459" s="53" t="s">
        <v>2970</v>
      </c>
      <c r="D1459" s="54" t="s">
        <v>8901</v>
      </c>
      <c r="E1459" s="50">
        <f t="shared" si="49"/>
        <v>19.931506850000002</v>
      </c>
      <c r="F1459" s="51">
        <f t="shared" si="49"/>
        <v>4.3397089700000002</v>
      </c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</row>
    <row r="1460" spans="1:28" x14ac:dyDescent="0.15">
      <c r="A1460" s="46" t="s">
        <v>2971</v>
      </c>
      <c r="B1460" s="52" t="s">
        <v>7361</v>
      </c>
      <c r="C1460" s="53" t="s">
        <v>2972</v>
      </c>
      <c r="D1460" s="54" t="s">
        <v>8902</v>
      </c>
      <c r="E1460" s="50">
        <f t="shared" si="49"/>
        <v>19.945205479999998</v>
      </c>
      <c r="F1460" s="51">
        <f t="shared" si="49"/>
        <v>4.3397104799999999</v>
      </c>
      <c r="H1460" s="33"/>
      <c r="I1460" s="33"/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</row>
    <row r="1461" spans="1:28" x14ac:dyDescent="0.15">
      <c r="A1461" s="46" t="s">
        <v>2973</v>
      </c>
      <c r="B1461" s="52" t="s">
        <v>7361</v>
      </c>
      <c r="C1461" s="53" t="s">
        <v>2974</v>
      </c>
      <c r="D1461" s="54" t="s">
        <v>8903</v>
      </c>
      <c r="E1461" s="50">
        <f t="shared" si="49"/>
        <v>19.958904109999999</v>
      </c>
      <c r="F1461" s="51">
        <f t="shared" si="49"/>
        <v>4.3397119499999999</v>
      </c>
      <c r="H1461" s="33"/>
      <c r="I1461" s="33"/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</row>
    <row r="1462" spans="1:28" x14ac:dyDescent="0.15">
      <c r="A1462" s="46" t="s">
        <v>2975</v>
      </c>
      <c r="B1462" s="52" t="s">
        <v>7361</v>
      </c>
      <c r="C1462" s="53" t="s">
        <v>2976</v>
      </c>
      <c r="D1462" s="54" t="s">
        <v>8904</v>
      </c>
      <c r="E1462" s="50">
        <f t="shared" ref="E1462:F1491" si="50">VALUE(C1462)</f>
        <v>19.972602739999999</v>
      </c>
      <c r="F1462" s="51">
        <f t="shared" si="50"/>
        <v>4.3397133600000002</v>
      </c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</row>
    <row r="1463" spans="1:28" x14ac:dyDescent="0.15">
      <c r="A1463" s="46" t="s">
        <v>2977</v>
      </c>
      <c r="B1463" s="52" t="s">
        <v>7361</v>
      </c>
      <c r="C1463" s="53" t="s">
        <v>2978</v>
      </c>
      <c r="D1463" s="54" t="s">
        <v>8905</v>
      </c>
      <c r="E1463" s="50">
        <f t="shared" si="50"/>
        <v>19.98630137</v>
      </c>
      <c r="F1463" s="51">
        <f t="shared" si="50"/>
        <v>4.33971471</v>
      </c>
      <c r="H1463" s="33"/>
      <c r="I1463" s="33"/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</row>
    <row r="1464" spans="1:28" x14ac:dyDescent="0.15">
      <c r="A1464" s="46" t="s">
        <v>2979</v>
      </c>
      <c r="B1464" s="52" t="s">
        <v>7361</v>
      </c>
      <c r="C1464" s="53" t="s">
        <v>2980</v>
      </c>
      <c r="D1464" s="54" t="s">
        <v>8906</v>
      </c>
      <c r="E1464" s="50">
        <f t="shared" si="50"/>
        <v>20</v>
      </c>
      <c r="F1464" s="51">
        <f t="shared" si="50"/>
        <v>4.3397160000000001</v>
      </c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</row>
    <row r="1465" spans="1:28" x14ac:dyDescent="0.15">
      <c r="A1465" s="46" t="s">
        <v>2981</v>
      </c>
      <c r="B1465" s="52" t="s">
        <v>7361</v>
      </c>
      <c r="C1465" s="53" t="s">
        <v>2982</v>
      </c>
      <c r="D1465" s="54" t="s">
        <v>8907</v>
      </c>
      <c r="E1465" s="50">
        <f t="shared" si="50"/>
        <v>20.01369863</v>
      </c>
      <c r="F1465" s="51">
        <f t="shared" si="50"/>
        <v>4.3397196300000003</v>
      </c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</row>
    <row r="1466" spans="1:28" x14ac:dyDescent="0.15">
      <c r="A1466" s="46" t="s">
        <v>2983</v>
      </c>
      <c r="B1466" s="52" t="s">
        <v>7361</v>
      </c>
      <c r="C1466" s="53" t="s">
        <v>2984</v>
      </c>
      <c r="D1466" s="54" t="s">
        <v>8908</v>
      </c>
      <c r="E1466" s="50">
        <f t="shared" si="50"/>
        <v>20.027397260000001</v>
      </c>
      <c r="F1466" s="51">
        <f t="shared" si="50"/>
        <v>4.3397278799999999</v>
      </c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</row>
    <row r="1467" spans="1:28" x14ac:dyDescent="0.15">
      <c r="A1467" s="46" t="s">
        <v>2985</v>
      </c>
      <c r="B1467" s="52" t="s">
        <v>7361</v>
      </c>
      <c r="C1467" s="53" t="s">
        <v>2986</v>
      </c>
      <c r="D1467" s="54" t="s">
        <v>8909</v>
      </c>
      <c r="E1467" s="50">
        <f t="shared" si="50"/>
        <v>20.041095890000001</v>
      </c>
      <c r="F1467" s="51">
        <f t="shared" si="50"/>
        <v>4.3397405400000002</v>
      </c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</row>
    <row r="1468" spans="1:28" x14ac:dyDescent="0.15">
      <c r="A1468" s="46" t="s">
        <v>2987</v>
      </c>
      <c r="B1468" s="52" t="s">
        <v>7361</v>
      </c>
      <c r="C1468" s="53" t="s">
        <v>2988</v>
      </c>
      <c r="D1468" s="54" t="s">
        <v>8910</v>
      </c>
      <c r="E1468" s="50">
        <f t="shared" si="50"/>
        <v>20.054794520000002</v>
      </c>
      <c r="F1468" s="51">
        <f t="shared" si="50"/>
        <v>4.3397574199999998</v>
      </c>
      <c r="H1468" s="33"/>
      <c r="I1468" s="33"/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</row>
    <row r="1469" spans="1:28" x14ac:dyDescent="0.15">
      <c r="A1469" s="46" t="s">
        <v>2989</v>
      </c>
      <c r="B1469" s="52" t="s">
        <v>7361</v>
      </c>
      <c r="C1469" s="53" t="s">
        <v>2990</v>
      </c>
      <c r="D1469" s="54" t="s">
        <v>8911</v>
      </c>
      <c r="E1469" s="50">
        <f t="shared" si="50"/>
        <v>20.068493149999998</v>
      </c>
      <c r="F1469" s="51">
        <f t="shared" si="50"/>
        <v>4.3397783299999997</v>
      </c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</row>
    <row r="1470" spans="1:28" x14ac:dyDescent="0.15">
      <c r="A1470" s="46" t="s">
        <v>2991</v>
      </c>
      <c r="B1470" s="52" t="s">
        <v>7361</v>
      </c>
      <c r="C1470" s="53" t="s">
        <v>2992</v>
      </c>
      <c r="D1470" s="54" t="s">
        <v>8912</v>
      </c>
      <c r="E1470" s="50">
        <f t="shared" si="50"/>
        <v>20.082191779999999</v>
      </c>
      <c r="F1470" s="51">
        <f t="shared" si="50"/>
        <v>4.3398030600000004</v>
      </c>
      <c r="H1470" s="33"/>
      <c r="I1470" s="33"/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</row>
    <row r="1471" spans="1:28" x14ac:dyDescent="0.15">
      <c r="A1471" s="46" t="s">
        <v>2993</v>
      </c>
      <c r="B1471" s="52" t="s">
        <v>7361</v>
      </c>
      <c r="C1471" s="53" t="s">
        <v>2994</v>
      </c>
      <c r="D1471" s="54" t="s">
        <v>8913</v>
      </c>
      <c r="E1471" s="50">
        <f t="shared" si="50"/>
        <v>20.095890409999999</v>
      </c>
      <c r="F1471" s="51">
        <f t="shared" si="50"/>
        <v>4.3398314200000003</v>
      </c>
      <c r="H1471" s="33"/>
      <c r="I1471" s="33"/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</row>
    <row r="1472" spans="1:28" x14ac:dyDescent="0.15">
      <c r="A1472" s="46" t="s">
        <v>2995</v>
      </c>
      <c r="B1472" s="52" t="s">
        <v>7361</v>
      </c>
      <c r="C1472" s="53" t="s">
        <v>2996</v>
      </c>
      <c r="D1472" s="54" t="s">
        <v>8914</v>
      </c>
      <c r="E1472" s="50">
        <f t="shared" si="50"/>
        <v>20.109589039999999</v>
      </c>
      <c r="F1472" s="51">
        <f t="shared" si="50"/>
        <v>4.3398632099999999</v>
      </c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</row>
    <row r="1473" spans="1:28" x14ac:dyDescent="0.15">
      <c r="A1473" s="46" t="s">
        <v>2997</v>
      </c>
      <c r="B1473" s="52" t="s">
        <v>7361</v>
      </c>
      <c r="C1473" s="53" t="s">
        <v>2998</v>
      </c>
      <c r="D1473" s="54" t="s">
        <v>8915</v>
      </c>
      <c r="E1473" s="50">
        <f t="shared" si="50"/>
        <v>20.12328767</v>
      </c>
      <c r="F1473" s="51">
        <f t="shared" si="50"/>
        <v>4.3398982200000003</v>
      </c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</row>
    <row r="1474" spans="1:28" x14ac:dyDescent="0.15">
      <c r="A1474" s="46" t="s">
        <v>2999</v>
      </c>
      <c r="B1474" s="52" t="s">
        <v>7361</v>
      </c>
      <c r="C1474" s="53" t="s">
        <v>3000</v>
      </c>
      <c r="D1474" s="54" t="s">
        <v>8916</v>
      </c>
      <c r="E1474" s="50">
        <f t="shared" si="50"/>
        <v>20.1369863</v>
      </c>
      <c r="F1474" s="51">
        <f t="shared" si="50"/>
        <v>4.3399362799999999</v>
      </c>
      <c r="H1474" s="33"/>
      <c r="I1474" s="33"/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</row>
    <row r="1475" spans="1:28" x14ac:dyDescent="0.15">
      <c r="A1475" s="46" t="s">
        <v>3001</v>
      </c>
      <c r="B1475" s="52" t="s">
        <v>7361</v>
      </c>
      <c r="C1475" s="53" t="s">
        <v>3002</v>
      </c>
      <c r="D1475" s="54" t="s">
        <v>8917</v>
      </c>
      <c r="E1475" s="50">
        <f t="shared" si="50"/>
        <v>20.150684930000001</v>
      </c>
      <c r="F1475" s="51">
        <f t="shared" si="50"/>
        <v>4.3399771600000001</v>
      </c>
      <c r="H1475" s="33"/>
      <c r="I1475" s="33"/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</row>
    <row r="1476" spans="1:28" x14ac:dyDescent="0.15">
      <c r="A1476" s="46" t="s">
        <v>3003</v>
      </c>
      <c r="B1476" s="52" t="s">
        <v>7361</v>
      </c>
      <c r="C1476" s="53" t="s">
        <v>3004</v>
      </c>
      <c r="D1476" s="54" t="s">
        <v>8918</v>
      </c>
      <c r="E1476" s="50">
        <f t="shared" si="50"/>
        <v>20.164383560000001</v>
      </c>
      <c r="F1476" s="51">
        <f t="shared" si="50"/>
        <v>4.3400206800000003</v>
      </c>
      <c r="H1476" s="33"/>
      <c r="I1476" s="33"/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</row>
    <row r="1477" spans="1:28" x14ac:dyDescent="0.15">
      <c r="A1477" s="46" t="s">
        <v>3005</v>
      </c>
      <c r="B1477" s="52" t="s">
        <v>7361</v>
      </c>
      <c r="C1477" s="53" t="s">
        <v>3006</v>
      </c>
      <c r="D1477" s="54" t="s">
        <v>8919</v>
      </c>
      <c r="E1477" s="50">
        <f t="shared" si="50"/>
        <v>20.178082190000001</v>
      </c>
      <c r="F1477" s="51">
        <f t="shared" si="50"/>
        <v>4.3400666499999998</v>
      </c>
      <c r="H1477" s="33"/>
      <c r="I1477" s="33"/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</row>
    <row r="1478" spans="1:28" x14ac:dyDescent="0.15">
      <c r="A1478" s="46" t="s">
        <v>3007</v>
      </c>
      <c r="B1478" s="52" t="s">
        <v>7361</v>
      </c>
      <c r="C1478" s="53" t="s">
        <v>3008</v>
      </c>
      <c r="D1478" s="54" t="s">
        <v>8920</v>
      </c>
      <c r="E1478" s="50">
        <f t="shared" si="50"/>
        <v>20.191780820000002</v>
      </c>
      <c r="F1478" s="51">
        <f t="shared" si="50"/>
        <v>4.34011485</v>
      </c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</row>
    <row r="1479" spans="1:28" x14ac:dyDescent="0.15">
      <c r="A1479" s="46" t="s">
        <v>3009</v>
      </c>
      <c r="B1479" s="52" t="s">
        <v>7361</v>
      </c>
      <c r="C1479" s="53" t="s">
        <v>3010</v>
      </c>
      <c r="D1479" s="54" t="s">
        <v>8921</v>
      </c>
      <c r="E1479" s="50">
        <f t="shared" si="50"/>
        <v>20.205479449999999</v>
      </c>
      <c r="F1479" s="51">
        <f t="shared" si="50"/>
        <v>4.3401651000000001</v>
      </c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</row>
    <row r="1480" spans="1:28" x14ac:dyDescent="0.15">
      <c r="A1480" s="46" t="s">
        <v>3011</v>
      </c>
      <c r="B1480" s="52" t="s">
        <v>7361</v>
      </c>
      <c r="C1480" s="53" t="s">
        <v>3012</v>
      </c>
      <c r="D1480" s="54" t="s">
        <v>8922</v>
      </c>
      <c r="E1480" s="50">
        <f t="shared" si="50"/>
        <v>20.219178079999999</v>
      </c>
      <c r="F1480" s="51">
        <f t="shared" si="50"/>
        <v>4.3402171999999997</v>
      </c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</row>
    <row r="1481" spans="1:28" x14ac:dyDescent="0.15">
      <c r="A1481" s="46" t="s">
        <v>3013</v>
      </c>
      <c r="B1481" s="52" t="s">
        <v>7361</v>
      </c>
      <c r="C1481" s="53" t="s">
        <v>3014</v>
      </c>
      <c r="D1481" s="54" t="s">
        <v>8923</v>
      </c>
      <c r="E1481" s="50">
        <f t="shared" si="50"/>
        <v>20.232876709999999</v>
      </c>
      <c r="F1481" s="51">
        <f t="shared" si="50"/>
        <v>4.3402709399999999</v>
      </c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</row>
    <row r="1482" spans="1:28" x14ac:dyDescent="0.15">
      <c r="A1482" s="46" t="s">
        <v>3015</v>
      </c>
      <c r="B1482" s="52" t="s">
        <v>7361</v>
      </c>
      <c r="C1482" s="53" t="s">
        <v>3016</v>
      </c>
      <c r="D1482" s="54" t="s">
        <v>8924</v>
      </c>
      <c r="E1482" s="50">
        <f t="shared" si="50"/>
        <v>20.24657534</v>
      </c>
      <c r="F1482" s="51">
        <f t="shared" si="50"/>
        <v>4.3403261400000002</v>
      </c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</row>
    <row r="1483" spans="1:28" x14ac:dyDescent="0.15">
      <c r="A1483" s="46" t="s">
        <v>3017</v>
      </c>
      <c r="B1483" s="52" t="s">
        <v>7361</v>
      </c>
      <c r="C1483" s="53" t="s">
        <v>3018</v>
      </c>
      <c r="D1483" s="54" t="s">
        <v>8925</v>
      </c>
      <c r="E1483" s="50">
        <f t="shared" si="50"/>
        <v>20.26027397</v>
      </c>
      <c r="F1483" s="51">
        <f t="shared" si="50"/>
        <v>4.3403825899999999</v>
      </c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</row>
    <row r="1484" spans="1:28" x14ac:dyDescent="0.15">
      <c r="A1484" s="46" t="s">
        <v>3019</v>
      </c>
      <c r="B1484" s="52" t="s">
        <v>7361</v>
      </c>
      <c r="C1484" s="53" t="s">
        <v>3020</v>
      </c>
      <c r="D1484" s="54" t="s">
        <v>8926</v>
      </c>
      <c r="E1484" s="50">
        <f t="shared" si="50"/>
        <v>20.2739726</v>
      </c>
      <c r="F1484" s="51">
        <f t="shared" si="50"/>
        <v>4.3404400900000004</v>
      </c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</row>
    <row r="1485" spans="1:28" x14ac:dyDescent="0.15">
      <c r="A1485" s="46" t="s">
        <v>3021</v>
      </c>
      <c r="B1485" s="52" t="s">
        <v>7361</v>
      </c>
      <c r="C1485" s="53" t="s">
        <v>3022</v>
      </c>
      <c r="D1485" s="54" t="s">
        <v>8927</v>
      </c>
      <c r="E1485" s="50">
        <f t="shared" si="50"/>
        <v>20.287671230000001</v>
      </c>
      <c r="F1485" s="51">
        <f t="shared" si="50"/>
        <v>4.3404984500000001</v>
      </c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</row>
    <row r="1486" spans="1:28" x14ac:dyDescent="0.15">
      <c r="A1486" s="46" t="s">
        <v>3023</v>
      </c>
      <c r="B1486" s="52" t="s">
        <v>7361</v>
      </c>
      <c r="C1486" s="53" t="s">
        <v>3024</v>
      </c>
      <c r="D1486" s="54" t="s">
        <v>8928</v>
      </c>
      <c r="E1486" s="50">
        <f t="shared" si="50"/>
        <v>20.301369860000001</v>
      </c>
      <c r="F1486" s="51">
        <f t="shared" si="50"/>
        <v>4.3405574700000003</v>
      </c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</row>
    <row r="1487" spans="1:28" x14ac:dyDescent="0.15">
      <c r="A1487" s="46" t="s">
        <v>3025</v>
      </c>
      <c r="B1487" s="52" t="s">
        <v>7361</v>
      </c>
      <c r="C1487" s="53" t="s">
        <v>3026</v>
      </c>
      <c r="D1487" s="54" t="s">
        <v>8929</v>
      </c>
      <c r="E1487" s="50">
        <f t="shared" si="50"/>
        <v>20.315068490000002</v>
      </c>
      <c r="F1487" s="51">
        <f t="shared" si="50"/>
        <v>4.3406169500000003</v>
      </c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</row>
    <row r="1488" spans="1:28" x14ac:dyDescent="0.15">
      <c r="A1488" s="46" t="s">
        <v>3027</v>
      </c>
      <c r="B1488" s="52" t="s">
        <v>7361</v>
      </c>
      <c r="C1488" s="53" t="s">
        <v>3028</v>
      </c>
      <c r="D1488" s="54" t="s">
        <v>8930</v>
      </c>
      <c r="E1488" s="50">
        <f t="shared" si="50"/>
        <v>20.328767119999998</v>
      </c>
      <c r="F1488" s="51">
        <f t="shared" si="50"/>
        <v>4.3406767000000004</v>
      </c>
      <c r="H1488" s="33"/>
      <c r="I1488" s="33"/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</row>
    <row r="1489" spans="1:28" x14ac:dyDescent="0.15">
      <c r="A1489" s="46" t="s">
        <v>3029</v>
      </c>
      <c r="B1489" s="52" t="s">
        <v>7361</v>
      </c>
      <c r="C1489" s="53" t="s">
        <v>3030</v>
      </c>
      <c r="D1489" s="54" t="s">
        <v>8931</v>
      </c>
      <c r="E1489" s="50">
        <f t="shared" si="50"/>
        <v>20.342465749999999</v>
      </c>
      <c r="F1489" s="51">
        <f t="shared" si="50"/>
        <v>4.3407365100000002</v>
      </c>
      <c r="H1489" s="33"/>
      <c r="I1489" s="33"/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</row>
    <row r="1490" spans="1:28" x14ac:dyDescent="0.15">
      <c r="A1490" s="46" t="s">
        <v>3031</v>
      </c>
      <c r="B1490" s="52" t="s">
        <v>7361</v>
      </c>
      <c r="C1490" s="53" t="s">
        <v>3032</v>
      </c>
      <c r="D1490" s="54" t="s">
        <v>8932</v>
      </c>
      <c r="E1490" s="50">
        <f t="shared" si="50"/>
        <v>20.356164379999999</v>
      </c>
      <c r="F1490" s="51">
        <f t="shared" si="50"/>
        <v>4.3407961899999998</v>
      </c>
      <c r="H1490" s="33"/>
      <c r="I1490" s="33"/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</row>
    <row r="1491" spans="1:28" x14ac:dyDescent="0.15">
      <c r="A1491" s="46" t="s">
        <v>3033</v>
      </c>
      <c r="B1491" s="52" t="s">
        <v>7361</v>
      </c>
      <c r="C1491" s="53" t="s">
        <v>3034</v>
      </c>
      <c r="D1491" s="54" t="s">
        <v>8933</v>
      </c>
      <c r="E1491" s="50">
        <f t="shared" si="50"/>
        <v>20.36986301</v>
      </c>
      <c r="F1491" s="51">
        <f t="shared" si="50"/>
        <v>4.3408555399999997</v>
      </c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</row>
    <row r="1492" spans="1:28" x14ac:dyDescent="0.15">
      <c r="A1492" s="46" t="s">
        <v>3035</v>
      </c>
      <c r="B1492" s="52" t="s">
        <v>7361</v>
      </c>
      <c r="C1492" s="53" t="s">
        <v>3036</v>
      </c>
      <c r="D1492" s="54" t="s">
        <v>8934</v>
      </c>
      <c r="E1492" s="50">
        <f t="shared" ref="E1492:F1522" si="51">VALUE(C1492)</f>
        <v>20.38356164</v>
      </c>
      <c r="F1492" s="51">
        <f t="shared" si="51"/>
        <v>4.3409143600000002</v>
      </c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</row>
    <row r="1493" spans="1:28" x14ac:dyDescent="0.15">
      <c r="A1493" s="46" t="s">
        <v>3037</v>
      </c>
      <c r="B1493" s="52" t="s">
        <v>7361</v>
      </c>
      <c r="C1493" s="53" t="s">
        <v>3038</v>
      </c>
      <c r="D1493" s="54" t="s">
        <v>8935</v>
      </c>
      <c r="E1493" s="50">
        <f t="shared" si="51"/>
        <v>20.39726027</v>
      </c>
      <c r="F1493" s="51">
        <f t="shared" si="51"/>
        <v>4.3409724499999998</v>
      </c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</row>
    <row r="1494" spans="1:28" x14ac:dyDescent="0.15">
      <c r="A1494" s="46" t="s">
        <v>3039</v>
      </c>
      <c r="B1494" s="52" t="s">
        <v>7361</v>
      </c>
      <c r="C1494" s="53" t="s">
        <v>3040</v>
      </c>
      <c r="D1494" s="54" t="s">
        <v>8936</v>
      </c>
      <c r="E1494" s="50">
        <f t="shared" si="51"/>
        <v>20.410958900000001</v>
      </c>
      <c r="F1494" s="51">
        <f t="shared" si="51"/>
        <v>4.3410296300000004</v>
      </c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</row>
    <row r="1495" spans="1:28" x14ac:dyDescent="0.15">
      <c r="A1495" s="46" t="s">
        <v>3041</v>
      </c>
      <c r="B1495" s="52" t="s">
        <v>7361</v>
      </c>
      <c r="C1495" s="53" t="s">
        <v>3042</v>
      </c>
      <c r="D1495" s="54" t="s">
        <v>8937</v>
      </c>
      <c r="E1495" s="50">
        <f t="shared" si="51"/>
        <v>20.424657530000001</v>
      </c>
      <c r="F1495" s="51">
        <f t="shared" si="51"/>
        <v>4.3410856799999999</v>
      </c>
      <c r="H1495" s="33"/>
      <c r="I1495" s="33"/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</row>
    <row r="1496" spans="1:28" x14ac:dyDescent="0.15">
      <c r="A1496" s="46" t="s">
        <v>3043</v>
      </c>
      <c r="B1496" s="52" t="s">
        <v>7361</v>
      </c>
      <c r="C1496" s="53" t="s">
        <v>3044</v>
      </c>
      <c r="D1496" s="54" t="s">
        <v>8938</v>
      </c>
      <c r="E1496" s="50">
        <f t="shared" si="51"/>
        <v>20.438356160000001</v>
      </c>
      <c r="F1496" s="51">
        <f t="shared" si="51"/>
        <v>4.3411404100000004</v>
      </c>
      <c r="H1496" s="33"/>
      <c r="I1496" s="33"/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</row>
    <row r="1497" spans="1:28" x14ac:dyDescent="0.15">
      <c r="A1497" s="46" t="s">
        <v>3045</v>
      </c>
      <c r="B1497" s="52" t="s">
        <v>7361</v>
      </c>
      <c r="C1497" s="53" t="s">
        <v>3046</v>
      </c>
      <c r="D1497" s="54" t="s">
        <v>8939</v>
      </c>
      <c r="E1497" s="50">
        <f t="shared" si="51"/>
        <v>20.452054789999998</v>
      </c>
      <c r="F1497" s="51">
        <f t="shared" si="51"/>
        <v>4.3411936300000002</v>
      </c>
      <c r="H1497" s="33"/>
      <c r="I1497" s="33"/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</row>
    <row r="1498" spans="1:28" x14ac:dyDescent="0.15">
      <c r="A1498" s="46" t="s">
        <v>3047</v>
      </c>
      <c r="B1498" s="52" t="s">
        <v>7361</v>
      </c>
      <c r="C1498" s="53" t="s">
        <v>3048</v>
      </c>
      <c r="D1498" s="54" t="s">
        <v>8940</v>
      </c>
      <c r="E1498" s="50">
        <f t="shared" si="51"/>
        <v>20.465753419999999</v>
      </c>
      <c r="F1498" s="51">
        <f t="shared" si="51"/>
        <v>4.3412451299999999</v>
      </c>
      <c r="H1498" s="33"/>
      <c r="I1498" s="33"/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</row>
    <row r="1499" spans="1:28" x14ac:dyDescent="0.15">
      <c r="A1499" s="46" t="s">
        <v>3049</v>
      </c>
      <c r="B1499" s="52" t="s">
        <v>7361</v>
      </c>
      <c r="C1499" s="53" t="s">
        <v>3050</v>
      </c>
      <c r="D1499" s="54" t="s">
        <v>8941</v>
      </c>
      <c r="E1499" s="50">
        <f t="shared" si="51"/>
        <v>20.479452049999999</v>
      </c>
      <c r="F1499" s="51">
        <f t="shared" si="51"/>
        <v>4.3412947199999996</v>
      </c>
      <c r="H1499" s="33"/>
      <c r="I1499" s="33"/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</row>
    <row r="1500" spans="1:28" x14ac:dyDescent="0.15">
      <c r="A1500" s="46" t="s">
        <v>3051</v>
      </c>
      <c r="B1500" s="52" t="s">
        <v>7361</v>
      </c>
      <c r="C1500" s="53" t="s">
        <v>3052</v>
      </c>
      <c r="D1500" s="54" t="s">
        <v>8942</v>
      </c>
      <c r="E1500" s="50">
        <f t="shared" si="51"/>
        <v>20.493150679999999</v>
      </c>
      <c r="F1500" s="51">
        <f t="shared" si="51"/>
        <v>4.3413421999999997</v>
      </c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</row>
    <row r="1501" spans="1:28" x14ac:dyDescent="0.15">
      <c r="A1501" s="46" t="s">
        <v>3053</v>
      </c>
      <c r="B1501" s="52" t="s">
        <v>7361</v>
      </c>
      <c r="C1501" s="53" t="s">
        <v>3054</v>
      </c>
      <c r="D1501" s="54" t="s">
        <v>8943</v>
      </c>
      <c r="E1501" s="50">
        <f t="shared" si="51"/>
        <v>20.506849320000001</v>
      </c>
      <c r="F1501" s="51">
        <f t="shared" si="51"/>
        <v>4.3413885099999998</v>
      </c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</row>
    <row r="1502" spans="1:28" x14ac:dyDescent="0.15">
      <c r="A1502" s="46" t="s">
        <v>3055</v>
      </c>
      <c r="B1502" s="52" t="s">
        <v>7361</v>
      </c>
      <c r="C1502" s="53" t="s">
        <v>3056</v>
      </c>
      <c r="D1502" s="54" t="s">
        <v>8944</v>
      </c>
      <c r="E1502" s="50">
        <f t="shared" si="51"/>
        <v>20.520547950000001</v>
      </c>
      <c r="F1502" s="51">
        <f t="shared" si="51"/>
        <v>4.3414401900000001</v>
      </c>
      <c r="H1502" s="33"/>
      <c r="I1502" s="33"/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</row>
    <row r="1503" spans="1:28" x14ac:dyDescent="0.15">
      <c r="A1503" s="46" t="s">
        <v>3057</v>
      </c>
      <c r="B1503" s="52" t="s">
        <v>7361</v>
      </c>
      <c r="C1503" s="53" t="s">
        <v>3058</v>
      </c>
      <c r="D1503" s="54" t="s">
        <v>8945</v>
      </c>
      <c r="E1503" s="50">
        <f t="shared" si="51"/>
        <v>20.534246580000001</v>
      </c>
      <c r="F1503" s="51">
        <f t="shared" si="51"/>
        <v>4.3414980999999999</v>
      </c>
      <c r="H1503" s="33"/>
      <c r="I1503" s="33"/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</row>
    <row r="1504" spans="1:28" x14ac:dyDescent="0.15">
      <c r="A1504" s="46" t="s">
        <v>3059</v>
      </c>
      <c r="B1504" s="52" t="s">
        <v>7361</v>
      </c>
      <c r="C1504" s="53" t="s">
        <v>3060</v>
      </c>
      <c r="D1504" s="54" t="s">
        <v>8946</v>
      </c>
      <c r="E1504" s="50">
        <f t="shared" si="51"/>
        <v>20.547945210000002</v>
      </c>
      <c r="F1504" s="51">
        <f t="shared" si="51"/>
        <v>4.3415619799999998</v>
      </c>
      <c r="H1504" s="33"/>
      <c r="I1504" s="33"/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</row>
    <row r="1505" spans="1:28" x14ac:dyDescent="0.15">
      <c r="A1505" s="46" t="s">
        <v>3061</v>
      </c>
      <c r="B1505" s="52" t="s">
        <v>7361</v>
      </c>
      <c r="C1505" s="53" t="s">
        <v>3062</v>
      </c>
      <c r="D1505" s="54" t="s">
        <v>8947</v>
      </c>
      <c r="E1505" s="50">
        <f t="shared" si="51"/>
        <v>20.561643839999999</v>
      </c>
      <c r="F1505" s="51">
        <f t="shared" si="51"/>
        <v>4.3416315499999998</v>
      </c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</row>
    <row r="1506" spans="1:28" x14ac:dyDescent="0.15">
      <c r="A1506" s="46" t="s">
        <v>3063</v>
      </c>
      <c r="B1506" s="52" t="s">
        <v>7361</v>
      </c>
      <c r="C1506" s="53" t="s">
        <v>3064</v>
      </c>
      <c r="D1506" s="54" t="s">
        <v>8948</v>
      </c>
      <c r="E1506" s="50">
        <f t="shared" si="51"/>
        <v>20.575342469999999</v>
      </c>
      <c r="F1506" s="51">
        <f t="shared" si="51"/>
        <v>4.3417065399999997</v>
      </c>
      <c r="H1506" s="33"/>
      <c r="I1506" s="33"/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</row>
    <row r="1507" spans="1:28" x14ac:dyDescent="0.15">
      <c r="A1507" s="46" t="s">
        <v>3065</v>
      </c>
      <c r="B1507" s="52" t="s">
        <v>7361</v>
      </c>
      <c r="C1507" s="53" t="s">
        <v>3066</v>
      </c>
      <c r="D1507" s="54" t="s">
        <v>8949</v>
      </c>
      <c r="E1507" s="50">
        <f t="shared" si="51"/>
        <v>20.589041099999999</v>
      </c>
      <c r="F1507" s="51">
        <f t="shared" si="51"/>
        <v>4.3417866800000002</v>
      </c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</row>
    <row r="1508" spans="1:28" x14ac:dyDescent="0.15">
      <c r="A1508" s="46" t="s">
        <v>3067</v>
      </c>
      <c r="B1508" s="52" t="s">
        <v>7361</v>
      </c>
      <c r="C1508" s="53" t="s">
        <v>3068</v>
      </c>
      <c r="D1508" s="54" t="s">
        <v>8950</v>
      </c>
      <c r="E1508" s="50">
        <f t="shared" si="51"/>
        <v>20.60273973</v>
      </c>
      <c r="F1508" s="51">
        <f t="shared" si="51"/>
        <v>4.3418716799999997</v>
      </c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</row>
    <row r="1509" spans="1:28" x14ac:dyDescent="0.15">
      <c r="A1509" s="46" t="s">
        <v>3069</v>
      </c>
      <c r="B1509" s="52" t="s">
        <v>7361</v>
      </c>
      <c r="C1509" s="53" t="s">
        <v>3070</v>
      </c>
      <c r="D1509" s="54" t="s">
        <v>8951</v>
      </c>
      <c r="E1509" s="50">
        <f t="shared" si="51"/>
        <v>20.61643836</v>
      </c>
      <c r="F1509" s="51">
        <f t="shared" si="51"/>
        <v>4.3419612900000004</v>
      </c>
      <c r="H1509" s="33"/>
      <c r="I1509" s="33"/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</row>
    <row r="1510" spans="1:28" x14ac:dyDescent="0.15">
      <c r="A1510" s="46" t="s">
        <v>3071</v>
      </c>
      <c r="B1510" s="52" t="s">
        <v>7361</v>
      </c>
      <c r="C1510" s="53" t="s">
        <v>3072</v>
      </c>
      <c r="D1510" s="54" t="s">
        <v>8952</v>
      </c>
      <c r="E1510" s="50">
        <f t="shared" si="51"/>
        <v>20.63013699</v>
      </c>
      <c r="F1510" s="51">
        <f t="shared" si="51"/>
        <v>4.3420552199999998</v>
      </c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</row>
    <row r="1511" spans="1:28" x14ac:dyDescent="0.15">
      <c r="A1511" s="46" t="s">
        <v>3073</v>
      </c>
      <c r="B1511" s="52" t="s">
        <v>7361</v>
      </c>
      <c r="C1511" s="53" t="s">
        <v>3074</v>
      </c>
      <c r="D1511" s="54" t="s">
        <v>8953</v>
      </c>
      <c r="E1511" s="50">
        <f t="shared" si="51"/>
        <v>20.643835620000001</v>
      </c>
      <c r="F1511" s="51">
        <f t="shared" si="51"/>
        <v>4.3421532000000003</v>
      </c>
      <c r="H1511" s="33"/>
      <c r="I1511" s="33"/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</row>
    <row r="1512" spans="1:28" x14ac:dyDescent="0.15">
      <c r="A1512" s="46" t="s">
        <v>3075</v>
      </c>
      <c r="B1512" s="52" t="s">
        <v>7361</v>
      </c>
      <c r="C1512" s="53" t="s">
        <v>3076</v>
      </c>
      <c r="D1512" s="54" t="s">
        <v>8954</v>
      </c>
      <c r="E1512" s="50">
        <f t="shared" si="51"/>
        <v>20.657534250000001</v>
      </c>
      <c r="F1512" s="51">
        <f t="shared" si="51"/>
        <v>4.34225496</v>
      </c>
      <c r="H1512" s="33"/>
      <c r="I1512" s="33"/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</row>
    <row r="1513" spans="1:28" x14ac:dyDescent="0.15">
      <c r="A1513" s="46" t="s">
        <v>3077</v>
      </c>
      <c r="B1513" s="52" t="s">
        <v>7361</v>
      </c>
      <c r="C1513" s="53" t="s">
        <v>3078</v>
      </c>
      <c r="D1513" s="54" t="s">
        <v>8955</v>
      </c>
      <c r="E1513" s="50">
        <f t="shared" si="51"/>
        <v>20.671232880000002</v>
      </c>
      <c r="F1513" s="51">
        <f t="shared" si="51"/>
        <v>4.3423602199999998</v>
      </c>
      <c r="H1513" s="33"/>
      <c r="I1513" s="33"/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</row>
    <row r="1514" spans="1:28" x14ac:dyDescent="0.15">
      <c r="A1514" s="46" t="s">
        <v>3079</v>
      </c>
      <c r="B1514" s="52" t="s">
        <v>7361</v>
      </c>
      <c r="C1514" s="53" t="s">
        <v>3080</v>
      </c>
      <c r="D1514" s="54" t="s">
        <v>8956</v>
      </c>
      <c r="E1514" s="50">
        <f t="shared" si="51"/>
        <v>20.684931509999998</v>
      </c>
      <c r="F1514" s="51">
        <f t="shared" si="51"/>
        <v>4.3424687200000003</v>
      </c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</row>
    <row r="1515" spans="1:28" x14ac:dyDescent="0.15">
      <c r="A1515" s="46" t="s">
        <v>3081</v>
      </c>
      <c r="B1515" s="52" t="s">
        <v>7361</v>
      </c>
      <c r="C1515" s="53" t="s">
        <v>3082</v>
      </c>
      <c r="D1515" s="54" t="s">
        <v>8957</v>
      </c>
      <c r="E1515" s="50">
        <f t="shared" si="51"/>
        <v>20.698630139999999</v>
      </c>
      <c r="F1515" s="51">
        <f t="shared" si="51"/>
        <v>4.3425801799999997</v>
      </c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</row>
    <row r="1516" spans="1:28" x14ac:dyDescent="0.15">
      <c r="A1516" s="46" t="s">
        <v>3083</v>
      </c>
      <c r="B1516" s="52" t="s">
        <v>7361</v>
      </c>
      <c r="C1516" s="53" t="s">
        <v>3084</v>
      </c>
      <c r="D1516" s="54" t="s">
        <v>8958</v>
      </c>
      <c r="E1516" s="50">
        <f t="shared" si="51"/>
        <v>20.712328769999999</v>
      </c>
      <c r="F1516" s="51">
        <f t="shared" si="51"/>
        <v>4.3426943199999997</v>
      </c>
      <c r="H1516" s="33"/>
      <c r="I1516" s="33"/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</row>
    <row r="1517" spans="1:28" x14ac:dyDescent="0.15">
      <c r="A1517" s="46" t="s">
        <v>3085</v>
      </c>
      <c r="B1517" s="52" t="s">
        <v>7361</v>
      </c>
      <c r="C1517" s="53" t="s">
        <v>3086</v>
      </c>
      <c r="D1517" s="54" t="s">
        <v>8959</v>
      </c>
      <c r="E1517" s="50">
        <f t="shared" si="51"/>
        <v>20.7260274</v>
      </c>
      <c r="F1517" s="51">
        <f t="shared" si="51"/>
        <v>4.34281088</v>
      </c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</row>
    <row r="1518" spans="1:28" x14ac:dyDescent="0.15">
      <c r="A1518" s="46" t="s">
        <v>3087</v>
      </c>
      <c r="B1518" s="52" t="s">
        <v>7361</v>
      </c>
      <c r="C1518" s="53" t="s">
        <v>3088</v>
      </c>
      <c r="D1518" s="54" t="s">
        <v>8960</v>
      </c>
      <c r="E1518" s="50">
        <f t="shared" si="51"/>
        <v>20.73972603</v>
      </c>
      <c r="F1518" s="51">
        <f t="shared" si="51"/>
        <v>4.3429295699999999</v>
      </c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</row>
    <row r="1519" spans="1:28" x14ac:dyDescent="0.15">
      <c r="A1519" s="46" t="s">
        <v>3089</v>
      </c>
      <c r="B1519" s="52" t="s">
        <v>7361</v>
      </c>
      <c r="C1519" s="53" t="s">
        <v>3090</v>
      </c>
      <c r="D1519" s="54" t="s">
        <v>8961</v>
      </c>
      <c r="E1519" s="50">
        <f t="shared" si="51"/>
        <v>20.75342466</v>
      </c>
      <c r="F1519" s="51">
        <f t="shared" si="51"/>
        <v>4.34305013</v>
      </c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</row>
    <row r="1520" spans="1:28" x14ac:dyDescent="0.15">
      <c r="A1520" s="46" t="s">
        <v>3091</v>
      </c>
      <c r="B1520" s="52" t="s">
        <v>7361</v>
      </c>
      <c r="C1520" s="53" t="s">
        <v>3092</v>
      </c>
      <c r="D1520" s="54" t="s">
        <v>8962</v>
      </c>
      <c r="E1520" s="50">
        <f t="shared" si="51"/>
        <v>20.767123290000001</v>
      </c>
      <c r="F1520" s="51">
        <f t="shared" si="51"/>
        <v>4.34317229</v>
      </c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</row>
    <row r="1521" spans="1:28" x14ac:dyDescent="0.15">
      <c r="A1521" s="46" t="s">
        <v>3093</v>
      </c>
      <c r="B1521" s="52" t="s">
        <v>7361</v>
      </c>
      <c r="C1521" s="53" t="s">
        <v>3094</v>
      </c>
      <c r="D1521" s="54" t="s">
        <v>8963</v>
      </c>
      <c r="E1521" s="50">
        <f t="shared" si="51"/>
        <v>20.780821920000001</v>
      </c>
      <c r="F1521" s="51">
        <f t="shared" si="51"/>
        <v>4.3432957700000001</v>
      </c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</row>
    <row r="1522" spans="1:28" x14ac:dyDescent="0.15">
      <c r="A1522" s="46" t="s">
        <v>3095</v>
      </c>
      <c r="B1522" s="52" t="s">
        <v>7361</v>
      </c>
      <c r="C1522" s="53" t="s">
        <v>3096</v>
      </c>
      <c r="D1522" s="54" t="s">
        <v>8964</v>
      </c>
      <c r="E1522" s="50">
        <f t="shared" si="51"/>
        <v>20.794520550000001</v>
      </c>
      <c r="F1522" s="51">
        <f t="shared" si="51"/>
        <v>4.3434202900000001</v>
      </c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</row>
    <row r="1523" spans="1:28" x14ac:dyDescent="0.15">
      <c r="A1523" s="46" t="s">
        <v>3097</v>
      </c>
      <c r="B1523" s="52" t="s">
        <v>7361</v>
      </c>
      <c r="C1523" s="53" t="s">
        <v>3098</v>
      </c>
      <c r="D1523" s="54" t="s">
        <v>8965</v>
      </c>
      <c r="E1523" s="50">
        <f t="shared" ref="E1523:F1552" si="52">VALUE(C1523)</f>
        <v>20.808219179999998</v>
      </c>
      <c r="F1523" s="51">
        <f t="shared" si="52"/>
        <v>4.3435455899999997</v>
      </c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</row>
    <row r="1524" spans="1:28" x14ac:dyDescent="0.15">
      <c r="A1524" s="46" t="s">
        <v>3099</v>
      </c>
      <c r="B1524" s="52" t="s">
        <v>7361</v>
      </c>
      <c r="C1524" s="53" t="s">
        <v>3100</v>
      </c>
      <c r="D1524" s="54" t="s">
        <v>8966</v>
      </c>
      <c r="E1524" s="50">
        <f t="shared" si="52"/>
        <v>20.821917809999999</v>
      </c>
      <c r="F1524" s="51">
        <f t="shared" si="52"/>
        <v>4.34367138</v>
      </c>
      <c r="H1524" s="33"/>
      <c r="I1524" s="33"/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</row>
    <row r="1525" spans="1:28" x14ac:dyDescent="0.15">
      <c r="A1525" s="46" t="s">
        <v>3101</v>
      </c>
      <c r="B1525" s="52" t="s">
        <v>7361</v>
      </c>
      <c r="C1525" s="53" t="s">
        <v>3102</v>
      </c>
      <c r="D1525" s="54" t="s">
        <v>8967</v>
      </c>
      <c r="E1525" s="50">
        <f t="shared" si="52"/>
        <v>20.835616439999999</v>
      </c>
      <c r="F1525" s="51">
        <f t="shared" si="52"/>
        <v>4.3437974099999996</v>
      </c>
      <c r="H1525" s="33"/>
      <c r="I1525" s="33"/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</row>
    <row r="1526" spans="1:28" x14ac:dyDescent="0.15">
      <c r="A1526" s="46" t="s">
        <v>3103</v>
      </c>
      <c r="B1526" s="52" t="s">
        <v>7361</v>
      </c>
      <c r="C1526" s="53" t="s">
        <v>3104</v>
      </c>
      <c r="D1526" s="54" t="s">
        <v>8968</v>
      </c>
      <c r="E1526" s="50">
        <f t="shared" si="52"/>
        <v>20.849315069999999</v>
      </c>
      <c r="F1526" s="51">
        <f t="shared" si="52"/>
        <v>4.3439233899999996</v>
      </c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</row>
    <row r="1527" spans="1:28" x14ac:dyDescent="0.15">
      <c r="A1527" s="46" t="s">
        <v>3105</v>
      </c>
      <c r="B1527" s="52" t="s">
        <v>7361</v>
      </c>
      <c r="C1527" s="53" t="s">
        <v>3106</v>
      </c>
      <c r="D1527" s="54" t="s">
        <v>8969</v>
      </c>
      <c r="E1527" s="50">
        <f t="shared" si="52"/>
        <v>20.8630137</v>
      </c>
      <c r="F1527" s="51">
        <f t="shared" si="52"/>
        <v>4.3440490499999997</v>
      </c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</row>
    <row r="1528" spans="1:28" x14ac:dyDescent="0.15">
      <c r="A1528" s="46" t="s">
        <v>3107</v>
      </c>
      <c r="B1528" s="52" t="s">
        <v>7361</v>
      </c>
      <c r="C1528" s="53" t="s">
        <v>3108</v>
      </c>
      <c r="D1528" s="54" t="s">
        <v>8970</v>
      </c>
      <c r="E1528" s="50">
        <f t="shared" si="52"/>
        <v>20.87671233</v>
      </c>
      <c r="F1528" s="51">
        <f t="shared" si="52"/>
        <v>4.3441741199999999</v>
      </c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</row>
    <row r="1529" spans="1:28" x14ac:dyDescent="0.15">
      <c r="A1529" s="46" t="s">
        <v>3109</v>
      </c>
      <c r="B1529" s="52" t="s">
        <v>7361</v>
      </c>
      <c r="C1529" s="53" t="s">
        <v>3110</v>
      </c>
      <c r="D1529" s="54" t="s">
        <v>8971</v>
      </c>
      <c r="E1529" s="50">
        <f t="shared" si="52"/>
        <v>20.890410960000001</v>
      </c>
      <c r="F1529" s="51">
        <f t="shared" si="52"/>
        <v>4.34429832</v>
      </c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</row>
    <row r="1530" spans="1:28" x14ac:dyDescent="0.15">
      <c r="A1530" s="46" t="s">
        <v>3111</v>
      </c>
      <c r="B1530" s="52" t="s">
        <v>7361</v>
      </c>
      <c r="C1530" s="53" t="s">
        <v>3112</v>
      </c>
      <c r="D1530" s="54" t="s">
        <v>8972</v>
      </c>
      <c r="E1530" s="50">
        <f t="shared" si="52"/>
        <v>20.904109590000001</v>
      </c>
      <c r="F1530" s="51">
        <f t="shared" si="52"/>
        <v>4.3444213899999999</v>
      </c>
      <c r="H1530" s="33"/>
      <c r="I1530" s="33"/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</row>
    <row r="1531" spans="1:28" x14ac:dyDescent="0.15">
      <c r="A1531" s="46" t="s">
        <v>3113</v>
      </c>
      <c r="B1531" s="52" t="s">
        <v>7361</v>
      </c>
      <c r="C1531" s="53" t="s">
        <v>3114</v>
      </c>
      <c r="D1531" s="54" t="s">
        <v>8973</v>
      </c>
      <c r="E1531" s="50">
        <f t="shared" si="52"/>
        <v>20.917808220000001</v>
      </c>
      <c r="F1531" s="51">
        <f t="shared" si="52"/>
        <v>4.3445430500000004</v>
      </c>
      <c r="H1531" s="33"/>
      <c r="I1531" s="33"/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</row>
    <row r="1532" spans="1:28" x14ac:dyDescent="0.15">
      <c r="A1532" s="46" t="s">
        <v>3115</v>
      </c>
      <c r="B1532" s="52" t="s">
        <v>7361</v>
      </c>
      <c r="C1532" s="53" t="s">
        <v>3116</v>
      </c>
      <c r="D1532" s="54" t="s">
        <v>8974</v>
      </c>
      <c r="E1532" s="50">
        <f t="shared" si="52"/>
        <v>20.931506850000002</v>
      </c>
      <c r="F1532" s="51">
        <f t="shared" si="52"/>
        <v>4.3446630199999996</v>
      </c>
      <c r="H1532" s="33"/>
      <c r="I1532" s="33"/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</row>
    <row r="1533" spans="1:28" x14ac:dyDescent="0.15">
      <c r="A1533" s="46" t="s">
        <v>3117</v>
      </c>
      <c r="B1533" s="52" t="s">
        <v>7361</v>
      </c>
      <c r="C1533" s="53" t="s">
        <v>3118</v>
      </c>
      <c r="D1533" s="54" t="s">
        <v>8975</v>
      </c>
      <c r="E1533" s="50">
        <f t="shared" si="52"/>
        <v>20.945205479999998</v>
      </c>
      <c r="F1533" s="51">
        <f t="shared" si="52"/>
        <v>4.34478103</v>
      </c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</row>
    <row r="1534" spans="1:28" x14ac:dyDescent="0.15">
      <c r="A1534" s="46" t="s">
        <v>3119</v>
      </c>
      <c r="B1534" s="52" t="s">
        <v>7361</v>
      </c>
      <c r="C1534" s="53" t="s">
        <v>3120</v>
      </c>
      <c r="D1534" s="54" t="s">
        <v>8976</v>
      </c>
      <c r="E1534" s="50">
        <f t="shared" si="52"/>
        <v>20.958904109999999</v>
      </c>
      <c r="F1534" s="51">
        <f t="shared" si="52"/>
        <v>4.3448968099999998</v>
      </c>
      <c r="H1534" s="33"/>
      <c r="I1534" s="33"/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</row>
    <row r="1535" spans="1:28" x14ac:dyDescent="0.15">
      <c r="A1535" s="46" t="s">
        <v>3121</v>
      </c>
      <c r="B1535" s="52" t="s">
        <v>7361</v>
      </c>
      <c r="C1535" s="53" t="s">
        <v>3122</v>
      </c>
      <c r="D1535" s="54" t="s">
        <v>8977</v>
      </c>
      <c r="E1535" s="50">
        <f t="shared" si="52"/>
        <v>20.972602739999999</v>
      </c>
      <c r="F1535" s="51">
        <f t="shared" si="52"/>
        <v>4.3450100899999997</v>
      </c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</row>
    <row r="1536" spans="1:28" x14ac:dyDescent="0.15">
      <c r="A1536" s="46" t="s">
        <v>3123</v>
      </c>
      <c r="B1536" s="52" t="s">
        <v>7361</v>
      </c>
      <c r="C1536" s="53" t="s">
        <v>3124</v>
      </c>
      <c r="D1536" s="54" t="s">
        <v>8978</v>
      </c>
      <c r="E1536" s="50">
        <f t="shared" si="52"/>
        <v>20.98630137</v>
      </c>
      <c r="F1536" s="51">
        <f t="shared" si="52"/>
        <v>4.3451205899999996</v>
      </c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</row>
    <row r="1537" spans="1:28" x14ac:dyDescent="0.15">
      <c r="A1537" s="46" t="s">
        <v>3125</v>
      </c>
      <c r="B1537" s="52" t="s">
        <v>7361</v>
      </c>
      <c r="C1537" s="53" t="s">
        <v>3126</v>
      </c>
      <c r="D1537" s="54" t="s">
        <v>8979</v>
      </c>
      <c r="E1537" s="50">
        <f t="shared" si="52"/>
        <v>21</v>
      </c>
      <c r="F1537" s="51">
        <f t="shared" si="52"/>
        <v>4.3452280400000003</v>
      </c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</row>
    <row r="1538" spans="1:28" x14ac:dyDescent="0.15">
      <c r="A1538" s="46" t="s">
        <v>3127</v>
      </c>
      <c r="B1538" s="52" t="s">
        <v>7361</v>
      </c>
      <c r="C1538" s="53" t="s">
        <v>3128</v>
      </c>
      <c r="D1538" s="54" t="s">
        <v>8980</v>
      </c>
      <c r="E1538" s="50">
        <f t="shared" si="52"/>
        <v>21.01369863</v>
      </c>
      <c r="F1538" s="51">
        <f t="shared" si="52"/>
        <v>4.3453369100000003</v>
      </c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</row>
    <row r="1539" spans="1:28" x14ac:dyDescent="0.15">
      <c r="A1539" s="46" t="s">
        <v>3129</v>
      </c>
      <c r="B1539" s="52" t="s">
        <v>7361</v>
      </c>
      <c r="C1539" s="53" t="s">
        <v>3130</v>
      </c>
      <c r="D1539" s="54" t="s">
        <v>8981</v>
      </c>
      <c r="E1539" s="50">
        <f t="shared" si="52"/>
        <v>21.027397260000001</v>
      </c>
      <c r="F1539" s="51">
        <f t="shared" si="52"/>
        <v>4.34545168</v>
      </c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</row>
    <row r="1540" spans="1:28" x14ac:dyDescent="0.15">
      <c r="A1540" s="46" t="s">
        <v>3131</v>
      </c>
      <c r="B1540" s="52" t="s">
        <v>7361</v>
      </c>
      <c r="C1540" s="53" t="s">
        <v>3132</v>
      </c>
      <c r="D1540" s="54" t="s">
        <v>8982</v>
      </c>
      <c r="E1540" s="50">
        <f t="shared" si="52"/>
        <v>21.041095890000001</v>
      </c>
      <c r="F1540" s="51">
        <f t="shared" si="52"/>
        <v>4.3455721</v>
      </c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</row>
    <row r="1541" spans="1:28" x14ac:dyDescent="0.15">
      <c r="A1541" s="46" t="s">
        <v>3133</v>
      </c>
      <c r="B1541" s="52" t="s">
        <v>7361</v>
      </c>
      <c r="C1541" s="53" t="s">
        <v>3134</v>
      </c>
      <c r="D1541" s="54" t="s">
        <v>8983</v>
      </c>
      <c r="E1541" s="50">
        <f t="shared" si="52"/>
        <v>21.054794520000002</v>
      </c>
      <c r="F1541" s="51">
        <f t="shared" si="52"/>
        <v>4.3456979200000001</v>
      </c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</row>
    <row r="1542" spans="1:28" x14ac:dyDescent="0.15">
      <c r="A1542" s="46" t="s">
        <v>3135</v>
      </c>
      <c r="B1542" s="52" t="s">
        <v>7361</v>
      </c>
      <c r="C1542" s="53" t="s">
        <v>3136</v>
      </c>
      <c r="D1542" s="54" t="s">
        <v>8984</v>
      </c>
      <c r="E1542" s="50">
        <f t="shared" si="52"/>
        <v>21.068493149999998</v>
      </c>
      <c r="F1542" s="51">
        <f t="shared" si="52"/>
        <v>4.34582888</v>
      </c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</row>
    <row r="1543" spans="1:28" x14ac:dyDescent="0.15">
      <c r="A1543" s="46" t="s">
        <v>3137</v>
      </c>
      <c r="B1543" s="52" t="s">
        <v>7361</v>
      </c>
      <c r="C1543" s="53" t="s">
        <v>3138</v>
      </c>
      <c r="D1543" s="54" t="s">
        <v>8985</v>
      </c>
      <c r="E1543" s="50">
        <f t="shared" si="52"/>
        <v>21.082191779999999</v>
      </c>
      <c r="F1543" s="51">
        <f t="shared" si="52"/>
        <v>4.3459647300000004</v>
      </c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</row>
    <row r="1544" spans="1:28" x14ac:dyDescent="0.15">
      <c r="A1544" s="46" t="s">
        <v>3139</v>
      </c>
      <c r="B1544" s="52" t="s">
        <v>7361</v>
      </c>
      <c r="C1544" s="53" t="s">
        <v>3140</v>
      </c>
      <c r="D1544" s="54" t="s">
        <v>8986</v>
      </c>
      <c r="E1544" s="50">
        <f t="shared" si="52"/>
        <v>21.095890409999999</v>
      </c>
      <c r="F1544" s="51">
        <f t="shared" si="52"/>
        <v>4.3461052100000002</v>
      </c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</row>
    <row r="1545" spans="1:28" x14ac:dyDescent="0.15">
      <c r="A1545" s="46" t="s">
        <v>3141</v>
      </c>
      <c r="B1545" s="52" t="s">
        <v>7361</v>
      </c>
      <c r="C1545" s="53" t="s">
        <v>3142</v>
      </c>
      <c r="D1545" s="54" t="s">
        <v>8987</v>
      </c>
      <c r="E1545" s="50">
        <f t="shared" si="52"/>
        <v>21.109589039999999</v>
      </c>
      <c r="F1545" s="51">
        <f t="shared" si="52"/>
        <v>4.3462500799999999</v>
      </c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</row>
    <row r="1546" spans="1:28" x14ac:dyDescent="0.15">
      <c r="A1546" s="46" t="s">
        <v>3143</v>
      </c>
      <c r="B1546" s="52" t="s">
        <v>7361</v>
      </c>
      <c r="C1546" s="53" t="s">
        <v>3144</v>
      </c>
      <c r="D1546" s="54" t="s">
        <v>8988</v>
      </c>
      <c r="E1546" s="50">
        <f t="shared" si="52"/>
        <v>21.12328767</v>
      </c>
      <c r="F1546" s="51">
        <f t="shared" si="52"/>
        <v>4.3463990800000003</v>
      </c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</row>
    <row r="1547" spans="1:28" x14ac:dyDescent="0.15">
      <c r="A1547" s="46" t="s">
        <v>3145</v>
      </c>
      <c r="B1547" s="52" t="s">
        <v>7361</v>
      </c>
      <c r="C1547" s="53" t="s">
        <v>3146</v>
      </c>
      <c r="D1547" s="54" t="s">
        <v>8989</v>
      </c>
      <c r="E1547" s="50">
        <f t="shared" si="52"/>
        <v>21.1369863</v>
      </c>
      <c r="F1547" s="51">
        <f t="shared" si="52"/>
        <v>4.3465519600000002</v>
      </c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</row>
    <row r="1548" spans="1:28" x14ac:dyDescent="0.15">
      <c r="A1548" s="46" t="s">
        <v>3147</v>
      </c>
      <c r="B1548" s="52" t="s">
        <v>7361</v>
      </c>
      <c r="C1548" s="53" t="s">
        <v>3148</v>
      </c>
      <c r="D1548" s="54" t="s">
        <v>8990</v>
      </c>
      <c r="E1548" s="50">
        <f t="shared" si="52"/>
        <v>21.150684930000001</v>
      </c>
      <c r="F1548" s="51">
        <f t="shared" si="52"/>
        <v>4.3467084700000003</v>
      </c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</row>
    <row r="1549" spans="1:28" x14ac:dyDescent="0.15">
      <c r="A1549" s="46" t="s">
        <v>3149</v>
      </c>
      <c r="B1549" s="52" t="s">
        <v>7361</v>
      </c>
      <c r="C1549" s="53" t="s">
        <v>3150</v>
      </c>
      <c r="D1549" s="54" t="s">
        <v>8991</v>
      </c>
      <c r="E1549" s="50">
        <f t="shared" si="52"/>
        <v>21.164383560000001</v>
      </c>
      <c r="F1549" s="51">
        <f t="shared" si="52"/>
        <v>4.3468683500000003</v>
      </c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</row>
    <row r="1550" spans="1:28" x14ac:dyDescent="0.15">
      <c r="A1550" s="46" t="s">
        <v>3151</v>
      </c>
      <c r="B1550" s="52" t="s">
        <v>7361</v>
      </c>
      <c r="C1550" s="53" t="s">
        <v>3152</v>
      </c>
      <c r="D1550" s="54" t="s">
        <v>8992</v>
      </c>
      <c r="E1550" s="50">
        <f t="shared" si="52"/>
        <v>21.178082190000001</v>
      </c>
      <c r="F1550" s="51">
        <f t="shared" si="52"/>
        <v>4.34703135</v>
      </c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</row>
    <row r="1551" spans="1:28" x14ac:dyDescent="0.15">
      <c r="A1551" s="46" t="s">
        <v>3153</v>
      </c>
      <c r="B1551" s="52" t="s">
        <v>7361</v>
      </c>
      <c r="C1551" s="53" t="s">
        <v>3154</v>
      </c>
      <c r="D1551" s="54" t="s">
        <v>8993</v>
      </c>
      <c r="E1551" s="50">
        <f t="shared" si="52"/>
        <v>21.191780820000002</v>
      </c>
      <c r="F1551" s="51">
        <f t="shared" si="52"/>
        <v>4.34719721</v>
      </c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</row>
    <row r="1552" spans="1:28" x14ac:dyDescent="0.15">
      <c r="A1552" s="46" t="s">
        <v>3155</v>
      </c>
      <c r="B1552" s="52" t="s">
        <v>7361</v>
      </c>
      <c r="C1552" s="53" t="s">
        <v>3156</v>
      </c>
      <c r="D1552" s="54" t="s">
        <v>8994</v>
      </c>
      <c r="E1552" s="50">
        <f t="shared" si="52"/>
        <v>21.205479449999999</v>
      </c>
      <c r="F1552" s="51">
        <f t="shared" si="52"/>
        <v>4.3473656900000002</v>
      </c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</row>
    <row r="1553" spans="1:28" x14ac:dyDescent="0.15">
      <c r="A1553" s="46" t="s">
        <v>3157</v>
      </c>
      <c r="B1553" s="52" t="s">
        <v>7361</v>
      </c>
      <c r="C1553" s="53" t="s">
        <v>3158</v>
      </c>
      <c r="D1553" s="54" t="s">
        <v>8995</v>
      </c>
      <c r="E1553" s="50">
        <f t="shared" ref="E1553:F1583" si="53">VALUE(C1553)</f>
        <v>21.219178079999999</v>
      </c>
      <c r="F1553" s="51">
        <f t="shared" si="53"/>
        <v>4.3475365300000002</v>
      </c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</row>
    <row r="1554" spans="1:28" x14ac:dyDescent="0.15">
      <c r="A1554" s="46" t="s">
        <v>3159</v>
      </c>
      <c r="B1554" s="52" t="s">
        <v>7361</v>
      </c>
      <c r="C1554" s="53" t="s">
        <v>3160</v>
      </c>
      <c r="D1554" s="54" t="s">
        <v>8996</v>
      </c>
      <c r="E1554" s="50">
        <f t="shared" si="53"/>
        <v>21.232876709999999</v>
      </c>
      <c r="F1554" s="51">
        <f t="shared" si="53"/>
        <v>4.3477094699999999</v>
      </c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</row>
    <row r="1555" spans="1:28" x14ac:dyDescent="0.15">
      <c r="A1555" s="46" t="s">
        <v>3161</v>
      </c>
      <c r="B1555" s="52" t="s">
        <v>7361</v>
      </c>
      <c r="C1555" s="53" t="s">
        <v>3162</v>
      </c>
      <c r="D1555" s="54" t="s">
        <v>8997</v>
      </c>
      <c r="E1555" s="50">
        <f t="shared" si="53"/>
        <v>21.24657534</v>
      </c>
      <c r="F1555" s="51">
        <f t="shared" si="53"/>
        <v>4.3478842699999998</v>
      </c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</row>
    <row r="1556" spans="1:28" x14ac:dyDescent="0.15">
      <c r="A1556" s="46" t="s">
        <v>3163</v>
      </c>
      <c r="B1556" s="52" t="s">
        <v>7361</v>
      </c>
      <c r="C1556" s="53" t="s">
        <v>3164</v>
      </c>
      <c r="D1556" s="54" t="s">
        <v>8998</v>
      </c>
      <c r="E1556" s="50">
        <f t="shared" si="53"/>
        <v>21.26027397</v>
      </c>
      <c r="F1556" s="51">
        <f t="shared" si="53"/>
        <v>4.3480606799999997</v>
      </c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</row>
    <row r="1557" spans="1:28" x14ac:dyDescent="0.15">
      <c r="A1557" s="46" t="s">
        <v>3165</v>
      </c>
      <c r="B1557" s="52" t="s">
        <v>7361</v>
      </c>
      <c r="C1557" s="53" t="s">
        <v>3166</v>
      </c>
      <c r="D1557" s="54" t="s">
        <v>8999</v>
      </c>
      <c r="E1557" s="50">
        <f t="shared" si="53"/>
        <v>21.2739726</v>
      </c>
      <c r="F1557" s="51">
        <f t="shared" si="53"/>
        <v>4.3482384300000003</v>
      </c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</row>
    <row r="1558" spans="1:28" x14ac:dyDescent="0.15">
      <c r="A1558" s="46" t="s">
        <v>3167</v>
      </c>
      <c r="B1558" s="52" t="s">
        <v>7361</v>
      </c>
      <c r="C1558" s="53" t="s">
        <v>3168</v>
      </c>
      <c r="D1558" s="54" t="s">
        <v>9000</v>
      </c>
      <c r="E1558" s="50">
        <f t="shared" si="53"/>
        <v>21.287671230000001</v>
      </c>
      <c r="F1558" s="51">
        <f t="shared" si="53"/>
        <v>4.3484172799999996</v>
      </c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</row>
    <row r="1559" spans="1:28" x14ac:dyDescent="0.15">
      <c r="A1559" s="46" t="s">
        <v>3169</v>
      </c>
      <c r="B1559" s="52" t="s">
        <v>7361</v>
      </c>
      <c r="C1559" s="53" t="s">
        <v>3170</v>
      </c>
      <c r="D1559" s="54" t="s">
        <v>9001</v>
      </c>
      <c r="E1559" s="50">
        <f t="shared" si="53"/>
        <v>21.301369860000001</v>
      </c>
      <c r="F1559" s="51">
        <f t="shared" si="53"/>
        <v>4.34859697</v>
      </c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</row>
    <row r="1560" spans="1:28" x14ac:dyDescent="0.15">
      <c r="A1560" s="46" t="s">
        <v>3171</v>
      </c>
      <c r="B1560" s="52" t="s">
        <v>7361</v>
      </c>
      <c r="C1560" s="53" t="s">
        <v>3172</v>
      </c>
      <c r="D1560" s="54" t="s">
        <v>9002</v>
      </c>
      <c r="E1560" s="50">
        <f t="shared" si="53"/>
        <v>21.315068490000002</v>
      </c>
      <c r="F1560" s="51">
        <f t="shared" si="53"/>
        <v>4.3487772500000004</v>
      </c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</row>
    <row r="1561" spans="1:28" x14ac:dyDescent="0.15">
      <c r="A1561" s="46" t="s">
        <v>3173</v>
      </c>
      <c r="B1561" s="52" t="s">
        <v>7361</v>
      </c>
      <c r="C1561" s="53" t="s">
        <v>3174</v>
      </c>
      <c r="D1561" s="54" t="s">
        <v>9003</v>
      </c>
      <c r="E1561" s="50">
        <f t="shared" si="53"/>
        <v>21.328767119999998</v>
      </c>
      <c r="F1561" s="51">
        <f t="shared" si="53"/>
        <v>4.3489578699999996</v>
      </c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</row>
    <row r="1562" spans="1:28" x14ac:dyDescent="0.15">
      <c r="A1562" s="46" t="s">
        <v>3175</v>
      </c>
      <c r="B1562" s="52" t="s">
        <v>7361</v>
      </c>
      <c r="C1562" s="53" t="s">
        <v>3176</v>
      </c>
      <c r="D1562" s="54" t="s">
        <v>9004</v>
      </c>
      <c r="E1562" s="50">
        <f t="shared" si="53"/>
        <v>21.342465749999999</v>
      </c>
      <c r="F1562" s="51">
        <f t="shared" si="53"/>
        <v>4.34913857</v>
      </c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</row>
    <row r="1563" spans="1:28" x14ac:dyDescent="0.15">
      <c r="A1563" s="46" t="s">
        <v>3177</v>
      </c>
      <c r="B1563" s="52" t="s">
        <v>7361</v>
      </c>
      <c r="C1563" s="53" t="s">
        <v>3178</v>
      </c>
      <c r="D1563" s="54" t="s">
        <v>9005</v>
      </c>
      <c r="E1563" s="50">
        <f t="shared" si="53"/>
        <v>21.356164379999999</v>
      </c>
      <c r="F1563" s="51">
        <f t="shared" si="53"/>
        <v>4.3493191099999997</v>
      </c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</row>
    <row r="1564" spans="1:28" x14ac:dyDescent="0.15">
      <c r="A1564" s="46" t="s">
        <v>3179</v>
      </c>
      <c r="B1564" s="52" t="s">
        <v>7361</v>
      </c>
      <c r="C1564" s="53" t="s">
        <v>3180</v>
      </c>
      <c r="D1564" s="54" t="s">
        <v>9006</v>
      </c>
      <c r="E1564" s="50">
        <f t="shared" si="53"/>
        <v>21.36986301</v>
      </c>
      <c r="F1564" s="51">
        <f t="shared" si="53"/>
        <v>4.3494992200000002</v>
      </c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</row>
    <row r="1565" spans="1:28" x14ac:dyDescent="0.15">
      <c r="A1565" s="46" t="s">
        <v>3181</v>
      </c>
      <c r="B1565" s="52" t="s">
        <v>7361</v>
      </c>
      <c r="C1565" s="53" t="s">
        <v>3182</v>
      </c>
      <c r="D1565" s="54" t="s">
        <v>9007</v>
      </c>
      <c r="E1565" s="50">
        <f t="shared" si="53"/>
        <v>21.38356164</v>
      </c>
      <c r="F1565" s="51">
        <f t="shared" si="53"/>
        <v>4.3496786600000004</v>
      </c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</row>
    <row r="1566" spans="1:28" x14ac:dyDescent="0.15">
      <c r="A1566" s="46" t="s">
        <v>3183</v>
      </c>
      <c r="B1566" s="52" t="s">
        <v>7361</v>
      </c>
      <c r="C1566" s="53" t="s">
        <v>3184</v>
      </c>
      <c r="D1566" s="54" t="s">
        <v>9008</v>
      </c>
      <c r="E1566" s="50">
        <f t="shared" si="53"/>
        <v>21.39726027</v>
      </c>
      <c r="F1566" s="51">
        <f t="shared" si="53"/>
        <v>4.3498571699999999</v>
      </c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</row>
    <row r="1567" spans="1:28" x14ac:dyDescent="0.15">
      <c r="A1567" s="46" t="s">
        <v>3185</v>
      </c>
      <c r="B1567" s="52" t="s">
        <v>7361</v>
      </c>
      <c r="C1567" s="53" t="s">
        <v>3186</v>
      </c>
      <c r="D1567" s="54" t="s">
        <v>9009</v>
      </c>
      <c r="E1567" s="50">
        <f t="shared" si="53"/>
        <v>21.410958900000001</v>
      </c>
      <c r="F1567" s="51">
        <f t="shared" si="53"/>
        <v>4.3500344999999996</v>
      </c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</row>
    <row r="1568" spans="1:28" x14ac:dyDescent="0.15">
      <c r="A1568" s="46" t="s">
        <v>3187</v>
      </c>
      <c r="B1568" s="52" t="s">
        <v>7361</v>
      </c>
      <c r="C1568" s="53" t="s">
        <v>3188</v>
      </c>
      <c r="D1568" s="54" t="s">
        <v>9010</v>
      </c>
      <c r="E1568" s="50">
        <f t="shared" si="53"/>
        <v>21.424657530000001</v>
      </c>
      <c r="F1568" s="51">
        <f t="shared" si="53"/>
        <v>4.3502103999999999</v>
      </c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</row>
    <row r="1569" spans="1:28" x14ac:dyDescent="0.15">
      <c r="A1569" s="46" t="s">
        <v>3189</v>
      </c>
      <c r="B1569" s="52" t="s">
        <v>7361</v>
      </c>
      <c r="C1569" s="53" t="s">
        <v>3190</v>
      </c>
      <c r="D1569" s="54" t="s">
        <v>9011</v>
      </c>
      <c r="E1569" s="50">
        <f t="shared" si="53"/>
        <v>21.438356160000001</v>
      </c>
      <c r="F1569" s="51">
        <f t="shared" si="53"/>
        <v>4.3503846099999999</v>
      </c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</row>
    <row r="1570" spans="1:28" x14ac:dyDescent="0.15">
      <c r="A1570" s="46" t="s">
        <v>3191</v>
      </c>
      <c r="B1570" s="52" t="s">
        <v>7361</v>
      </c>
      <c r="C1570" s="53" t="s">
        <v>3192</v>
      </c>
      <c r="D1570" s="54" t="s">
        <v>9012</v>
      </c>
      <c r="E1570" s="50">
        <f t="shared" si="53"/>
        <v>21.452054789999998</v>
      </c>
      <c r="F1570" s="51">
        <f t="shared" si="53"/>
        <v>4.3505568800000001</v>
      </c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</row>
    <row r="1571" spans="1:28" x14ac:dyDescent="0.15">
      <c r="A1571" s="46" t="s">
        <v>3193</v>
      </c>
      <c r="B1571" s="52" t="s">
        <v>7361</v>
      </c>
      <c r="C1571" s="53" t="s">
        <v>3194</v>
      </c>
      <c r="D1571" s="54" t="s">
        <v>9013</v>
      </c>
      <c r="E1571" s="50">
        <f t="shared" si="53"/>
        <v>21.465753419999999</v>
      </c>
      <c r="F1571" s="51">
        <f t="shared" si="53"/>
        <v>4.3507269600000003</v>
      </c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</row>
    <row r="1572" spans="1:28" x14ac:dyDescent="0.15">
      <c r="A1572" s="46" t="s">
        <v>3195</v>
      </c>
      <c r="B1572" s="52" t="s">
        <v>7361</v>
      </c>
      <c r="C1572" s="53" t="s">
        <v>3196</v>
      </c>
      <c r="D1572" s="54" t="s">
        <v>9014</v>
      </c>
      <c r="E1572" s="50">
        <f t="shared" si="53"/>
        <v>21.479452049999999</v>
      </c>
      <c r="F1572" s="51">
        <f t="shared" si="53"/>
        <v>4.3508946000000002</v>
      </c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</row>
    <row r="1573" spans="1:28" x14ac:dyDescent="0.15">
      <c r="A1573" s="46" t="s">
        <v>3197</v>
      </c>
      <c r="B1573" s="52" t="s">
        <v>7361</v>
      </c>
      <c r="C1573" s="53" t="s">
        <v>3198</v>
      </c>
      <c r="D1573" s="54" t="s">
        <v>9015</v>
      </c>
      <c r="E1573" s="50">
        <f t="shared" si="53"/>
        <v>21.493150679999999</v>
      </c>
      <c r="F1573" s="51">
        <f t="shared" si="53"/>
        <v>4.3510595299999997</v>
      </c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</row>
    <row r="1574" spans="1:28" x14ac:dyDescent="0.15">
      <c r="A1574" s="46" t="s">
        <v>3199</v>
      </c>
      <c r="B1574" s="52" t="s">
        <v>7361</v>
      </c>
      <c r="C1574" s="53" t="s">
        <v>3200</v>
      </c>
      <c r="D1574" s="54" t="s">
        <v>9016</v>
      </c>
      <c r="E1574" s="50">
        <f t="shared" si="53"/>
        <v>21.506849320000001</v>
      </c>
      <c r="F1574" s="51">
        <f t="shared" si="53"/>
        <v>4.3512226099999998</v>
      </c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</row>
    <row r="1575" spans="1:28" x14ac:dyDescent="0.15">
      <c r="A1575" s="46" t="s">
        <v>3201</v>
      </c>
      <c r="B1575" s="52" t="s">
        <v>7361</v>
      </c>
      <c r="C1575" s="53" t="s">
        <v>3202</v>
      </c>
      <c r="D1575" s="54" t="s">
        <v>9017</v>
      </c>
      <c r="E1575" s="50">
        <f t="shared" si="53"/>
        <v>21.520547950000001</v>
      </c>
      <c r="F1575" s="51">
        <f t="shared" si="53"/>
        <v>4.3513901400000004</v>
      </c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</row>
    <row r="1576" spans="1:28" x14ac:dyDescent="0.15">
      <c r="A1576" s="46" t="s">
        <v>3203</v>
      </c>
      <c r="B1576" s="52" t="s">
        <v>7361</v>
      </c>
      <c r="C1576" s="53" t="s">
        <v>3204</v>
      </c>
      <c r="D1576" s="54" t="s">
        <v>9018</v>
      </c>
      <c r="E1576" s="50">
        <f t="shared" si="53"/>
        <v>21.534246580000001</v>
      </c>
      <c r="F1576" s="51">
        <f t="shared" si="53"/>
        <v>4.3515629799999997</v>
      </c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</row>
    <row r="1577" spans="1:28" x14ac:dyDescent="0.15">
      <c r="A1577" s="46" t="s">
        <v>3205</v>
      </c>
      <c r="B1577" s="52" t="s">
        <v>7361</v>
      </c>
      <c r="C1577" s="53" t="s">
        <v>3206</v>
      </c>
      <c r="D1577" s="54" t="s">
        <v>9019</v>
      </c>
      <c r="E1577" s="50">
        <f t="shared" si="53"/>
        <v>21.547945210000002</v>
      </c>
      <c r="F1577" s="51">
        <f t="shared" si="53"/>
        <v>4.3517409000000002</v>
      </c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</row>
    <row r="1578" spans="1:28" x14ac:dyDescent="0.15">
      <c r="A1578" s="46" t="s">
        <v>3207</v>
      </c>
      <c r="B1578" s="52" t="s">
        <v>7361</v>
      </c>
      <c r="C1578" s="53" t="s">
        <v>3208</v>
      </c>
      <c r="D1578" s="54" t="s">
        <v>9020</v>
      </c>
      <c r="E1578" s="50">
        <f t="shared" si="53"/>
        <v>21.561643839999999</v>
      </c>
      <c r="F1578" s="51">
        <f t="shared" si="53"/>
        <v>4.3519236599999997</v>
      </c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</row>
    <row r="1579" spans="1:28" x14ac:dyDescent="0.15">
      <c r="A1579" s="46" t="s">
        <v>3209</v>
      </c>
      <c r="B1579" s="52" t="s">
        <v>7361</v>
      </c>
      <c r="C1579" s="53" t="s">
        <v>3210</v>
      </c>
      <c r="D1579" s="54" t="s">
        <v>9021</v>
      </c>
      <c r="E1579" s="50">
        <f t="shared" si="53"/>
        <v>21.575342469999999</v>
      </c>
      <c r="F1579" s="51">
        <f t="shared" si="53"/>
        <v>4.3521110399999996</v>
      </c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</row>
    <row r="1580" spans="1:28" x14ac:dyDescent="0.15">
      <c r="A1580" s="46" t="s">
        <v>3211</v>
      </c>
      <c r="B1580" s="52" t="s">
        <v>7361</v>
      </c>
      <c r="C1580" s="53" t="s">
        <v>3212</v>
      </c>
      <c r="D1580" s="54" t="s">
        <v>9022</v>
      </c>
      <c r="E1580" s="50">
        <f t="shared" si="53"/>
        <v>21.589041099999999</v>
      </c>
      <c r="F1580" s="51">
        <f t="shared" si="53"/>
        <v>4.3523028000000004</v>
      </c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</row>
    <row r="1581" spans="1:28" x14ac:dyDescent="0.15">
      <c r="A1581" s="46" t="s">
        <v>3213</v>
      </c>
      <c r="B1581" s="52" t="s">
        <v>7361</v>
      </c>
      <c r="C1581" s="53" t="s">
        <v>3214</v>
      </c>
      <c r="D1581" s="54" t="s">
        <v>9023</v>
      </c>
      <c r="E1581" s="50">
        <f t="shared" si="53"/>
        <v>21.60273973</v>
      </c>
      <c r="F1581" s="51">
        <f t="shared" si="53"/>
        <v>4.3524986999999999</v>
      </c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</row>
    <row r="1582" spans="1:28" x14ac:dyDescent="0.15">
      <c r="A1582" s="46" t="s">
        <v>3215</v>
      </c>
      <c r="B1582" s="52" t="s">
        <v>7361</v>
      </c>
      <c r="C1582" s="53" t="s">
        <v>3216</v>
      </c>
      <c r="D1582" s="54" t="s">
        <v>9024</v>
      </c>
      <c r="E1582" s="50">
        <f t="shared" si="53"/>
        <v>21.61643836</v>
      </c>
      <c r="F1582" s="51">
        <f t="shared" si="53"/>
        <v>4.3526985199999997</v>
      </c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</row>
    <row r="1583" spans="1:28" x14ac:dyDescent="0.15">
      <c r="A1583" s="46" t="s">
        <v>3217</v>
      </c>
      <c r="B1583" s="52" t="s">
        <v>7361</v>
      </c>
      <c r="C1583" s="53" t="s">
        <v>3218</v>
      </c>
      <c r="D1583" s="54" t="s">
        <v>9025</v>
      </c>
      <c r="E1583" s="50">
        <f t="shared" si="53"/>
        <v>21.63013699</v>
      </c>
      <c r="F1583" s="51">
        <f t="shared" si="53"/>
        <v>4.3529020300000001</v>
      </c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</row>
    <row r="1584" spans="1:28" x14ac:dyDescent="0.15">
      <c r="A1584" s="46" t="s">
        <v>3219</v>
      </c>
      <c r="B1584" s="52" t="s">
        <v>7361</v>
      </c>
      <c r="C1584" s="53" t="s">
        <v>3220</v>
      </c>
      <c r="D1584" s="54" t="s">
        <v>9026</v>
      </c>
      <c r="E1584" s="50">
        <f t="shared" ref="E1584:F1613" si="54">VALUE(C1584)</f>
        <v>21.643835620000001</v>
      </c>
      <c r="F1584" s="51">
        <f t="shared" si="54"/>
        <v>4.35310898</v>
      </c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</row>
    <row r="1585" spans="1:28" x14ac:dyDescent="0.15">
      <c r="A1585" s="46" t="s">
        <v>3221</v>
      </c>
      <c r="B1585" s="52" t="s">
        <v>7361</v>
      </c>
      <c r="C1585" s="53" t="s">
        <v>3222</v>
      </c>
      <c r="D1585" s="54" t="s">
        <v>9027</v>
      </c>
      <c r="E1585" s="50">
        <f t="shared" si="54"/>
        <v>21.657534250000001</v>
      </c>
      <c r="F1585" s="51">
        <f t="shared" si="54"/>
        <v>4.3533191499999999</v>
      </c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</row>
    <row r="1586" spans="1:28" x14ac:dyDescent="0.15">
      <c r="A1586" s="46" t="s">
        <v>3223</v>
      </c>
      <c r="B1586" s="52" t="s">
        <v>7361</v>
      </c>
      <c r="C1586" s="53" t="s">
        <v>3224</v>
      </c>
      <c r="D1586" s="54" t="s">
        <v>9028</v>
      </c>
      <c r="E1586" s="50">
        <f t="shared" si="54"/>
        <v>21.671232880000002</v>
      </c>
      <c r="F1586" s="51">
        <f t="shared" si="54"/>
        <v>4.3535323100000003</v>
      </c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</row>
    <row r="1587" spans="1:28" x14ac:dyDescent="0.15">
      <c r="A1587" s="46" t="s">
        <v>3225</v>
      </c>
      <c r="B1587" s="52" t="s">
        <v>7361</v>
      </c>
      <c r="C1587" s="53" t="s">
        <v>3226</v>
      </c>
      <c r="D1587" s="54" t="s">
        <v>9029</v>
      </c>
      <c r="E1587" s="50">
        <f t="shared" si="54"/>
        <v>21.684931509999998</v>
      </c>
      <c r="F1587" s="51">
        <f t="shared" si="54"/>
        <v>4.35374821</v>
      </c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</row>
    <row r="1588" spans="1:28" x14ac:dyDescent="0.15">
      <c r="A1588" s="46" t="s">
        <v>3227</v>
      </c>
      <c r="B1588" s="52" t="s">
        <v>7361</v>
      </c>
      <c r="C1588" s="53" t="s">
        <v>3228</v>
      </c>
      <c r="D1588" s="54" t="s">
        <v>9030</v>
      </c>
      <c r="E1588" s="50">
        <f t="shared" si="54"/>
        <v>21.698630139999999</v>
      </c>
      <c r="F1588" s="51">
        <f t="shared" si="54"/>
        <v>4.3539666400000003</v>
      </c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</row>
    <row r="1589" spans="1:28" x14ac:dyDescent="0.15">
      <c r="A1589" s="46" t="s">
        <v>3229</v>
      </c>
      <c r="B1589" s="52" t="s">
        <v>7361</v>
      </c>
      <c r="C1589" s="53" t="s">
        <v>3230</v>
      </c>
      <c r="D1589" s="54" t="s">
        <v>9031</v>
      </c>
      <c r="E1589" s="50">
        <f t="shared" si="54"/>
        <v>21.712328769999999</v>
      </c>
      <c r="F1589" s="51">
        <f t="shared" si="54"/>
        <v>4.3541873500000001</v>
      </c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</row>
    <row r="1590" spans="1:28" x14ac:dyDescent="0.15">
      <c r="A1590" s="46" t="s">
        <v>3231</v>
      </c>
      <c r="B1590" s="52" t="s">
        <v>7361</v>
      </c>
      <c r="C1590" s="53" t="s">
        <v>3232</v>
      </c>
      <c r="D1590" s="54" t="s">
        <v>9032</v>
      </c>
      <c r="E1590" s="50">
        <f t="shared" si="54"/>
        <v>21.7260274</v>
      </c>
      <c r="F1590" s="51">
        <f t="shared" si="54"/>
        <v>4.3544101199999998</v>
      </c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</row>
    <row r="1591" spans="1:28" x14ac:dyDescent="0.15">
      <c r="A1591" s="46" t="s">
        <v>3233</v>
      </c>
      <c r="B1591" s="52" t="s">
        <v>7361</v>
      </c>
      <c r="C1591" s="53" t="s">
        <v>3234</v>
      </c>
      <c r="D1591" s="54" t="s">
        <v>9033</v>
      </c>
      <c r="E1591" s="50">
        <f t="shared" si="54"/>
        <v>21.73972603</v>
      </c>
      <c r="F1591" s="51">
        <f t="shared" si="54"/>
        <v>4.35463471</v>
      </c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</row>
    <row r="1592" spans="1:28" x14ac:dyDescent="0.15">
      <c r="A1592" s="46" t="s">
        <v>3235</v>
      </c>
      <c r="B1592" s="52" t="s">
        <v>7361</v>
      </c>
      <c r="C1592" s="53" t="s">
        <v>3236</v>
      </c>
      <c r="D1592" s="54" t="s">
        <v>9034</v>
      </c>
      <c r="E1592" s="50">
        <f t="shared" si="54"/>
        <v>21.75342466</v>
      </c>
      <c r="F1592" s="51">
        <f t="shared" si="54"/>
        <v>4.3548608900000003</v>
      </c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</row>
    <row r="1593" spans="1:28" x14ac:dyDescent="0.15">
      <c r="A1593" s="46" t="s">
        <v>3237</v>
      </c>
      <c r="B1593" s="52" t="s">
        <v>7361</v>
      </c>
      <c r="C1593" s="53" t="s">
        <v>3238</v>
      </c>
      <c r="D1593" s="54" t="s">
        <v>9035</v>
      </c>
      <c r="E1593" s="50">
        <f t="shared" si="54"/>
        <v>21.767123290000001</v>
      </c>
      <c r="F1593" s="51">
        <f t="shared" si="54"/>
        <v>4.3550884300000003</v>
      </c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</row>
    <row r="1594" spans="1:28" x14ac:dyDescent="0.15">
      <c r="A1594" s="46" t="s">
        <v>3239</v>
      </c>
      <c r="B1594" s="52" t="s">
        <v>7361</v>
      </c>
      <c r="C1594" s="53" t="s">
        <v>3240</v>
      </c>
      <c r="D1594" s="54" t="s">
        <v>9036</v>
      </c>
      <c r="E1594" s="50">
        <f t="shared" si="54"/>
        <v>21.780821920000001</v>
      </c>
      <c r="F1594" s="51">
        <f t="shared" si="54"/>
        <v>4.3553170899999998</v>
      </c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</row>
    <row r="1595" spans="1:28" x14ac:dyDescent="0.15">
      <c r="A1595" s="46" t="s">
        <v>3241</v>
      </c>
      <c r="B1595" s="52" t="s">
        <v>7361</v>
      </c>
      <c r="C1595" s="53" t="s">
        <v>3242</v>
      </c>
      <c r="D1595" s="54" t="s">
        <v>9037</v>
      </c>
      <c r="E1595" s="50">
        <f t="shared" si="54"/>
        <v>21.794520550000001</v>
      </c>
      <c r="F1595" s="51">
        <f t="shared" si="54"/>
        <v>4.35554664</v>
      </c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</row>
    <row r="1596" spans="1:28" x14ac:dyDescent="0.15">
      <c r="A1596" s="46" t="s">
        <v>3243</v>
      </c>
      <c r="B1596" s="52" t="s">
        <v>7361</v>
      </c>
      <c r="C1596" s="53" t="s">
        <v>3244</v>
      </c>
      <c r="D1596" s="54" t="s">
        <v>9038</v>
      </c>
      <c r="E1596" s="50">
        <f t="shared" si="54"/>
        <v>21.808219179999998</v>
      </c>
      <c r="F1596" s="51">
        <f t="shared" si="54"/>
        <v>4.3557768499999998</v>
      </c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</row>
    <row r="1597" spans="1:28" x14ac:dyDescent="0.15">
      <c r="A1597" s="46" t="s">
        <v>3245</v>
      </c>
      <c r="B1597" s="52" t="s">
        <v>7361</v>
      </c>
      <c r="C1597" s="53" t="s">
        <v>3246</v>
      </c>
      <c r="D1597" s="54" t="s">
        <v>9039</v>
      </c>
      <c r="E1597" s="50">
        <f t="shared" si="54"/>
        <v>21.821917809999999</v>
      </c>
      <c r="F1597" s="51">
        <f t="shared" si="54"/>
        <v>4.3560074899999996</v>
      </c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</row>
    <row r="1598" spans="1:28" x14ac:dyDescent="0.15">
      <c r="A1598" s="46" t="s">
        <v>3247</v>
      </c>
      <c r="B1598" s="52" t="s">
        <v>7361</v>
      </c>
      <c r="C1598" s="53" t="s">
        <v>3248</v>
      </c>
      <c r="D1598" s="54" t="s">
        <v>9040</v>
      </c>
      <c r="E1598" s="50">
        <f t="shared" si="54"/>
        <v>21.835616439999999</v>
      </c>
      <c r="F1598" s="51">
        <f t="shared" si="54"/>
        <v>4.3562383200000001</v>
      </c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</row>
    <row r="1599" spans="1:28" x14ac:dyDescent="0.15">
      <c r="A1599" s="46" t="s">
        <v>3249</v>
      </c>
      <c r="B1599" s="52" t="s">
        <v>7361</v>
      </c>
      <c r="C1599" s="53" t="s">
        <v>3250</v>
      </c>
      <c r="D1599" s="54" t="s">
        <v>9041</v>
      </c>
      <c r="E1599" s="50">
        <f t="shared" si="54"/>
        <v>21.849315069999999</v>
      </c>
      <c r="F1599" s="51">
        <f t="shared" si="54"/>
        <v>4.3564691199999999</v>
      </c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</row>
    <row r="1600" spans="1:28" x14ac:dyDescent="0.15">
      <c r="A1600" s="46" t="s">
        <v>3251</v>
      </c>
      <c r="B1600" s="52" t="s">
        <v>7361</v>
      </c>
      <c r="C1600" s="53" t="s">
        <v>3252</v>
      </c>
      <c r="D1600" s="54" t="s">
        <v>9042</v>
      </c>
      <c r="E1600" s="50">
        <f t="shared" si="54"/>
        <v>21.8630137</v>
      </c>
      <c r="F1600" s="51">
        <f t="shared" si="54"/>
        <v>4.3566996400000004</v>
      </c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</row>
    <row r="1601" spans="1:28" x14ac:dyDescent="0.15">
      <c r="A1601" s="46" t="s">
        <v>3253</v>
      </c>
      <c r="B1601" s="52" t="s">
        <v>7361</v>
      </c>
      <c r="C1601" s="53" t="s">
        <v>3254</v>
      </c>
      <c r="D1601" s="54" t="s">
        <v>9043</v>
      </c>
      <c r="E1601" s="50">
        <f t="shared" si="54"/>
        <v>21.87671233</v>
      </c>
      <c r="F1601" s="51">
        <f t="shared" si="54"/>
        <v>4.3569296599999996</v>
      </c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</row>
    <row r="1602" spans="1:28" x14ac:dyDescent="0.15">
      <c r="A1602" s="46" t="s">
        <v>3255</v>
      </c>
      <c r="B1602" s="52" t="s">
        <v>7361</v>
      </c>
      <c r="C1602" s="53" t="s">
        <v>3256</v>
      </c>
      <c r="D1602" s="54" t="s">
        <v>9044</v>
      </c>
      <c r="E1602" s="50">
        <f t="shared" si="54"/>
        <v>21.890410960000001</v>
      </c>
      <c r="F1602" s="51">
        <f t="shared" si="54"/>
        <v>4.3571589399999997</v>
      </c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</row>
    <row r="1603" spans="1:28" x14ac:dyDescent="0.15">
      <c r="A1603" s="46" t="s">
        <v>3257</v>
      </c>
      <c r="B1603" s="52" t="s">
        <v>7361</v>
      </c>
      <c r="C1603" s="53" t="s">
        <v>3258</v>
      </c>
      <c r="D1603" s="54" t="s">
        <v>9045</v>
      </c>
      <c r="E1603" s="50">
        <f t="shared" si="54"/>
        <v>21.904109590000001</v>
      </c>
      <c r="F1603" s="51">
        <f t="shared" si="54"/>
        <v>4.3573872500000004</v>
      </c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</row>
    <row r="1604" spans="1:28" x14ac:dyDescent="0.15">
      <c r="A1604" s="46" t="s">
        <v>3259</v>
      </c>
      <c r="B1604" s="52" t="s">
        <v>7361</v>
      </c>
      <c r="C1604" s="53" t="s">
        <v>3260</v>
      </c>
      <c r="D1604" s="54" t="s">
        <v>9046</v>
      </c>
      <c r="E1604" s="50">
        <f t="shared" si="54"/>
        <v>21.917808220000001</v>
      </c>
      <c r="F1604" s="51">
        <f t="shared" si="54"/>
        <v>4.3576143600000004</v>
      </c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</row>
    <row r="1605" spans="1:28" x14ac:dyDescent="0.15">
      <c r="A1605" s="46" t="s">
        <v>3261</v>
      </c>
      <c r="B1605" s="52" t="s">
        <v>7361</v>
      </c>
      <c r="C1605" s="53" t="s">
        <v>3262</v>
      </c>
      <c r="D1605" s="54" t="s">
        <v>9047</v>
      </c>
      <c r="E1605" s="50">
        <f t="shared" si="54"/>
        <v>21.931506850000002</v>
      </c>
      <c r="F1605" s="51">
        <f t="shared" si="54"/>
        <v>4.3578400300000002</v>
      </c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</row>
    <row r="1606" spans="1:28" x14ac:dyDescent="0.15">
      <c r="A1606" s="46" t="s">
        <v>3263</v>
      </c>
      <c r="B1606" s="52" t="s">
        <v>7361</v>
      </c>
      <c r="C1606" s="53" t="s">
        <v>3264</v>
      </c>
      <c r="D1606" s="54" t="s">
        <v>9048</v>
      </c>
      <c r="E1606" s="50">
        <f t="shared" si="54"/>
        <v>21.945205479999998</v>
      </c>
      <c r="F1606" s="51">
        <f t="shared" si="54"/>
        <v>4.3580640400000004</v>
      </c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</row>
    <row r="1607" spans="1:28" x14ac:dyDescent="0.15">
      <c r="A1607" s="46" t="s">
        <v>3265</v>
      </c>
      <c r="B1607" s="52" t="s">
        <v>7361</v>
      </c>
      <c r="C1607" s="53" t="s">
        <v>3266</v>
      </c>
      <c r="D1607" s="54" t="s">
        <v>9049</v>
      </c>
      <c r="E1607" s="50">
        <f t="shared" si="54"/>
        <v>21.958904109999999</v>
      </c>
      <c r="F1607" s="51">
        <f t="shared" si="54"/>
        <v>4.3582861499999996</v>
      </c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</row>
    <row r="1608" spans="1:28" x14ac:dyDescent="0.15">
      <c r="A1608" s="46" t="s">
        <v>3267</v>
      </c>
      <c r="B1608" s="52" t="s">
        <v>7361</v>
      </c>
      <c r="C1608" s="53" t="s">
        <v>3268</v>
      </c>
      <c r="D1608" s="54" t="s">
        <v>9050</v>
      </c>
      <c r="E1608" s="50">
        <f t="shared" si="54"/>
        <v>21.972602739999999</v>
      </c>
      <c r="F1608" s="51">
        <f t="shared" si="54"/>
        <v>4.3585061300000003</v>
      </c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</row>
    <row r="1609" spans="1:28" x14ac:dyDescent="0.15">
      <c r="A1609" s="46" t="s">
        <v>3269</v>
      </c>
      <c r="B1609" s="52" t="s">
        <v>7361</v>
      </c>
      <c r="C1609" s="53" t="s">
        <v>3270</v>
      </c>
      <c r="D1609" s="54" t="s">
        <v>9051</v>
      </c>
      <c r="E1609" s="50">
        <f t="shared" si="54"/>
        <v>21.98630137</v>
      </c>
      <c r="F1609" s="51">
        <f t="shared" si="54"/>
        <v>4.3587237400000003</v>
      </c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</row>
    <row r="1610" spans="1:28" x14ac:dyDescent="0.15">
      <c r="A1610" s="46" t="s">
        <v>3271</v>
      </c>
      <c r="B1610" s="52" t="s">
        <v>7361</v>
      </c>
      <c r="C1610" s="53" t="s">
        <v>3272</v>
      </c>
      <c r="D1610" s="54" t="s">
        <v>9052</v>
      </c>
      <c r="E1610" s="50">
        <f t="shared" si="54"/>
        <v>22</v>
      </c>
      <c r="F1610" s="51">
        <f t="shared" si="54"/>
        <v>4.35893876</v>
      </c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</row>
    <row r="1611" spans="1:28" x14ac:dyDescent="0.15">
      <c r="A1611" s="46" t="s">
        <v>3273</v>
      </c>
      <c r="B1611" s="52" t="s">
        <v>7361</v>
      </c>
      <c r="C1611" s="53" t="s">
        <v>3274</v>
      </c>
      <c r="D1611" s="54" t="s">
        <v>9053</v>
      </c>
      <c r="E1611" s="50">
        <f t="shared" si="54"/>
        <v>22.01369863</v>
      </c>
      <c r="F1611" s="51">
        <f t="shared" si="54"/>
        <v>4.3591549399999998</v>
      </c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</row>
    <row r="1612" spans="1:28" x14ac:dyDescent="0.15">
      <c r="A1612" s="46" t="s">
        <v>3275</v>
      </c>
      <c r="B1612" s="52" t="s">
        <v>7361</v>
      </c>
      <c r="C1612" s="53" t="s">
        <v>3276</v>
      </c>
      <c r="D1612" s="54" t="s">
        <v>9054</v>
      </c>
      <c r="E1612" s="50">
        <f t="shared" si="54"/>
        <v>22.027397260000001</v>
      </c>
      <c r="F1612" s="51">
        <f t="shared" si="54"/>
        <v>4.3593760699999997</v>
      </c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</row>
    <row r="1613" spans="1:28" x14ac:dyDescent="0.15">
      <c r="A1613" s="46" t="s">
        <v>3277</v>
      </c>
      <c r="B1613" s="52" t="s">
        <v>7361</v>
      </c>
      <c r="C1613" s="53" t="s">
        <v>3278</v>
      </c>
      <c r="D1613" s="54" t="s">
        <v>9055</v>
      </c>
      <c r="E1613" s="50">
        <f t="shared" si="54"/>
        <v>22.041095890000001</v>
      </c>
      <c r="F1613" s="51">
        <f t="shared" si="54"/>
        <v>4.3596019400000001</v>
      </c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</row>
    <row r="1614" spans="1:28" x14ac:dyDescent="0.15">
      <c r="A1614" s="46" t="s">
        <v>3279</v>
      </c>
      <c r="B1614" s="52" t="s">
        <v>7361</v>
      </c>
      <c r="C1614" s="53" t="s">
        <v>3280</v>
      </c>
      <c r="D1614" s="54" t="s">
        <v>9056</v>
      </c>
      <c r="E1614" s="50">
        <f t="shared" ref="E1614:F1644" si="55">VALUE(C1614)</f>
        <v>22.054794520000002</v>
      </c>
      <c r="F1614" s="51">
        <f t="shared" si="55"/>
        <v>4.3598323299999997</v>
      </c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</row>
    <row r="1615" spans="1:28" x14ac:dyDescent="0.15">
      <c r="A1615" s="46" t="s">
        <v>3281</v>
      </c>
      <c r="B1615" s="52" t="s">
        <v>7361</v>
      </c>
      <c r="C1615" s="53" t="s">
        <v>3282</v>
      </c>
      <c r="D1615" s="54" t="s">
        <v>9057</v>
      </c>
      <c r="E1615" s="50">
        <f t="shared" si="55"/>
        <v>22.068493149999998</v>
      </c>
      <c r="F1615" s="51">
        <f t="shared" si="55"/>
        <v>4.3600670199999998</v>
      </c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</row>
    <row r="1616" spans="1:28" x14ac:dyDescent="0.15">
      <c r="A1616" s="46" t="s">
        <v>3283</v>
      </c>
      <c r="B1616" s="52" t="s">
        <v>7361</v>
      </c>
      <c r="C1616" s="53" t="s">
        <v>3284</v>
      </c>
      <c r="D1616" s="54" t="s">
        <v>9058</v>
      </c>
      <c r="E1616" s="50">
        <f t="shared" si="55"/>
        <v>22.082191779999999</v>
      </c>
      <c r="F1616" s="51">
        <f t="shared" si="55"/>
        <v>4.3603058199999998</v>
      </c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</row>
    <row r="1617" spans="1:28" x14ac:dyDescent="0.15">
      <c r="A1617" s="46" t="s">
        <v>3285</v>
      </c>
      <c r="B1617" s="52" t="s">
        <v>7361</v>
      </c>
      <c r="C1617" s="53" t="s">
        <v>3286</v>
      </c>
      <c r="D1617" s="54" t="s">
        <v>9059</v>
      </c>
      <c r="E1617" s="50">
        <f t="shared" si="55"/>
        <v>22.095890409999999</v>
      </c>
      <c r="F1617" s="51">
        <f t="shared" si="55"/>
        <v>4.3605485000000002</v>
      </c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</row>
    <row r="1618" spans="1:28" x14ac:dyDescent="0.15">
      <c r="A1618" s="46" t="s">
        <v>3287</v>
      </c>
      <c r="B1618" s="52" t="s">
        <v>7361</v>
      </c>
      <c r="C1618" s="53" t="s">
        <v>3288</v>
      </c>
      <c r="D1618" s="54" t="s">
        <v>9060</v>
      </c>
      <c r="E1618" s="50">
        <f t="shared" si="55"/>
        <v>22.109589039999999</v>
      </c>
      <c r="F1618" s="51">
        <f t="shared" si="55"/>
        <v>4.3607948600000004</v>
      </c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</row>
    <row r="1619" spans="1:28" x14ac:dyDescent="0.15">
      <c r="A1619" s="46" t="s">
        <v>3289</v>
      </c>
      <c r="B1619" s="52" t="s">
        <v>7361</v>
      </c>
      <c r="C1619" s="53" t="s">
        <v>3290</v>
      </c>
      <c r="D1619" s="54" t="s">
        <v>9061</v>
      </c>
      <c r="E1619" s="50">
        <f t="shared" si="55"/>
        <v>22.12328767</v>
      </c>
      <c r="F1619" s="51">
        <f t="shared" si="55"/>
        <v>4.36104468</v>
      </c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</row>
    <row r="1620" spans="1:28" x14ac:dyDescent="0.15">
      <c r="A1620" s="46" t="s">
        <v>3291</v>
      </c>
      <c r="B1620" s="52" t="s">
        <v>7361</v>
      </c>
      <c r="C1620" s="53" t="s">
        <v>3292</v>
      </c>
      <c r="D1620" s="54" t="s">
        <v>9062</v>
      </c>
      <c r="E1620" s="50">
        <f t="shared" si="55"/>
        <v>22.1369863</v>
      </c>
      <c r="F1620" s="51">
        <f t="shared" si="55"/>
        <v>4.3612977500000003</v>
      </c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</row>
    <row r="1621" spans="1:28" x14ac:dyDescent="0.15">
      <c r="A1621" s="46" t="s">
        <v>3293</v>
      </c>
      <c r="B1621" s="52" t="s">
        <v>7361</v>
      </c>
      <c r="C1621" s="53" t="s">
        <v>3294</v>
      </c>
      <c r="D1621" s="54" t="s">
        <v>9063</v>
      </c>
      <c r="E1621" s="50">
        <f t="shared" si="55"/>
        <v>22.150684930000001</v>
      </c>
      <c r="F1621" s="51">
        <f t="shared" si="55"/>
        <v>4.3615538599999999</v>
      </c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</row>
    <row r="1622" spans="1:28" x14ac:dyDescent="0.15">
      <c r="A1622" s="46" t="s">
        <v>3295</v>
      </c>
      <c r="B1622" s="52" t="s">
        <v>7361</v>
      </c>
      <c r="C1622" s="53" t="s">
        <v>3296</v>
      </c>
      <c r="D1622" s="54" t="s">
        <v>9064</v>
      </c>
      <c r="E1622" s="50">
        <f t="shared" si="55"/>
        <v>22.164383560000001</v>
      </c>
      <c r="F1622" s="51">
        <f t="shared" si="55"/>
        <v>4.3618127900000001</v>
      </c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</row>
    <row r="1623" spans="1:28" x14ac:dyDescent="0.15">
      <c r="A1623" s="46" t="s">
        <v>3297</v>
      </c>
      <c r="B1623" s="52" t="s">
        <v>7361</v>
      </c>
      <c r="C1623" s="53" t="s">
        <v>3298</v>
      </c>
      <c r="D1623" s="54" t="s">
        <v>9065</v>
      </c>
      <c r="E1623" s="50">
        <f t="shared" si="55"/>
        <v>22.178082190000001</v>
      </c>
      <c r="F1623" s="51">
        <f t="shared" si="55"/>
        <v>4.3620743400000004</v>
      </c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</row>
    <row r="1624" spans="1:28" x14ac:dyDescent="0.15">
      <c r="A1624" s="46" t="s">
        <v>3299</v>
      </c>
      <c r="B1624" s="52" t="s">
        <v>7361</v>
      </c>
      <c r="C1624" s="53" t="s">
        <v>3300</v>
      </c>
      <c r="D1624" s="54" t="s">
        <v>9066</v>
      </c>
      <c r="E1624" s="50">
        <f t="shared" si="55"/>
        <v>22.191780820000002</v>
      </c>
      <c r="F1624" s="51">
        <f t="shared" si="55"/>
        <v>4.3623382900000003</v>
      </c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</row>
    <row r="1625" spans="1:28" x14ac:dyDescent="0.15">
      <c r="A1625" s="46" t="s">
        <v>3301</v>
      </c>
      <c r="B1625" s="52" t="s">
        <v>7361</v>
      </c>
      <c r="C1625" s="53" t="s">
        <v>3302</v>
      </c>
      <c r="D1625" s="54" t="s">
        <v>9067</v>
      </c>
      <c r="E1625" s="50">
        <f t="shared" si="55"/>
        <v>22.205479449999999</v>
      </c>
      <c r="F1625" s="51">
        <f t="shared" si="55"/>
        <v>4.3626044400000001</v>
      </c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</row>
    <row r="1626" spans="1:28" x14ac:dyDescent="0.15">
      <c r="A1626" s="46" t="s">
        <v>3303</v>
      </c>
      <c r="B1626" s="52" t="s">
        <v>7361</v>
      </c>
      <c r="C1626" s="53" t="s">
        <v>3304</v>
      </c>
      <c r="D1626" s="54" t="s">
        <v>9068</v>
      </c>
      <c r="E1626" s="50">
        <f t="shared" si="55"/>
        <v>22.219178079999999</v>
      </c>
      <c r="F1626" s="51">
        <f t="shared" si="55"/>
        <v>4.3628725599999996</v>
      </c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</row>
    <row r="1627" spans="1:28" x14ac:dyDescent="0.15">
      <c r="A1627" s="46" t="s">
        <v>3305</v>
      </c>
      <c r="B1627" s="52" t="s">
        <v>7361</v>
      </c>
      <c r="C1627" s="53" t="s">
        <v>3306</v>
      </c>
      <c r="D1627" s="54" t="s">
        <v>9069</v>
      </c>
      <c r="E1627" s="50">
        <f t="shared" si="55"/>
        <v>22.232876709999999</v>
      </c>
      <c r="F1627" s="51">
        <f t="shared" si="55"/>
        <v>4.3631424499999998</v>
      </c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</row>
    <row r="1628" spans="1:28" x14ac:dyDescent="0.15">
      <c r="A1628" s="46" t="s">
        <v>3307</v>
      </c>
      <c r="B1628" s="52" t="s">
        <v>7361</v>
      </c>
      <c r="C1628" s="53" t="s">
        <v>3308</v>
      </c>
      <c r="D1628" s="54" t="s">
        <v>9070</v>
      </c>
      <c r="E1628" s="50">
        <f t="shared" si="55"/>
        <v>22.24657534</v>
      </c>
      <c r="F1628" s="51">
        <f t="shared" si="55"/>
        <v>4.3634138900000004</v>
      </c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</row>
    <row r="1629" spans="1:28" x14ac:dyDescent="0.15">
      <c r="A1629" s="46" t="s">
        <v>3309</v>
      </c>
      <c r="B1629" s="52" t="s">
        <v>7361</v>
      </c>
      <c r="C1629" s="53" t="s">
        <v>3310</v>
      </c>
      <c r="D1629" s="54" t="s">
        <v>9071</v>
      </c>
      <c r="E1629" s="50">
        <f t="shared" si="55"/>
        <v>22.26027397</v>
      </c>
      <c r="F1629" s="51">
        <f t="shared" si="55"/>
        <v>4.3636866799999998</v>
      </c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</row>
    <row r="1630" spans="1:28" x14ac:dyDescent="0.15">
      <c r="A1630" s="46" t="s">
        <v>3311</v>
      </c>
      <c r="B1630" s="52" t="s">
        <v>7361</v>
      </c>
      <c r="C1630" s="53" t="s">
        <v>3312</v>
      </c>
      <c r="D1630" s="54" t="s">
        <v>9072</v>
      </c>
      <c r="E1630" s="50">
        <f t="shared" si="55"/>
        <v>22.2739726</v>
      </c>
      <c r="F1630" s="51">
        <f t="shared" si="55"/>
        <v>4.3639605899999996</v>
      </c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</row>
    <row r="1631" spans="1:28" x14ac:dyDescent="0.15">
      <c r="A1631" s="46" t="s">
        <v>3313</v>
      </c>
      <c r="B1631" s="52" t="s">
        <v>7361</v>
      </c>
      <c r="C1631" s="53" t="s">
        <v>3314</v>
      </c>
      <c r="D1631" s="54" t="s">
        <v>9073</v>
      </c>
      <c r="E1631" s="50">
        <f t="shared" si="55"/>
        <v>22.287671230000001</v>
      </c>
      <c r="F1631" s="51">
        <f t="shared" si="55"/>
        <v>4.3642354299999999</v>
      </c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</row>
    <row r="1632" spans="1:28" x14ac:dyDescent="0.15">
      <c r="A1632" s="46" t="s">
        <v>3315</v>
      </c>
      <c r="B1632" s="52" t="s">
        <v>7361</v>
      </c>
      <c r="C1632" s="53" t="s">
        <v>3316</v>
      </c>
      <c r="D1632" s="54" t="s">
        <v>9074</v>
      </c>
      <c r="E1632" s="50">
        <f t="shared" si="55"/>
        <v>22.301369860000001</v>
      </c>
      <c r="F1632" s="51">
        <f t="shared" si="55"/>
        <v>4.3645109700000004</v>
      </c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</row>
    <row r="1633" spans="1:28" x14ac:dyDescent="0.15">
      <c r="A1633" s="46" t="s">
        <v>3317</v>
      </c>
      <c r="B1633" s="52" t="s">
        <v>7361</v>
      </c>
      <c r="C1633" s="53" t="s">
        <v>3318</v>
      </c>
      <c r="D1633" s="54" t="s">
        <v>9075</v>
      </c>
      <c r="E1633" s="50">
        <f t="shared" si="55"/>
        <v>22.315068490000002</v>
      </c>
      <c r="F1633" s="51">
        <f t="shared" si="55"/>
        <v>4.3647869999999998</v>
      </c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</row>
    <row r="1634" spans="1:28" x14ac:dyDescent="0.15">
      <c r="A1634" s="46" t="s">
        <v>3319</v>
      </c>
      <c r="B1634" s="52" t="s">
        <v>7361</v>
      </c>
      <c r="C1634" s="53" t="s">
        <v>3320</v>
      </c>
      <c r="D1634" s="54" t="s">
        <v>9076</v>
      </c>
      <c r="E1634" s="50">
        <f t="shared" si="55"/>
        <v>22.328767119999998</v>
      </c>
      <c r="F1634" s="51">
        <f t="shared" si="55"/>
        <v>4.36506332</v>
      </c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</row>
    <row r="1635" spans="1:28" x14ac:dyDescent="0.15">
      <c r="A1635" s="46" t="s">
        <v>3321</v>
      </c>
      <c r="B1635" s="52" t="s">
        <v>7361</v>
      </c>
      <c r="C1635" s="53" t="s">
        <v>3322</v>
      </c>
      <c r="D1635" s="54" t="s">
        <v>9077</v>
      </c>
      <c r="E1635" s="50">
        <f t="shared" si="55"/>
        <v>22.342465749999999</v>
      </c>
      <c r="F1635" s="51">
        <f t="shared" si="55"/>
        <v>4.3653397099999998</v>
      </c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</row>
    <row r="1636" spans="1:28" x14ac:dyDescent="0.15">
      <c r="A1636" s="46" t="s">
        <v>3323</v>
      </c>
      <c r="B1636" s="52" t="s">
        <v>7361</v>
      </c>
      <c r="C1636" s="53" t="s">
        <v>3324</v>
      </c>
      <c r="D1636" s="54" t="s">
        <v>9078</v>
      </c>
      <c r="E1636" s="50">
        <f t="shared" si="55"/>
        <v>22.356164379999999</v>
      </c>
      <c r="F1636" s="51">
        <f t="shared" si="55"/>
        <v>4.3656159600000004</v>
      </c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</row>
    <row r="1637" spans="1:28" x14ac:dyDescent="0.15">
      <c r="A1637" s="46" t="s">
        <v>3325</v>
      </c>
      <c r="B1637" s="52" t="s">
        <v>7361</v>
      </c>
      <c r="C1637" s="53" t="s">
        <v>3326</v>
      </c>
      <c r="D1637" s="54" t="s">
        <v>9079</v>
      </c>
      <c r="E1637" s="50">
        <f t="shared" si="55"/>
        <v>22.36986301</v>
      </c>
      <c r="F1637" s="51">
        <f t="shared" si="55"/>
        <v>4.3658918499999997</v>
      </c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</row>
    <row r="1638" spans="1:28" x14ac:dyDescent="0.15">
      <c r="A1638" s="46" t="s">
        <v>3327</v>
      </c>
      <c r="B1638" s="52" t="s">
        <v>7361</v>
      </c>
      <c r="C1638" s="53" t="s">
        <v>3328</v>
      </c>
      <c r="D1638" s="54" t="s">
        <v>9080</v>
      </c>
      <c r="E1638" s="50">
        <f t="shared" si="55"/>
        <v>22.38356164</v>
      </c>
      <c r="F1638" s="51">
        <f t="shared" si="55"/>
        <v>4.3661671799999997</v>
      </c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</row>
    <row r="1639" spans="1:28" x14ac:dyDescent="0.15">
      <c r="A1639" s="46" t="s">
        <v>3329</v>
      </c>
      <c r="B1639" s="52" t="s">
        <v>7361</v>
      </c>
      <c r="C1639" s="53" t="s">
        <v>3330</v>
      </c>
      <c r="D1639" s="54" t="s">
        <v>9081</v>
      </c>
      <c r="E1639" s="50">
        <f t="shared" si="55"/>
        <v>22.39726027</v>
      </c>
      <c r="F1639" s="51">
        <f t="shared" si="55"/>
        <v>4.36644173</v>
      </c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</row>
    <row r="1640" spans="1:28" x14ac:dyDescent="0.15">
      <c r="A1640" s="46" t="s">
        <v>3331</v>
      </c>
      <c r="B1640" s="52" t="s">
        <v>7361</v>
      </c>
      <c r="C1640" s="53" t="s">
        <v>3332</v>
      </c>
      <c r="D1640" s="54" t="s">
        <v>9082</v>
      </c>
      <c r="E1640" s="50">
        <f t="shared" si="55"/>
        <v>22.410958900000001</v>
      </c>
      <c r="F1640" s="51">
        <f t="shared" si="55"/>
        <v>4.3667153000000001</v>
      </c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</row>
    <row r="1641" spans="1:28" x14ac:dyDescent="0.15">
      <c r="A1641" s="46" t="s">
        <v>3333</v>
      </c>
      <c r="B1641" s="52" t="s">
        <v>7361</v>
      </c>
      <c r="C1641" s="53" t="s">
        <v>3334</v>
      </c>
      <c r="D1641" s="54" t="s">
        <v>9083</v>
      </c>
      <c r="E1641" s="50">
        <f t="shared" si="55"/>
        <v>22.424657530000001</v>
      </c>
      <c r="F1641" s="51">
        <f t="shared" si="55"/>
        <v>4.3669876600000004</v>
      </c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</row>
    <row r="1642" spans="1:28" x14ac:dyDescent="0.15">
      <c r="A1642" s="46" t="s">
        <v>3335</v>
      </c>
      <c r="B1642" s="52" t="s">
        <v>7361</v>
      </c>
      <c r="C1642" s="53" t="s">
        <v>3336</v>
      </c>
      <c r="D1642" s="54" t="s">
        <v>9084</v>
      </c>
      <c r="E1642" s="50">
        <f t="shared" si="55"/>
        <v>22.438356160000001</v>
      </c>
      <c r="F1642" s="51">
        <f t="shared" si="55"/>
        <v>4.3672586100000004</v>
      </c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</row>
    <row r="1643" spans="1:28" x14ac:dyDescent="0.15">
      <c r="A1643" s="46" t="s">
        <v>3337</v>
      </c>
      <c r="B1643" s="52" t="s">
        <v>7361</v>
      </c>
      <c r="C1643" s="53" t="s">
        <v>3338</v>
      </c>
      <c r="D1643" s="54" t="s">
        <v>9085</v>
      </c>
      <c r="E1643" s="50">
        <f t="shared" si="55"/>
        <v>22.452054789999998</v>
      </c>
      <c r="F1643" s="51">
        <f t="shared" si="55"/>
        <v>4.3675279299999996</v>
      </c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</row>
    <row r="1644" spans="1:28" x14ac:dyDescent="0.15">
      <c r="A1644" s="46" t="s">
        <v>3339</v>
      </c>
      <c r="B1644" s="52" t="s">
        <v>7361</v>
      </c>
      <c r="C1644" s="53" t="s">
        <v>3340</v>
      </c>
      <c r="D1644" s="54" t="s">
        <v>9086</v>
      </c>
      <c r="E1644" s="50">
        <f t="shared" si="55"/>
        <v>22.465753419999999</v>
      </c>
      <c r="F1644" s="51">
        <f t="shared" si="55"/>
        <v>4.3677954200000002</v>
      </c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</row>
    <row r="1645" spans="1:28" x14ac:dyDescent="0.15">
      <c r="A1645" s="46" t="s">
        <v>3341</v>
      </c>
      <c r="B1645" s="52" t="s">
        <v>7361</v>
      </c>
      <c r="C1645" s="53" t="s">
        <v>3342</v>
      </c>
      <c r="D1645" s="54" t="s">
        <v>9087</v>
      </c>
      <c r="E1645" s="50">
        <f t="shared" ref="E1645:F1674" si="56">VALUE(C1645)</f>
        <v>22.479452049999999</v>
      </c>
      <c r="F1645" s="51">
        <f t="shared" si="56"/>
        <v>4.36806085</v>
      </c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</row>
    <row r="1646" spans="1:28" x14ac:dyDescent="0.15">
      <c r="A1646" s="46" t="s">
        <v>3343</v>
      </c>
      <c r="B1646" s="52" t="s">
        <v>7361</v>
      </c>
      <c r="C1646" s="53" t="s">
        <v>3344</v>
      </c>
      <c r="D1646" s="54" t="s">
        <v>9088</v>
      </c>
      <c r="E1646" s="50">
        <f t="shared" si="56"/>
        <v>22.493150679999999</v>
      </c>
      <c r="F1646" s="51">
        <f t="shared" si="56"/>
        <v>4.3683240300000001</v>
      </c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</row>
    <row r="1647" spans="1:28" x14ac:dyDescent="0.15">
      <c r="A1647" s="46" t="s">
        <v>3345</v>
      </c>
      <c r="B1647" s="52" t="s">
        <v>7361</v>
      </c>
      <c r="C1647" s="53" t="s">
        <v>3346</v>
      </c>
      <c r="D1647" s="54" t="s">
        <v>9089</v>
      </c>
      <c r="E1647" s="50">
        <f t="shared" si="56"/>
        <v>22.506849320000001</v>
      </c>
      <c r="F1647" s="51">
        <f t="shared" si="56"/>
        <v>4.3685856300000001</v>
      </c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</row>
    <row r="1648" spans="1:28" x14ac:dyDescent="0.15">
      <c r="A1648" s="46" t="s">
        <v>3347</v>
      </c>
      <c r="B1648" s="52" t="s">
        <v>7361</v>
      </c>
      <c r="C1648" s="53" t="s">
        <v>3348</v>
      </c>
      <c r="D1648" s="54" t="s">
        <v>9090</v>
      </c>
      <c r="E1648" s="50">
        <f t="shared" si="56"/>
        <v>22.520547950000001</v>
      </c>
      <c r="F1648" s="51">
        <f t="shared" si="56"/>
        <v>4.36885089</v>
      </c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</row>
    <row r="1649" spans="1:28" x14ac:dyDescent="0.15">
      <c r="A1649" s="46" t="s">
        <v>3349</v>
      </c>
      <c r="B1649" s="52" t="s">
        <v>7361</v>
      </c>
      <c r="C1649" s="53" t="s">
        <v>3350</v>
      </c>
      <c r="D1649" s="54" t="s">
        <v>9091</v>
      </c>
      <c r="E1649" s="50">
        <f t="shared" si="56"/>
        <v>22.534246580000001</v>
      </c>
      <c r="F1649" s="51">
        <f t="shared" si="56"/>
        <v>4.3691205100000001</v>
      </c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</row>
    <row r="1650" spans="1:28" x14ac:dyDescent="0.15">
      <c r="A1650" s="46" t="s">
        <v>3351</v>
      </c>
      <c r="B1650" s="52" t="s">
        <v>7361</v>
      </c>
      <c r="C1650" s="53" t="s">
        <v>3352</v>
      </c>
      <c r="D1650" s="54" t="s">
        <v>9092</v>
      </c>
      <c r="E1650" s="50">
        <f t="shared" si="56"/>
        <v>22.547945210000002</v>
      </c>
      <c r="F1650" s="51">
        <f t="shared" si="56"/>
        <v>4.3693942999999997</v>
      </c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</row>
    <row r="1651" spans="1:28" x14ac:dyDescent="0.15">
      <c r="A1651" s="46" t="s">
        <v>3353</v>
      </c>
      <c r="B1651" s="52" t="s">
        <v>7361</v>
      </c>
      <c r="C1651" s="53" t="s">
        <v>3354</v>
      </c>
      <c r="D1651" s="54" t="s">
        <v>9093</v>
      </c>
      <c r="E1651" s="50">
        <f t="shared" si="56"/>
        <v>22.561643839999999</v>
      </c>
      <c r="F1651" s="51">
        <f t="shared" si="56"/>
        <v>4.3696720600000001</v>
      </c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</row>
    <row r="1652" spans="1:28" x14ac:dyDescent="0.15">
      <c r="A1652" s="46" t="s">
        <v>3355</v>
      </c>
      <c r="B1652" s="52" t="s">
        <v>7361</v>
      </c>
      <c r="C1652" s="53" t="s">
        <v>3356</v>
      </c>
      <c r="D1652" s="54" t="s">
        <v>9094</v>
      </c>
      <c r="E1652" s="50">
        <f t="shared" si="56"/>
        <v>22.575342469999999</v>
      </c>
      <c r="F1652" s="51">
        <f t="shared" si="56"/>
        <v>4.3699536200000004</v>
      </c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</row>
    <row r="1653" spans="1:28" x14ac:dyDescent="0.15">
      <c r="A1653" s="46" t="s">
        <v>3357</v>
      </c>
      <c r="B1653" s="52" t="s">
        <v>7361</v>
      </c>
      <c r="C1653" s="53" t="s">
        <v>3358</v>
      </c>
      <c r="D1653" s="54" t="s">
        <v>9095</v>
      </c>
      <c r="E1653" s="50">
        <f t="shared" si="56"/>
        <v>22.589041099999999</v>
      </c>
      <c r="F1653" s="51">
        <f t="shared" si="56"/>
        <v>4.3702387800000002</v>
      </c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</row>
    <row r="1654" spans="1:28" x14ac:dyDescent="0.15">
      <c r="A1654" s="46" t="s">
        <v>3359</v>
      </c>
      <c r="B1654" s="52" t="s">
        <v>7361</v>
      </c>
      <c r="C1654" s="53" t="s">
        <v>3360</v>
      </c>
      <c r="D1654" s="54" t="s">
        <v>9096</v>
      </c>
      <c r="E1654" s="50">
        <f t="shared" si="56"/>
        <v>22.60273973</v>
      </c>
      <c r="F1654" s="51">
        <f t="shared" si="56"/>
        <v>4.3705273399999998</v>
      </c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</row>
    <row r="1655" spans="1:28" x14ac:dyDescent="0.15">
      <c r="A1655" s="46" t="s">
        <v>3361</v>
      </c>
      <c r="B1655" s="52" t="s">
        <v>7361</v>
      </c>
      <c r="C1655" s="53" t="s">
        <v>3362</v>
      </c>
      <c r="D1655" s="54" t="s">
        <v>9097</v>
      </c>
      <c r="E1655" s="50">
        <f t="shared" si="56"/>
        <v>22.61643836</v>
      </c>
      <c r="F1655" s="51">
        <f t="shared" si="56"/>
        <v>4.3708191200000002</v>
      </c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</row>
    <row r="1656" spans="1:28" x14ac:dyDescent="0.15">
      <c r="A1656" s="46" t="s">
        <v>3363</v>
      </c>
      <c r="B1656" s="52" t="s">
        <v>7361</v>
      </c>
      <c r="C1656" s="53" t="s">
        <v>3364</v>
      </c>
      <c r="D1656" s="54" t="s">
        <v>9098</v>
      </c>
      <c r="E1656" s="50">
        <f t="shared" si="56"/>
        <v>22.63013699</v>
      </c>
      <c r="F1656" s="51">
        <f t="shared" si="56"/>
        <v>4.37111392</v>
      </c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</row>
    <row r="1657" spans="1:28" x14ac:dyDescent="0.15">
      <c r="A1657" s="46" t="s">
        <v>3365</v>
      </c>
      <c r="B1657" s="52" t="s">
        <v>7361</v>
      </c>
      <c r="C1657" s="53" t="s">
        <v>3366</v>
      </c>
      <c r="D1657" s="54" t="s">
        <v>9099</v>
      </c>
      <c r="E1657" s="50">
        <f t="shared" si="56"/>
        <v>22.643835620000001</v>
      </c>
      <c r="F1657" s="51">
        <f t="shared" si="56"/>
        <v>4.3714115600000003</v>
      </c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</row>
    <row r="1658" spans="1:28" x14ac:dyDescent="0.15">
      <c r="A1658" s="46" t="s">
        <v>3367</v>
      </c>
      <c r="B1658" s="52" t="s">
        <v>7361</v>
      </c>
      <c r="C1658" s="53" t="s">
        <v>3368</v>
      </c>
      <c r="D1658" s="54" t="s">
        <v>9100</v>
      </c>
      <c r="E1658" s="50">
        <f t="shared" si="56"/>
        <v>22.657534250000001</v>
      </c>
      <c r="F1658" s="51">
        <f t="shared" si="56"/>
        <v>4.3717118399999997</v>
      </c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</row>
    <row r="1659" spans="1:28" x14ac:dyDescent="0.15">
      <c r="A1659" s="46" t="s">
        <v>3369</v>
      </c>
      <c r="B1659" s="52" t="s">
        <v>7361</v>
      </c>
      <c r="C1659" s="53" t="s">
        <v>3370</v>
      </c>
      <c r="D1659" s="54" t="s">
        <v>9101</v>
      </c>
      <c r="E1659" s="50">
        <f t="shared" si="56"/>
        <v>22.671232880000002</v>
      </c>
      <c r="F1659" s="51">
        <f t="shared" si="56"/>
        <v>4.3720145700000002</v>
      </c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</row>
    <row r="1660" spans="1:28" x14ac:dyDescent="0.15">
      <c r="A1660" s="46" t="s">
        <v>3371</v>
      </c>
      <c r="B1660" s="52" t="s">
        <v>7361</v>
      </c>
      <c r="C1660" s="53" t="s">
        <v>3372</v>
      </c>
      <c r="D1660" s="54" t="s">
        <v>9102</v>
      </c>
      <c r="E1660" s="50">
        <f t="shared" si="56"/>
        <v>22.684931509999998</v>
      </c>
      <c r="F1660" s="51">
        <f t="shared" si="56"/>
        <v>4.3723195600000002</v>
      </c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</row>
    <row r="1661" spans="1:28" x14ac:dyDescent="0.15">
      <c r="A1661" s="46" t="s">
        <v>3373</v>
      </c>
      <c r="B1661" s="52" t="s">
        <v>7361</v>
      </c>
      <c r="C1661" s="53" t="s">
        <v>3374</v>
      </c>
      <c r="D1661" s="54" t="s">
        <v>9103</v>
      </c>
      <c r="E1661" s="50">
        <f t="shared" si="56"/>
        <v>22.698630139999999</v>
      </c>
      <c r="F1661" s="51">
        <f t="shared" si="56"/>
        <v>4.3726266200000001</v>
      </c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</row>
    <row r="1662" spans="1:28" x14ac:dyDescent="0.15">
      <c r="A1662" s="46" t="s">
        <v>3375</v>
      </c>
      <c r="B1662" s="52" t="s">
        <v>7361</v>
      </c>
      <c r="C1662" s="53" t="s">
        <v>3376</v>
      </c>
      <c r="D1662" s="54" t="s">
        <v>9104</v>
      </c>
      <c r="E1662" s="50">
        <f t="shared" si="56"/>
        <v>22.712328769999999</v>
      </c>
      <c r="F1662" s="51">
        <f t="shared" si="56"/>
        <v>4.3729355600000002</v>
      </c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</row>
    <row r="1663" spans="1:28" x14ac:dyDescent="0.15">
      <c r="A1663" s="46" t="s">
        <v>3377</v>
      </c>
      <c r="B1663" s="52" t="s">
        <v>7361</v>
      </c>
      <c r="C1663" s="53" t="s">
        <v>3378</v>
      </c>
      <c r="D1663" s="54" t="s">
        <v>9105</v>
      </c>
      <c r="E1663" s="50">
        <f t="shared" si="56"/>
        <v>22.7260274</v>
      </c>
      <c r="F1663" s="51">
        <f t="shared" si="56"/>
        <v>4.3732461899999997</v>
      </c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</row>
    <row r="1664" spans="1:28" x14ac:dyDescent="0.15">
      <c r="A1664" s="46" t="s">
        <v>3379</v>
      </c>
      <c r="B1664" s="52" t="s">
        <v>7361</v>
      </c>
      <c r="C1664" s="53" t="s">
        <v>3380</v>
      </c>
      <c r="D1664" s="54" t="s">
        <v>9106</v>
      </c>
      <c r="E1664" s="50">
        <f t="shared" si="56"/>
        <v>22.73972603</v>
      </c>
      <c r="F1664" s="51">
        <f t="shared" si="56"/>
        <v>4.3735583099999999</v>
      </c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</row>
    <row r="1665" spans="1:28" x14ac:dyDescent="0.15">
      <c r="A1665" s="46" t="s">
        <v>3381</v>
      </c>
      <c r="B1665" s="52" t="s">
        <v>7361</v>
      </c>
      <c r="C1665" s="53" t="s">
        <v>3382</v>
      </c>
      <c r="D1665" s="54" t="s">
        <v>9107</v>
      </c>
      <c r="E1665" s="50">
        <f t="shared" si="56"/>
        <v>22.75342466</v>
      </c>
      <c r="F1665" s="51">
        <f t="shared" si="56"/>
        <v>4.3738717400000002</v>
      </c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</row>
    <row r="1666" spans="1:28" x14ac:dyDescent="0.15">
      <c r="A1666" s="46" t="s">
        <v>3383</v>
      </c>
      <c r="B1666" s="52" t="s">
        <v>7361</v>
      </c>
      <c r="C1666" s="53" t="s">
        <v>3384</v>
      </c>
      <c r="D1666" s="54" t="s">
        <v>9108</v>
      </c>
      <c r="E1666" s="50">
        <f t="shared" si="56"/>
        <v>22.767123290000001</v>
      </c>
      <c r="F1666" s="51">
        <f t="shared" si="56"/>
        <v>4.3741862899999999</v>
      </c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</row>
    <row r="1667" spans="1:28" x14ac:dyDescent="0.15">
      <c r="A1667" s="46" t="s">
        <v>3385</v>
      </c>
      <c r="B1667" s="52" t="s">
        <v>7361</v>
      </c>
      <c r="C1667" s="53" t="s">
        <v>3386</v>
      </c>
      <c r="D1667" s="54" t="s">
        <v>9109</v>
      </c>
      <c r="E1667" s="50">
        <f t="shared" si="56"/>
        <v>22.780821920000001</v>
      </c>
      <c r="F1667" s="51">
        <f t="shared" si="56"/>
        <v>4.3745017500000003</v>
      </c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</row>
    <row r="1668" spans="1:28" x14ac:dyDescent="0.15">
      <c r="A1668" s="46" t="s">
        <v>3387</v>
      </c>
      <c r="B1668" s="52" t="s">
        <v>7361</v>
      </c>
      <c r="C1668" s="53" t="s">
        <v>3388</v>
      </c>
      <c r="D1668" s="54" t="s">
        <v>9110</v>
      </c>
      <c r="E1668" s="50">
        <f t="shared" si="56"/>
        <v>22.794520550000001</v>
      </c>
      <c r="F1668" s="51">
        <f t="shared" si="56"/>
        <v>4.3748179499999997</v>
      </c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</row>
    <row r="1669" spans="1:28" x14ac:dyDescent="0.15">
      <c r="A1669" s="46" t="s">
        <v>3389</v>
      </c>
      <c r="B1669" s="52" t="s">
        <v>7361</v>
      </c>
      <c r="C1669" s="53" t="s">
        <v>3390</v>
      </c>
      <c r="D1669" s="54" t="s">
        <v>9111</v>
      </c>
      <c r="E1669" s="50">
        <f t="shared" si="56"/>
        <v>22.808219179999998</v>
      </c>
      <c r="F1669" s="51">
        <f t="shared" si="56"/>
        <v>4.3751347000000003</v>
      </c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</row>
    <row r="1670" spans="1:28" x14ac:dyDescent="0.15">
      <c r="A1670" s="46" t="s">
        <v>3391</v>
      </c>
      <c r="B1670" s="52" t="s">
        <v>7361</v>
      </c>
      <c r="C1670" s="53" t="s">
        <v>3392</v>
      </c>
      <c r="D1670" s="54" t="s">
        <v>9112</v>
      </c>
      <c r="E1670" s="50">
        <f t="shared" si="56"/>
        <v>22.821917809999999</v>
      </c>
      <c r="F1670" s="51">
        <f t="shared" si="56"/>
        <v>4.3754517899999996</v>
      </c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</row>
    <row r="1671" spans="1:28" x14ac:dyDescent="0.15">
      <c r="A1671" s="46" t="s">
        <v>3393</v>
      </c>
      <c r="B1671" s="52" t="s">
        <v>7361</v>
      </c>
      <c r="C1671" s="53" t="s">
        <v>3394</v>
      </c>
      <c r="D1671" s="54" t="s">
        <v>9113</v>
      </c>
      <c r="E1671" s="50">
        <f t="shared" si="56"/>
        <v>22.835616439999999</v>
      </c>
      <c r="F1671" s="51">
        <f t="shared" si="56"/>
        <v>4.3757690399999998</v>
      </c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</row>
    <row r="1672" spans="1:28" x14ac:dyDescent="0.15">
      <c r="A1672" s="46" t="s">
        <v>3395</v>
      </c>
      <c r="B1672" s="52" t="s">
        <v>7361</v>
      </c>
      <c r="C1672" s="53" t="s">
        <v>3396</v>
      </c>
      <c r="D1672" s="54" t="s">
        <v>9114</v>
      </c>
      <c r="E1672" s="50">
        <f t="shared" si="56"/>
        <v>22.849315069999999</v>
      </c>
      <c r="F1672" s="51">
        <f t="shared" si="56"/>
        <v>4.3760862500000002</v>
      </c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</row>
    <row r="1673" spans="1:28" x14ac:dyDescent="0.15">
      <c r="A1673" s="46" t="s">
        <v>3397</v>
      </c>
      <c r="B1673" s="52" t="s">
        <v>7361</v>
      </c>
      <c r="C1673" s="53" t="s">
        <v>3398</v>
      </c>
      <c r="D1673" s="54" t="s">
        <v>9115</v>
      </c>
      <c r="E1673" s="50">
        <f t="shared" si="56"/>
        <v>22.8630137</v>
      </c>
      <c r="F1673" s="51">
        <f t="shared" si="56"/>
        <v>4.3764032500000001</v>
      </c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</row>
    <row r="1674" spans="1:28" x14ac:dyDescent="0.15">
      <c r="A1674" s="46" t="s">
        <v>3399</v>
      </c>
      <c r="B1674" s="52" t="s">
        <v>7361</v>
      </c>
      <c r="C1674" s="53" t="s">
        <v>3400</v>
      </c>
      <c r="D1674" s="54" t="s">
        <v>9116</v>
      </c>
      <c r="E1674" s="50">
        <f t="shared" si="56"/>
        <v>22.87671233</v>
      </c>
      <c r="F1674" s="51">
        <f t="shared" si="56"/>
        <v>4.3767198299999999</v>
      </c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</row>
    <row r="1675" spans="1:28" x14ac:dyDescent="0.15">
      <c r="A1675" s="46" t="s">
        <v>3401</v>
      </c>
      <c r="B1675" s="52" t="s">
        <v>7361</v>
      </c>
      <c r="C1675" s="53" t="s">
        <v>3402</v>
      </c>
      <c r="D1675" s="54" t="s">
        <v>9117</v>
      </c>
      <c r="E1675" s="50">
        <f t="shared" ref="E1675:F1705" si="57">VALUE(C1675)</f>
        <v>22.890410960000001</v>
      </c>
      <c r="F1675" s="51">
        <f t="shared" si="57"/>
        <v>4.3770358099999997</v>
      </c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</row>
    <row r="1676" spans="1:28" x14ac:dyDescent="0.15">
      <c r="A1676" s="46" t="s">
        <v>3403</v>
      </c>
      <c r="B1676" s="52" t="s">
        <v>7361</v>
      </c>
      <c r="C1676" s="53" t="s">
        <v>3404</v>
      </c>
      <c r="D1676" s="54" t="s">
        <v>9118</v>
      </c>
      <c r="E1676" s="50">
        <f t="shared" si="57"/>
        <v>22.904109590000001</v>
      </c>
      <c r="F1676" s="51">
        <f t="shared" si="57"/>
        <v>4.3773509900000001</v>
      </c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</row>
    <row r="1677" spans="1:28" x14ac:dyDescent="0.15">
      <c r="A1677" s="46" t="s">
        <v>3405</v>
      </c>
      <c r="B1677" s="52" t="s">
        <v>7361</v>
      </c>
      <c r="C1677" s="53" t="s">
        <v>3406</v>
      </c>
      <c r="D1677" s="54" t="s">
        <v>9119</v>
      </c>
      <c r="E1677" s="50">
        <f t="shared" si="57"/>
        <v>22.917808220000001</v>
      </c>
      <c r="F1677" s="51">
        <f t="shared" si="57"/>
        <v>4.3776651800000002</v>
      </c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</row>
    <row r="1678" spans="1:28" x14ac:dyDescent="0.15">
      <c r="A1678" s="46" t="s">
        <v>3407</v>
      </c>
      <c r="B1678" s="52" t="s">
        <v>7361</v>
      </c>
      <c r="C1678" s="53" t="s">
        <v>3408</v>
      </c>
      <c r="D1678" s="54" t="s">
        <v>9120</v>
      </c>
      <c r="E1678" s="50">
        <f t="shared" si="57"/>
        <v>22.931506850000002</v>
      </c>
      <c r="F1678" s="51">
        <f t="shared" si="57"/>
        <v>4.3779782000000003</v>
      </c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</row>
    <row r="1679" spans="1:28" x14ac:dyDescent="0.15">
      <c r="A1679" s="46" t="s">
        <v>3409</v>
      </c>
      <c r="B1679" s="52" t="s">
        <v>7361</v>
      </c>
      <c r="C1679" s="53" t="s">
        <v>3410</v>
      </c>
      <c r="D1679" s="54" t="s">
        <v>9121</v>
      </c>
      <c r="E1679" s="50">
        <f t="shared" si="57"/>
        <v>22.945205479999998</v>
      </c>
      <c r="F1679" s="51">
        <f t="shared" si="57"/>
        <v>4.3782898499999998</v>
      </c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</row>
    <row r="1680" spans="1:28" x14ac:dyDescent="0.15">
      <c r="A1680" s="46" t="s">
        <v>3411</v>
      </c>
      <c r="B1680" s="52" t="s">
        <v>7361</v>
      </c>
      <c r="C1680" s="53" t="s">
        <v>3412</v>
      </c>
      <c r="D1680" s="54" t="s">
        <v>9122</v>
      </c>
      <c r="E1680" s="50">
        <f t="shared" si="57"/>
        <v>22.958904109999999</v>
      </c>
      <c r="F1680" s="51">
        <f t="shared" si="57"/>
        <v>4.37859993</v>
      </c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</row>
    <row r="1681" spans="1:28" x14ac:dyDescent="0.15">
      <c r="A1681" s="46" t="s">
        <v>3413</v>
      </c>
      <c r="B1681" s="52" t="s">
        <v>7361</v>
      </c>
      <c r="C1681" s="53" t="s">
        <v>3414</v>
      </c>
      <c r="D1681" s="54" t="s">
        <v>9123</v>
      </c>
      <c r="E1681" s="50">
        <f t="shared" si="57"/>
        <v>22.972602739999999</v>
      </c>
      <c r="F1681" s="51">
        <f t="shared" si="57"/>
        <v>4.3789082700000002</v>
      </c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</row>
    <row r="1682" spans="1:28" x14ac:dyDescent="0.15">
      <c r="A1682" s="46" t="s">
        <v>3415</v>
      </c>
      <c r="B1682" s="52" t="s">
        <v>7361</v>
      </c>
      <c r="C1682" s="53" t="s">
        <v>3416</v>
      </c>
      <c r="D1682" s="54" t="s">
        <v>9124</v>
      </c>
      <c r="E1682" s="50">
        <f t="shared" si="57"/>
        <v>22.98630137</v>
      </c>
      <c r="F1682" s="51">
        <f t="shared" si="57"/>
        <v>4.3792146599999997</v>
      </c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</row>
    <row r="1683" spans="1:28" x14ac:dyDescent="0.15">
      <c r="A1683" s="46" t="s">
        <v>3417</v>
      </c>
      <c r="B1683" s="52" t="s">
        <v>7361</v>
      </c>
      <c r="C1683" s="53" t="s">
        <v>3418</v>
      </c>
      <c r="D1683" s="54" t="s">
        <v>9125</v>
      </c>
      <c r="E1683" s="50">
        <f t="shared" si="57"/>
        <v>23</v>
      </c>
      <c r="F1683" s="51">
        <f t="shared" si="57"/>
        <v>4.3795189199999998</v>
      </c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</row>
    <row r="1684" spans="1:28" x14ac:dyDescent="0.15">
      <c r="A1684" s="46" t="s">
        <v>3419</v>
      </c>
      <c r="B1684" s="52" t="s">
        <v>7361</v>
      </c>
      <c r="C1684" s="53" t="s">
        <v>3420</v>
      </c>
      <c r="D1684" s="54" t="s">
        <v>9126</v>
      </c>
      <c r="E1684" s="50">
        <f t="shared" si="57"/>
        <v>23.01369863</v>
      </c>
      <c r="F1684" s="51">
        <f t="shared" si="57"/>
        <v>4.3798240799999997</v>
      </c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</row>
    <row r="1685" spans="1:28" x14ac:dyDescent="0.15">
      <c r="A1685" s="46" t="s">
        <v>3421</v>
      </c>
      <c r="B1685" s="52" t="s">
        <v>7361</v>
      </c>
      <c r="C1685" s="53" t="s">
        <v>3422</v>
      </c>
      <c r="D1685" s="54" t="s">
        <v>9127</v>
      </c>
      <c r="E1685" s="50">
        <f t="shared" si="57"/>
        <v>23.027397260000001</v>
      </c>
      <c r="F1685" s="51">
        <f t="shared" si="57"/>
        <v>4.3801332100000003</v>
      </c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</row>
    <row r="1686" spans="1:28" x14ac:dyDescent="0.15">
      <c r="A1686" s="46" t="s">
        <v>3423</v>
      </c>
      <c r="B1686" s="52" t="s">
        <v>7361</v>
      </c>
      <c r="C1686" s="53" t="s">
        <v>3424</v>
      </c>
      <c r="D1686" s="54" t="s">
        <v>9128</v>
      </c>
      <c r="E1686" s="50">
        <f t="shared" si="57"/>
        <v>23.041095890000001</v>
      </c>
      <c r="F1686" s="51">
        <f t="shared" si="57"/>
        <v>4.3804461200000002</v>
      </c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</row>
    <row r="1687" spans="1:28" x14ac:dyDescent="0.15">
      <c r="A1687" s="46" t="s">
        <v>3425</v>
      </c>
      <c r="B1687" s="52" t="s">
        <v>7361</v>
      </c>
      <c r="C1687" s="53" t="s">
        <v>3426</v>
      </c>
      <c r="D1687" s="54" t="s">
        <v>9129</v>
      </c>
      <c r="E1687" s="50">
        <f t="shared" si="57"/>
        <v>23.054794520000002</v>
      </c>
      <c r="F1687" s="51">
        <f t="shared" si="57"/>
        <v>4.3807626500000003</v>
      </c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</row>
    <row r="1688" spans="1:28" x14ac:dyDescent="0.15">
      <c r="A1688" s="46" t="s">
        <v>3427</v>
      </c>
      <c r="B1688" s="52" t="s">
        <v>7361</v>
      </c>
      <c r="C1688" s="53" t="s">
        <v>3428</v>
      </c>
      <c r="D1688" s="54" t="s">
        <v>9130</v>
      </c>
      <c r="E1688" s="50">
        <f t="shared" si="57"/>
        <v>23.068493149999998</v>
      </c>
      <c r="F1688" s="51">
        <f t="shared" si="57"/>
        <v>4.3810826199999999</v>
      </c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</row>
    <row r="1689" spans="1:28" x14ac:dyDescent="0.15">
      <c r="A1689" s="46" t="s">
        <v>3429</v>
      </c>
      <c r="B1689" s="52" t="s">
        <v>7361</v>
      </c>
      <c r="C1689" s="53" t="s">
        <v>3430</v>
      </c>
      <c r="D1689" s="54" t="s">
        <v>9131</v>
      </c>
      <c r="E1689" s="50">
        <f t="shared" si="57"/>
        <v>23.082191779999999</v>
      </c>
      <c r="F1689" s="51">
        <f t="shared" si="57"/>
        <v>4.38140588</v>
      </c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</row>
    <row r="1690" spans="1:28" x14ac:dyDescent="0.15">
      <c r="A1690" s="46" t="s">
        <v>3431</v>
      </c>
      <c r="B1690" s="52" t="s">
        <v>7361</v>
      </c>
      <c r="C1690" s="53" t="s">
        <v>3432</v>
      </c>
      <c r="D1690" s="54" t="s">
        <v>9132</v>
      </c>
      <c r="E1690" s="50">
        <f t="shared" si="57"/>
        <v>23.095890409999999</v>
      </c>
      <c r="F1690" s="51">
        <f t="shared" si="57"/>
        <v>4.3817322499999998</v>
      </c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</row>
    <row r="1691" spans="1:28" x14ac:dyDescent="0.15">
      <c r="A1691" s="46" t="s">
        <v>3433</v>
      </c>
      <c r="B1691" s="52" t="s">
        <v>7361</v>
      </c>
      <c r="C1691" s="53" t="s">
        <v>3434</v>
      </c>
      <c r="D1691" s="54" t="s">
        <v>9133</v>
      </c>
      <c r="E1691" s="50">
        <f t="shared" si="57"/>
        <v>23.109589039999999</v>
      </c>
      <c r="F1691" s="51">
        <f t="shared" si="57"/>
        <v>4.3820615500000004</v>
      </c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</row>
    <row r="1692" spans="1:28" x14ac:dyDescent="0.15">
      <c r="A1692" s="46" t="s">
        <v>3435</v>
      </c>
      <c r="B1692" s="52" t="s">
        <v>7361</v>
      </c>
      <c r="C1692" s="53" t="s">
        <v>3436</v>
      </c>
      <c r="D1692" s="54" t="s">
        <v>9134</v>
      </c>
      <c r="E1692" s="50">
        <f t="shared" si="57"/>
        <v>23.12328767</v>
      </c>
      <c r="F1692" s="51">
        <f t="shared" si="57"/>
        <v>4.3823936300000002</v>
      </c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</row>
    <row r="1693" spans="1:28" x14ac:dyDescent="0.15">
      <c r="A1693" s="46" t="s">
        <v>3437</v>
      </c>
      <c r="B1693" s="52" t="s">
        <v>7361</v>
      </c>
      <c r="C1693" s="53" t="s">
        <v>3438</v>
      </c>
      <c r="D1693" s="54" t="s">
        <v>9135</v>
      </c>
      <c r="E1693" s="50">
        <f t="shared" si="57"/>
        <v>23.1369863</v>
      </c>
      <c r="F1693" s="51">
        <f t="shared" si="57"/>
        <v>4.3827283100000001</v>
      </c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</row>
    <row r="1694" spans="1:28" x14ac:dyDescent="0.15">
      <c r="A1694" s="46" t="s">
        <v>3439</v>
      </c>
      <c r="B1694" s="52" t="s">
        <v>7361</v>
      </c>
      <c r="C1694" s="53" t="s">
        <v>3440</v>
      </c>
      <c r="D1694" s="54" t="s">
        <v>9136</v>
      </c>
      <c r="E1694" s="50">
        <f t="shared" si="57"/>
        <v>23.150684930000001</v>
      </c>
      <c r="F1694" s="51">
        <f t="shared" si="57"/>
        <v>4.3830654200000003</v>
      </c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</row>
    <row r="1695" spans="1:28" x14ac:dyDescent="0.15">
      <c r="A1695" s="46" t="s">
        <v>3441</v>
      </c>
      <c r="B1695" s="52" t="s">
        <v>7361</v>
      </c>
      <c r="C1695" s="53" t="s">
        <v>3442</v>
      </c>
      <c r="D1695" s="54" t="s">
        <v>9137</v>
      </c>
      <c r="E1695" s="50">
        <f t="shared" si="57"/>
        <v>23.164383560000001</v>
      </c>
      <c r="F1695" s="51">
        <f t="shared" si="57"/>
        <v>4.3834047900000002</v>
      </c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</row>
    <row r="1696" spans="1:28" x14ac:dyDescent="0.15">
      <c r="A1696" s="46" t="s">
        <v>3443</v>
      </c>
      <c r="B1696" s="52" t="s">
        <v>7361</v>
      </c>
      <c r="C1696" s="53" t="s">
        <v>3444</v>
      </c>
      <c r="D1696" s="54" t="s">
        <v>9138</v>
      </c>
      <c r="E1696" s="50">
        <f t="shared" si="57"/>
        <v>23.178082190000001</v>
      </c>
      <c r="F1696" s="51">
        <f t="shared" si="57"/>
        <v>4.3837462499999997</v>
      </c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</row>
    <row r="1697" spans="1:28" x14ac:dyDescent="0.15">
      <c r="A1697" s="46" t="s">
        <v>3445</v>
      </c>
      <c r="B1697" s="52" t="s">
        <v>7361</v>
      </c>
      <c r="C1697" s="53" t="s">
        <v>3446</v>
      </c>
      <c r="D1697" s="54" t="s">
        <v>9139</v>
      </c>
      <c r="E1697" s="50">
        <f t="shared" si="57"/>
        <v>23.191780820000002</v>
      </c>
      <c r="F1697" s="51">
        <f t="shared" si="57"/>
        <v>4.3840896300000001</v>
      </c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</row>
    <row r="1698" spans="1:28" x14ac:dyDescent="0.15">
      <c r="A1698" s="46" t="s">
        <v>3447</v>
      </c>
      <c r="B1698" s="52" t="s">
        <v>7361</v>
      </c>
      <c r="C1698" s="53" t="s">
        <v>3448</v>
      </c>
      <c r="D1698" s="54" t="s">
        <v>9140</v>
      </c>
      <c r="E1698" s="50">
        <f t="shared" si="57"/>
        <v>23.205479449999999</v>
      </c>
      <c r="F1698" s="51">
        <f t="shared" si="57"/>
        <v>4.3844347700000004</v>
      </c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</row>
    <row r="1699" spans="1:28" x14ac:dyDescent="0.15">
      <c r="A1699" s="46" t="s">
        <v>3449</v>
      </c>
      <c r="B1699" s="52" t="s">
        <v>7361</v>
      </c>
      <c r="C1699" s="53" t="s">
        <v>3450</v>
      </c>
      <c r="D1699" s="54" t="s">
        <v>9141</v>
      </c>
      <c r="E1699" s="50">
        <f t="shared" si="57"/>
        <v>23.219178079999999</v>
      </c>
      <c r="F1699" s="51">
        <f t="shared" si="57"/>
        <v>4.3847814899999999</v>
      </c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</row>
    <row r="1700" spans="1:28" x14ac:dyDescent="0.15">
      <c r="A1700" s="46" t="s">
        <v>3451</v>
      </c>
      <c r="B1700" s="52" t="s">
        <v>7361</v>
      </c>
      <c r="C1700" s="53" t="s">
        <v>3452</v>
      </c>
      <c r="D1700" s="54" t="s">
        <v>9142</v>
      </c>
      <c r="E1700" s="50">
        <f t="shared" si="57"/>
        <v>23.232876709999999</v>
      </c>
      <c r="F1700" s="51">
        <f t="shared" si="57"/>
        <v>4.3851296199999998</v>
      </c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</row>
    <row r="1701" spans="1:28" x14ac:dyDescent="0.15">
      <c r="A1701" s="46" t="s">
        <v>3453</v>
      </c>
      <c r="B1701" s="52" t="s">
        <v>7361</v>
      </c>
      <c r="C1701" s="53" t="s">
        <v>3454</v>
      </c>
      <c r="D1701" s="54" t="s">
        <v>9143</v>
      </c>
      <c r="E1701" s="50">
        <f t="shared" si="57"/>
        <v>23.24657534</v>
      </c>
      <c r="F1701" s="51">
        <f t="shared" si="57"/>
        <v>4.3854790000000001</v>
      </c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</row>
    <row r="1702" spans="1:28" x14ac:dyDescent="0.15">
      <c r="A1702" s="46" t="s">
        <v>3455</v>
      </c>
      <c r="B1702" s="52" t="s">
        <v>7361</v>
      </c>
      <c r="C1702" s="53" t="s">
        <v>3456</v>
      </c>
      <c r="D1702" s="54" t="s">
        <v>9144</v>
      </c>
      <c r="E1702" s="50">
        <f t="shared" si="57"/>
        <v>23.26027397</v>
      </c>
      <c r="F1702" s="51">
        <f t="shared" si="57"/>
        <v>4.3858294500000001</v>
      </c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</row>
    <row r="1703" spans="1:28" x14ac:dyDescent="0.15">
      <c r="A1703" s="46" t="s">
        <v>3457</v>
      </c>
      <c r="B1703" s="52" t="s">
        <v>7361</v>
      </c>
      <c r="C1703" s="53" t="s">
        <v>3458</v>
      </c>
      <c r="D1703" s="54" t="s">
        <v>9145</v>
      </c>
      <c r="E1703" s="50">
        <f t="shared" si="57"/>
        <v>23.2739726</v>
      </c>
      <c r="F1703" s="51">
        <f t="shared" si="57"/>
        <v>4.3861808099999999</v>
      </c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</row>
    <row r="1704" spans="1:28" x14ac:dyDescent="0.15">
      <c r="A1704" s="46" t="s">
        <v>3459</v>
      </c>
      <c r="B1704" s="52" t="s">
        <v>7361</v>
      </c>
      <c r="C1704" s="53" t="s">
        <v>3460</v>
      </c>
      <c r="D1704" s="54" t="s">
        <v>9146</v>
      </c>
      <c r="E1704" s="50">
        <f t="shared" si="57"/>
        <v>23.287671230000001</v>
      </c>
      <c r="F1704" s="51">
        <f t="shared" si="57"/>
        <v>4.3865328999999997</v>
      </c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</row>
    <row r="1705" spans="1:28" x14ac:dyDescent="0.15">
      <c r="A1705" s="46" t="s">
        <v>3461</v>
      </c>
      <c r="B1705" s="52" t="s">
        <v>7361</v>
      </c>
      <c r="C1705" s="53" t="s">
        <v>3462</v>
      </c>
      <c r="D1705" s="54" t="s">
        <v>9147</v>
      </c>
      <c r="E1705" s="50">
        <f t="shared" si="57"/>
        <v>23.301369860000001</v>
      </c>
      <c r="F1705" s="51">
        <f t="shared" si="57"/>
        <v>4.3868855499999997</v>
      </c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</row>
    <row r="1706" spans="1:28" x14ac:dyDescent="0.15">
      <c r="A1706" s="46" t="s">
        <v>3463</v>
      </c>
      <c r="B1706" s="52" t="s">
        <v>7361</v>
      </c>
      <c r="C1706" s="53" t="s">
        <v>3464</v>
      </c>
      <c r="D1706" s="54" t="s">
        <v>9148</v>
      </c>
      <c r="E1706" s="50">
        <f t="shared" ref="E1706:F1735" si="58">VALUE(C1706)</f>
        <v>23.315068490000002</v>
      </c>
      <c r="F1706" s="51">
        <f t="shared" si="58"/>
        <v>4.3872385999999999</v>
      </c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</row>
    <row r="1707" spans="1:28" x14ac:dyDescent="0.15">
      <c r="A1707" s="46" t="s">
        <v>3465</v>
      </c>
      <c r="B1707" s="52" t="s">
        <v>7361</v>
      </c>
      <c r="C1707" s="53" t="s">
        <v>3466</v>
      </c>
      <c r="D1707" s="54" t="s">
        <v>9149</v>
      </c>
      <c r="E1707" s="50">
        <f t="shared" si="58"/>
        <v>23.328767119999998</v>
      </c>
      <c r="F1707" s="51">
        <f t="shared" si="58"/>
        <v>4.3875918800000004</v>
      </c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</row>
    <row r="1708" spans="1:28" x14ac:dyDescent="0.15">
      <c r="A1708" s="46" t="s">
        <v>3467</v>
      </c>
      <c r="B1708" s="52" t="s">
        <v>7361</v>
      </c>
      <c r="C1708" s="53" t="s">
        <v>3468</v>
      </c>
      <c r="D1708" s="54" t="s">
        <v>9150</v>
      </c>
      <c r="E1708" s="50">
        <f t="shared" si="58"/>
        <v>23.342465749999999</v>
      </c>
      <c r="F1708" s="51">
        <f t="shared" si="58"/>
        <v>4.3879452199999998</v>
      </c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</row>
    <row r="1709" spans="1:28" x14ac:dyDescent="0.15">
      <c r="A1709" s="46" t="s">
        <v>3469</v>
      </c>
      <c r="B1709" s="52" t="s">
        <v>7361</v>
      </c>
      <c r="C1709" s="53" t="s">
        <v>3470</v>
      </c>
      <c r="D1709" s="54" t="s">
        <v>9151</v>
      </c>
      <c r="E1709" s="50">
        <f t="shared" si="58"/>
        <v>23.356164379999999</v>
      </c>
      <c r="F1709" s="51">
        <f t="shared" si="58"/>
        <v>4.3882984399999998</v>
      </c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</row>
    <row r="1710" spans="1:28" x14ac:dyDescent="0.15">
      <c r="A1710" s="46" t="s">
        <v>3471</v>
      </c>
      <c r="B1710" s="52" t="s">
        <v>7361</v>
      </c>
      <c r="C1710" s="53" t="s">
        <v>3472</v>
      </c>
      <c r="D1710" s="54" t="s">
        <v>9152</v>
      </c>
      <c r="E1710" s="50">
        <f t="shared" si="58"/>
        <v>23.36986301</v>
      </c>
      <c r="F1710" s="51">
        <f t="shared" si="58"/>
        <v>4.3886513799999998</v>
      </c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</row>
    <row r="1711" spans="1:28" x14ac:dyDescent="0.15">
      <c r="A1711" s="46" t="s">
        <v>3473</v>
      </c>
      <c r="B1711" s="52" t="s">
        <v>7361</v>
      </c>
      <c r="C1711" s="53" t="s">
        <v>3474</v>
      </c>
      <c r="D1711" s="54" t="s">
        <v>9153</v>
      </c>
      <c r="E1711" s="50">
        <f t="shared" si="58"/>
        <v>23.38356164</v>
      </c>
      <c r="F1711" s="51">
        <f t="shared" si="58"/>
        <v>4.3890038599999999</v>
      </c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</row>
    <row r="1712" spans="1:28" x14ac:dyDescent="0.15">
      <c r="A1712" s="46" t="s">
        <v>3475</v>
      </c>
      <c r="B1712" s="52" t="s">
        <v>7361</v>
      </c>
      <c r="C1712" s="53" t="s">
        <v>3476</v>
      </c>
      <c r="D1712" s="54" t="s">
        <v>9154</v>
      </c>
      <c r="E1712" s="50">
        <f t="shared" si="58"/>
        <v>23.39726027</v>
      </c>
      <c r="F1712" s="51">
        <f t="shared" si="58"/>
        <v>4.3893557300000001</v>
      </c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</row>
    <row r="1713" spans="1:28" x14ac:dyDescent="0.15">
      <c r="A1713" s="46" t="s">
        <v>3477</v>
      </c>
      <c r="B1713" s="52" t="s">
        <v>7361</v>
      </c>
      <c r="C1713" s="53" t="s">
        <v>3478</v>
      </c>
      <c r="D1713" s="54" t="s">
        <v>9155</v>
      </c>
      <c r="E1713" s="50">
        <f t="shared" si="58"/>
        <v>23.410958900000001</v>
      </c>
      <c r="F1713" s="51">
        <f t="shared" si="58"/>
        <v>4.3897067999999999</v>
      </c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</row>
    <row r="1714" spans="1:28" x14ac:dyDescent="0.15">
      <c r="A1714" s="46" t="s">
        <v>3479</v>
      </c>
      <c r="B1714" s="52" t="s">
        <v>7361</v>
      </c>
      <c r="C1714" s="53" t="s">
        <v>3480</v>
      </c>
      <c r="D1714" s="54" t="s">
        <v>9156</v>
      </c>
      <c r="E1714" s="50">
        <f t="shared" si="58"/>
        <v>23.424657530000001</v>
      </c>
      <c r="F1714" s="51">
        <f t="shared" si="58"/>
        <v>4.3900569100000002</v>
      </c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</row>
    <row r="1715" spans="1:28" x14ac:dyDescent="0.15">
      <c r="A1715" s="46" t="s">
        <v>3481</v>
      </c>
      <c r="B1715" s="52" t="s">
        <v>7361</v>
      </c>
      <c r="C1715" s="53" t="s">
        <v>3482</v>
      </c>
      <c r="D1715" s="54" t="s">
        <v>9157</v>
      </c>
      <c r="E1715" s="50">
        <f t="shared" si="58"/>
        <v>23.438356160000001</v>
      </c>
      <c r="F1715" s="51">
        <f t="shared" si="58"/>
        <v>4.3904059000000002</v>
      </c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</row>
    <row r="1716" spans="1:28" x14ac:dyDescent="0.15">
      <c r="A1716" s="46" t="s">
        <v>3483</v>
      </c>
      <c r="B1716" s="52" t="s">
        <v>7361</v>
      </c>
      <c r="C1716" s="53" t="s">
        <v>3484</v>
      </c>
      <c r="D1716" s="54" t="s">
        <v>9158</v>
      </c>
      <c r="E1716" s="50">
        <f t="shared" si="58"/>
        <v>23.452054789999998</v>
      </c>
      <c r="F1716" s="51">
        <f t="shared" si="58"/>
        <v>4.3907535800000002</v>
      </c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</row>
    <row r="1717" spans="1:28" x14ac:dyDescent="0.15">
      <c r="A1717" s="46" t="s">
        <v>3485</v>
      </c>
      <c r="B1717" s="52" t="s">
        <v>7361</v>
      </c>
      <c r="C1717" s="53" t="s">
        <v>3486</v>
      </c>
      <c r="D1717" s="54" t="s">
        <v>9159</v>
      </c>
      <c r="E1717" s="50">
        <f t="shared" si="58"/>
        <v>23.465753419999999</v>
      </c>
      <c r="F1717" s="51">
        <f t="shared" si="58"/>
        <v>4.3910997900000002</v>
      </c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</row>
    <row r="1718" spans="1:28" x14ac:dyDescent="0.15">
      <c r="A1718" s="46" t="s">
        <v>3487</v>
      </c>
      <c r="B1718" s="52" t="s">
        <v>7361</v>
      </c>
      <c r="C1718" s="53" t="s">
        <v>3488</v>
      </c>
      <c r="D1718" s="54" t="s">
        <v>9160</v>
      </c>
      <c r="E1718" s="50">
        <f t="shared" si="58"/>
        <v>23.479452049999999</v>
      </c>
      <c r="F1718" s="51">
        <f t="shared" si="58"/>
        <v>4.3914443600000004</v>
      </c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</row>
    <row r="1719" spans="1:28" x14ac:dyDescent="0.15">
      <c r="A1719" s="46" t="s">
        <v>3489</v>
      </c>
      <c r="B1719" s="52" t="s">
        <v>7361</v>
      </c>
      <c r="C1719" s="53" t="s">
        <v>3490</v>
      </c>
      <c r="D1719" s="54" t="s">
        <v>9161</v>
      </c>
      <c r="E1719" s="50">
        <f t="shared" si="58"/>
        <v>23.493150679999999</v>
      </c>
      <c r="F1719" s="51">
        <f t="shared" si="58"/>
        <v>4.39178712</v>
      </c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</row>
    <row r="1720" spans="1:28" x14ac:dyDescent="0.15">
      <c r="A1720" s="46" t="s">
        <v>3491</v>
      </c>
      <c r="B1720" s="52" t="s">
        <v>7361</v>
      </c>
      <c r="C1720" s="53" t="s">
        <v>3492</v>
      </c>
      <c r="D1720" s="54" t="s">
        <v>9162</v>
      </c>
      <c r="E1720" s="50">
        <f t="shared" si="58"/>
        <v>23.506849320000001</v>
      </c>
      <c r="F1720" s="51">
        <f t="shared" si="58"/>
        <v>4.3921286100000003</v>
      </c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</row>
    <row r="1721" spans="1:28" x14ac:dyDescent="0.15">
      <c r="A1721" s="46" t="s">
        <v>3493</v>
      </c>
      <c r="B1721" s="52" t="s">
        <v>7361</v>
      </c>
      <c r="C1721" s="53" t="s">
        <v>3494</v>
      </c>
      <c r="D1721" s="54" t="s">
        <v>9163</v>
      </c>
      <c r="E1721" s="50">
        <f t="shared" si="58"/>
        <v>23.520547950000001</v>
      </c>
      <c r="F1721" s="51">
        <f t="shared" si="58"/>
        <v>4.3924729100000004</v>
      </c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</row>
    <row r="1722" spans="1:28" x14ac:dyDescent="0.15">
      <c r="A1722" s="46" t="s">
        <v>3495</v>
      </c>
      <c r="B1722" s="52" t="s">
        <v>7361</v>
      </c>
      <c r="C1722" s="53" t="s">
        <v>3496</v>
      </c>
      <c r="D1722" s="54" t="s">
        <v>9164</v>
      </c>
      <c r="E1722" s="50">
        <f t="shared" si="58"/>
        <v>23.534246580000001</v>
      </c>
      <c r="F1722" s="51">
        <f t="shared" si="58"/>
        <v>4.3928205800000004</v>
      </c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</row>
    <row r="1723" spans="1:28" x14ac:dyDescent="0.15">
      <c r="A1723" s="46" t="s">
        <v>3497</v>
      </c>
      <c r="B1723" s="52" t="s">
        <v>7361</v>
      </c>
      <c r="C1723" s="53" t="s">
        <v>3498</v>
      </c>
      <c r="D1723" s="54" t="s">
        <v>9165</v>
      </c>
      <c r="E1723" s="50">
        <f t="shared" si="58"/>
        <v>23.547945210000002</v>
      </c>
      <c r="F1723" s="51">
        <f t="shared" si="58"/>
        <v>4.3931714800000004</v>
      </c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</row>
    <row r="1724" spans="1:28" x14ac:dyDescent="0.15">
      <c r="A1724" s="46" t="s">
        <v>3499</v>
      </c>
      <c r="B1724" s="52" t="s">
        <v>7361</v>
      </c>
      <c r="C1724" s="53" t="s">
        <v>3500</v>
      </c>
      <c r="D1724" s="54" t="s">
        <v>9166</v>
      </c>
      <c r="E1724" s="50">
        <f t="shared" si="58"/>
        <v>23.561643839999999</v>
      </c>
      <c r="F1724" s="51">
        <f t="shared" si="58"/>
        <v>4.3935254500000003</v>
      </c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</row>
    <row r="1725" spans="1:28" x14ac:dyDescent="0.15">
      <c r="A1725" s="46" t="s">
        <v>3501</v>
      </c>
      <c r="B1725" s="52" t="s">
        <v>7361</v>
      </c>
      <c r="C1725" s="53" t="s">
        <v>3502</v>
      </c>
      <c r="D1725" s="54" t="s">
        <v>9167</v>
      </c>
      <c r="E1725" s="50">
        <f t="shared" si="58"/>
        <v>23.575342469999999</v>
      </c>
      <c r="F1725" s="51">
        <f t="shared" si="58"/>
        <v>4.3938823400000002</v>
      </c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</row>
    <row r="1726" spans="1:28" x14ac:dyDescent="0.15">
      <c r="A1726" s="46" t="s">
        <v>3503</v>
      </c>
      <c r="B1726" s="52" t="s">
        <v>7361</v>
      </c>
      <c r="C1726" s="53" t="s">
        <v>3504</v>
      </c>
      <c r="D1726" s="54" t="s">
        <v>9168</v>
      </c>
      <c r="E1726" s="50">
        <f t="shared" si="58"/>
        <v>23.589041099999999</v>
      </c>
      <c r="F1726" s="51">
        <f t="shared" si="58"/>
        <v>4.3942420200000001</v>
      </c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</row>
    <row r="1727" spans="1:28" x14ac:dyDescent="0.15">
      <c r="A1727" s="46" t="s">
        <v>3505</v>
      </c>
      <c r="B1727" s="52" t="s">
        <v>7361</v>
      </c>
      <c r="C1727" s="53" t="s">
        <v>3506</v>
      </c>
      <c r="D1727" s="54" t="s">
        <v>9169</v>
      </c>
      <c r="E1727" s="50">
        <f t="shared" si="58"/>
        <v>23.60273973</v>
      </c>
      <c r="F1727" s="51">
        <f t="shared" si="58"/>
        <v>4.3946043299999999</v>
      </c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</row>
    <row r="1728" spans="1:28" x14ac:dyDescent="0.15">
      <c r="A1728" s="46" t="s">
        <v>3507</v>
      </c>
      <c r="B1728" s="52" t="s">
        <v>7361</v>
      </c>
      <c r="C1728" s="53" t="s">
        <v>3508</v>
      </c>
      <c r="D1728" s="54" t="s">
        <v>9170</v>
      </c>
      <c r="E1728" s="50">
        <f t="shared" si="58"/>
        <v>23.61643836</v>
      </c>
      <c r="F1728" s="51">
        <f t="shared" si="58"/>
        <v>4.3949691199999998</v>
      </c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</row>
    <row r="1729" spans="1:28" x14ac:dyDescent="0.15">
      <c r="A1729" s="46" t="s">
        <v>3509</v>
      </c>
      <c r="B1729" s="52" t="s">
        <v>7361</v>
      </c>
      <c r="C1729" s="53" t="s">
        <v>3510</v>
      </c>
      <c r="D1729" s="54" t="s">
        <v>9171</v>
      </c>
      <c r="E1729" s="50">
        <f t="shared" si="58"/>
        <v>23.63013699</v>
      </c>
      <c r="F1729" s="51">
        <f t="shared" si="58"/>
        <v>4.3953362499999997</v>
      </c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</row>
    <row r="1730" spans="1:28" x14ac:dyDescent="0.15">
      <c r="A1730" s="46" t="s">
        <v>3511</v>
      </c>
      <c r="B1730" s="52" t="s">
        <v>7361</v>
      </c>
      <c r="C1730" s="53" t="s">
        <v>3512</v>
      </c>
      <c r="D1730" s="54" t="s">
        <v>9172</v>
      </c>
      <c r="E1730" s="50">
        <f t="shared" si="58"/>
        <v>23.643835620000001</v>
      </c>
      <c r="F1730" s="51">
        <f t="shared" si="58"/>
        <v>4.3957055599999997</v>
      </c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</row>
    <row r="1731" spans="1:28" x14ac:dyDescent="0.15">
      <c r="A1731" s="46" t="s">
        <v>3513</v>
      </c>
      <c r="B1731" s="52" t="s">
        <v>7361</v>
      </c>
      <c r="C1731" s="53" t="s">
        <v>3514</v>
      </c>
      <c r="D1731" s="54" t="s">
        <v>9173</v>
      </c>
      <c r="E1731" s="50">
        <f t="shared" si="58"/>
        <v>23.657534250000001</v>
      </c>
      <c r="F1731" s="51">
        <f t="shared" si="58"/>
        <v>4.3960769199999996</v>
      </c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</row>
    <row r="1732" spans="1:28" x14ac:dyDescent="0.15">
      <c r="A1732" s="46" t="s">
        <v>3515</v>
      </c>
      <c r="B1732" s="52" t="s">
        <v>7361</v>
      </c>
      <c r="C1732" s="53" t="s">
        <v>3516</v>
      </c>
      <c r="D1732" s="54" t="s">
        <v>9174</v>
      </c>
      <c r="E1732" s="50">
        <f t="shared" si="58"/>
        <v>23.671232880000002</v>
      </c>
      <c r="F1732" s="51">
        <f t="shared" si="58"/>
        <v>4.3964501800000004</v>
      </c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</row>
    <row r="1733" spans="1:28" x14ac:dyDescent="0.15">
      <c r="A1733" s="46" t="s">
        <v>3517</v>
      </c>
      <c r="B1733" s="52" t="s">
        <v>7361</v>
      </c>
      <c r="C1733" s="53" t="s">
        <v>3518</v>
      </c>
      <c r="D1733" s="54" t="s">
        <v>9175</v>
      </c>
      <c r="E1733" s="50">
        <f t="shared" si="58"/>
        <v>23.684931509999998</v>
      </c>
      <c r="F1733" s="51">
        <f t="shared" si="58"/>
        <v>4.3968251800000004</v>
      </c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</row>
    <row r="1734" spans="1:28" x14ac:dyDescent="0.15">
      <c r="A1734" s="46" t="s">
        <v>3519</v>
      </c>
      <c r="B1734" s="52" t="s">
        <v>7361</v>
      </c>
      <c r="C1734" s="53" t="s">
        <v>3520</v>
      </c>
      <c r="D1734" s="54" t="s">
        <v>9176</v>
      </c>
      <c r="E1734" s="50">
        <f t="shared" si="58"/>
        <v>23.698630139999999</v>
      </c>
      <c r="F1734" s="51">
        <f t="shared" si="58"/>
        <v>4.3972017799999996</v>
      </c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</row>
    <row r="1735" spans="1:28" x14ac:dyDescent="0.15">
      <c r="A1735" s="46" t="s">
        <v>3521</v>
      </c>
      <c r="B1735" s="52" t="s">
        <v>7361</v>
      </c>
      <c r="C1735" s="53" t="s">
        <v>3522</v>
      </c>
      <c r="D1735" s="54" t="s">
        <v>9177</v>
      </c>
      <c r="E1735" s="50">
        <f t="shared" si="58"/>
        <v>23.712328769999999</v>
      </c>
      <c r="F1735" s="51">
        <f t="shared" si="58"/>
        <v>4.3975798299999997</v>
      </c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</row>
    <row r="1736" spans="1:28" x14ac:dyDescent="0.15">
      <c r="A1736" s="46" t="s">
        <v>3523</v>
      </c>
      <c r="B1736" s="52" t="s">
        <v>7361</v>
      </c>
      <c r="C1736" s="53" t="s">
        <v>3524</v>
      </c>
      <c r="D1736" s="54" t="s">
        <v>9178</v>
      </c>
      <c r="E1736" s="50">
        <f t="shared" ref="E1736:F1766" si="59">VALUE(C1736)</f>
        <v>23.7260274</v>
      </c>
      <c r="F1736" s="51">
        <f t="shared" si="59"/>
        <v>4.39795918</v>
      </c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</row>
    <row r="1737" spans="1:28" x14ac:dyDescent="0.15">
      <c r="A1737" s="46" t="s">
        <v>3525</v>
      </c>
      <c r="B1737" s="52" t="s">
        <v>7361</v>
      </c>
      <c r="C1737" s="53" t="s">
        <v>3526</v>
      </c>
      <c r="D1737" s="54" t="s">
        <v>9179</v>
      </c>
      <c r="E1737" s="50">
        <f t="shared" si="59"/>
        <v>23.73972603</v>
      </c>
      <c r="F1737" s="51">
        <f t="shared" si="59"/>
        <v>4.3983396900000002</v>
      </c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</row>
    <row r="1738" spans="1:28" x14ac:dyDescent="0.15">
      <c r="A1738" s="46" t="s">
        <v>3527</v>
      </c>
      <c r="B1738" s="52" t="s">
        <v>7361</v>
      </c>
      <c r="C1738" s="53" t="s">
        <v>3528</v>
      </c>
      <c r="D1738" s="54" t="s">
        <v>9180</v>
      </c>
      <c r="E1738" s="50">
        <f t="shared" si="59"/>
        <v>23.75342466</v>
      </c>
      <c r="F1738" s="51">
        <f t="shared" si="59"/>
        <v>4.3987212099999997</v>
      </c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</row>
    <row r="1739" spans="1:28" x14ac:dyDescent="0.15">
      <c r="A1739" s="46" t="s">
        <v>3529</v>
      </c>
      <c r="B1739" s="52" t="s">
        <v>7361</v>
      </c>
      <c r="C1739" s="53" t="s">
        <v>3530</v>
      </c>
      <c r="D1739" s="54" t="s">
        <v>9181</v>
      </c>
      <c r="E1739" s="50">
        <f t="shared" si="59"/>
        <v>23.767123290000001</v>
      </c>
      <c r="F1739" s="51">
        <f t="shared" si="59"/>
        <v>4.3991035900000002</v>
      </c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</row>
    <row r="1740" spans="1:28" x14ac:dyDescent="0.15">
      <c r="A1740" s="46" t="s">
        <v>3531</v>
      </c>
      <c r="B1740" s="52" t="s">
        <v>7361</v>
      </c>
      <c r="C1740" s="53" t="s">
        <v>3532</v>
      </c>
      <c r="D1740" s="54" t="s">
        <v>9182</v>
      </c>
      <c r="E1740" s="50">
        <f t="shared" si="59"/>
        <v>23.780821920000001</v>
      </c>
      <c r="F1740" s="51">
        <f t="shared" si="59"/>
        <v>4.3994866799999999</v>
      </c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</row>
    <row r="1741" spans="1:28" x14ac:dyDescent="0.15">
      <c r="A1741" s="46" t="s">
        <v>3533</v>
      </c>
      <c r="B1741" s="52" t="s">
        <v>7361</v>
      </c>
      <c r="C1741" s="53" t="s">
        <v>3534</v>
      </c>
      <c r="D1741" s="54" t="s">
        <v>9183</v>
      </c>
      <c r="E1741" s="50">
        <f t="shared" si="59"/>
        <v>23.794520550000001</v>
      </c>
      <c r="F1741" s="51">
        <f t="shared" si="59"/>
        <v>4.3998703399999997</v>
      </c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</row>
    <row r="1742" spans="1:28" x14ac:dyDescent="0.15">
      <c r="A1742" s="46" t="s">
        <v>3535</v>
      </c>
      <c r="B1742" s="52" t="s">
        <v>7361</v>
      </c>
      <c r="C1742" s="53" t="s">
        <v>3536</v>
      </c>
      <c r="D1742" s="54" t="s">
        <v>9184</v>
      </c>
      <c r="E1742" s="50">
        <f t="shared" si="59"/>
        <v>23.808219179999998</v>
      </c>
      <c r="F1742" s="51">
        <f t="shared" si="59"/>
        <v>4.4002544200000004</v>
      </c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</row>
    <row r="1743" spans="1:28" x14ac:dyDescent="0.15">
      <c r="A1743" s="46" t="s">
        <v>3537</v>
      </c>
      <c r="B1743" s="52" t="s">
        <v>7361</v>
      </c>
      <c r="C1743" s="53" t="s">
        <v>3538</v>
      </c>
      <c r="D1743" s="54" t="s">
        <v>9185</v>
      </c>
      <c r="E1743" s="50">
        <f t="shared" si="59"/>
        <v>23.821917809999999</v>
      </c>
      <c r="F1743" s="51">
        <f t="shared" si="59"/>
        <v>4.4006387599999996</v>
      </c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</row>
    <row r="1744" spans="1:28" x14ac:dyDescent="0.15">
      <c r="A1744" s="46" t="s">
        <v>3539</v>
      </c>
      <c r="B1744" s="52" t="s">
        <v>7361</v>
      </c>
      <c r="C1744" s="53" t="s">
        <v>3540</v>
      </c>
      <c r="D1744" s="54" t="s">
        <v>9186</v>
      </c>
      <c r="E1744" s="50">
        <f t="shared" si="59"/>
        <v>23.835616439999999</v>
      </c>
      <c r="F1744" s="51">
        <f t="shared" si="59"/>
        <v>4.4010232299999998</v>
      </c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</row>
    <row r="1745" spans="1:28" x14ac:dyDescent="0.15">
      <c r="A1745" s="46" t="s">
        <v>3541</v>
      </c>
      <c r="B1745" s="52" t="s">
        <v>7361</v>
      </c>
      <c r="C1745" s="53" t="s">
        <v>3542</v>
      </c>
      <c r="D1745" s="54" t="s">
        <v>9187</v>
      </c>
      <c r="E1745" s="50">
        <f t="shared" si="59"/>
        <v>23.849315069999999</v>
      </c>
      <c r="F1745" s="51">
        <f t="shared" si="59"/>
        <v>4.4014076800000002</v>
      </c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</row>
    <row r="1746" spans="1:28" x14ac:dyDescent="0.15">
      <c r="A1746" s="46" t="s">
        <v>3543</v>
      </c>
      <c r="B1746" s="52" t="s">
        <v>7361</v>
      </c>
      <c r="C1746" s="53" t="s">
        <v>3544</v>
      </c>
      <c r="D1746" s="54" t="s">
        <v>9188</v>
      </c>
      <c r="E1746" s="50">
        <f t="shared" si="59"/>
        <v>23.8630137</v>
      </c>
      <c r="F1746" s="51">
        <f t="shared" si="59"/>
        <v>4.4017919499999998</v>
      </c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</row>
    <row r="1747" spans="1:28" x14ac:dyDescent="0.15">
      <c r="A1747" s="46" t="s">
        <v>3545</v>
      </c>
      <c r="B1747" s="52" t="s">
        <v>7361</v>
      </c>
      <c r="C1747" s="53" t="s">
        <v>3546</v>
      </c>
      <c r="D1747" s="54" t="s">
        <v>9189</v>
      </c>
      <c r="E1747" s="50">
        <f t="shared" si="59"/>
        <v>23.87671233</v>
      </c>
      <c r="F1747" s="51">
        <f t="shared" si="59"/>
        <v>4.4021759100000004</v>
      </c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</row>
    <row r="1748" spans="1:28" x14ac:dyDescent="0.15">
      <c r="A1748" s="46" t="s">
        <v>3547</v>
      </c>
      <c r="B1748" s="52" t="s">
        <v>7361</v>
      </c>
      <c r="C1748" s="53" t="s">
        <v>3548</v>
      </c>
      <c r="D1748" s="54" t="s">
        <v>9190</v>
      </c>
      <c r="E1748" s="50">
        <f t="shared" si="59"/>
        <v>23.890410960000001</v>
      </c>
      <c r="F1748" s="51">
        <f t="shared" si="59"/>
        <v>4.4025593900000004</v>
      </c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</row>
    <row r="1749" spans="1:28" x14ac:dyDescent="0.15">
      <c r="A1749" s="46" t="s">
        <v>3549</v>
      </c>
      <c r="B1749" s="52" t="s">
        <v>7361</v>
      </c>
      <c r="C1749" s="53" t="s">
        <v>3550</v>
      </c>
      <c r="D1749" s="54" t="s">
        <v>9191</v>
      </c>
      <c r="E1749" s="50">
        <f t="shared" si="59"/>
        <v>23.904109590000001</v>
      </c>
      <c r="F1749" s="51">
        <f t="shared" si="59"/>
        <v>4.4029422699999996</v>
      </c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</row>
    <row r="1750" spans="1:28" x14ac:dyDescent="0.15">
      <c r="A1750" s="46" t="s">
        <v>3551</v>
      </c>
      <c r="B1750" s="52" t="s">
        <v>7361</v>
      </c>
      <c r="C1750" s="53" t="s">
        <v>3552</v>
      </c>
      <c r="D1750" s="54" t="s">
        <v>9192</v>
      </c>
      <c r="E1750" s="50">
        <f t="shared" si="59"/>
        <v>23.917808220000001</v>
      </c>
      <c r="F1750" s="51">
        <f t="shared" si="59"/>
        <v>4.40332437</v>
      </c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</row>
    <row r="1751" spans="1:28" x14ac:dyDescent="0.15">
      <c r="A1751" s="46" t="s">
        <v>3553</v>
      </c>
      <c r="B1751" s="52" t="s">
        <v>7361</v>
      </c>
      <c r="C1751" s="53" t="s">
        <v>3554</v>
      </c>
      <c r="D1751" s="54" t="s">
        <v>9193</v>
      </c>
      <c r="E1751" s="50">
        <f t="shared" si="59"/>
        <v>23.931506850000002</v>
      </c>
      <c r="F1751" s="51">
        <f t="shared" si="59"/>
        <v>4.4037055699999996</v>
      </c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</row>
    <row r="1752" spans="1:28" x14ac:dyDescent="0.15">
      <c r="A1752" s="46" t="s">
        <v>3555</v>
      </c>
      <c r="B1752" s="52" t="s">
        <v>7361</v>
      </c>
      <c r="C1752" s="53" t="s">
        <v>3556</v>
      </c>
      <c r="D1752" s="54" t="s">
        <v>9194</v>
      </c>
      <c r="E1752" s="50">
        <f t="shared" si="59"/>
        <v>23.945205479999998</v>
      </c>
      <c r="F1752" s="51">
        <f t="shared" si="59"/>
        <v>4.4040857100000004</v>
      </c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</row>
    <row r="1753" spans="1:28" x14ac:dyDescent="0.15">
      <c r="A1753" s="46" t="s">
        <v>3557</v>
      </c>
      <c r="B1753" s="52" t="s">
        <v>7361</v>
      </c>
      <c r="C1753" s="53" t="s">
        <v>3558</v>
      </c>
      <c r="D1753" s="54" t="s">
        <v>9195</v>
      </c>
      <c r="E1753" s="50">
        <f t="shared" si="59"/>
        <v>23.958904109999999</v>
      </c>
      <c r="F1753" s="51">
        <f t="shared" si="59"/>
        <v>4.4044646500000004</v>
      </c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</row>
    <row r="1754" spans="1:28" x14ac:dyDescent="0.15">
      <c r="A1754" s="46" t="s">
        <v>3559</v>
      </c>
      <c r="B1754" s="52" t="s">
        <v>7361</v>
      </c>
      <c r="C1754" s="53" t="s">
        <v>3560</v>
      </c>
      <c r="D1754" s="54" t="s">
        <v>9196</v>
      </c>
      <c r="E1754" s="50">
        <f t="shared" si="59"/>
        <v>23.972602739999999</v>
      </c>
      <c r="F1754" s="51">
        <f t="shared" si="59"/>
        <v>4.4048422299999999</v>
      </c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</row>
    <row r="1755" spans="1:28" x14ac:dyDescent="0.15">
      <c r="A1755" s="46" t="s">
        <v>3561</v>
      </c>
      <c r="B1755" s="52" t="s">
        <v>7361</v>
      </c>
      <c r="C1755" s="53" t="s">
        <v>3562</v>
      </c>
      <c r="D1755" s="54" t="s">
        <v>9197</v>
      </c>
      <c r="E1755" s="50">
        <f t="shared" si="59"/>
        <v>23.98630137</v>
      </c>
      <c r="F1755" s="51">
        <f t="shared" si="59"/>
        <v>4.4052183200000004</v>
      </c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</row>
    <row r="1756" spans="1:28" x14ac:dyDescent="0.15">
      <c r="A1756" s="46" t="s">
        <v>3563</v>
      </c>
      <c r="B1756" s="52" t="s">
        <v>7361</v>
      </c>
      <c r="C1756" s="53" t="s">
        <v>3564</v>
      </c>
      <c r="D1756" s="54" t="s">
        <v>9198</v>
      </c>
      <c r="E1756" s="50">
        <f t="shared" si="59"/>
        <v>24</v>
      </c>
      <c r="F1756" s="51">
        <f t="shared" si="59"/>
        <v>4.4055927500000003</v>
      </c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</row>
    <row r="1757" spans="1:28" x14ac:dyDescent="0.15">
      <c r="A1757" s="46" t="s">
        <v>3565</v>
      </c>
      <c r="B1757" s="52" t="s">
        <v>7361</v>
      </c>
      <c r="C1757" s="53" t="s">
        <v>3566</v>
      </c>
      <c r="D1757" s="54" t="s">
        <v>9199</v>
      </c>
      <c r="E1757" s="50">
        <f t="shared" si="59"/>
        <v>24.01369863</v>
      </c>
      <c r="F1757" s="51">
        <f t="shared" si="59"/>
        <v>4.4059678099999999</v>
      </c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</row>
    <row r="1758" spans="1:28" x14ac:dyDescent="0.15">
      <c r="A1758" s="46" t="s">
        <v>3567</v>
      </c>
      <c r="B1758" s="52" t="s">
        <v>7361</v>
      </c>
      <c r="C1758" s="53" t="s">
        <v>3568</v>
      </c>
      <c r="D1758" s="54" t="s">
        <v>9200</v>
      </c>
      <c r="E1758" s="50">
        <f t="shared" si="59"/>
        <v>24.027397260000001</v>
      </c>
      <c r="F1758" s="51">
        <f t="shared" si="59"/>
        <v>4.4063457799999997</v>
      </c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</row>
    <row r="1759" spans="1:28" x14ac:dyDescent="0.15">
      <c r="A1759" s="46" t="s">
        <v>3569</v>
      </c>
      <c r="B1759" s="52" t="s">
        <v>7361</v>
      </c>
      <c r="C1759" s="53" t="s">
        <v>3570</v>
      </c>
      <c r="D1759" s="54" t="s">
        <v>9201</v>
      </c>
      <c r="E1759" s="50">
        <f t="shared" si="59"/>
        <v>24.041095890000001</v>
      </c>
      <c r="F1759" s="51">
        <f t="shared" si="59"/>
        <v>4.4067265400000002</v>
      </c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</row>
    <row r="1760" spans="1:28" x14ac:dyDescent="0.15">
      <c r="A1760" s="46" t="s">
        <v>3571</v>
      </c>
      <c r="B1760" s="52" t="s">
        <v>7361</v>
      </c>
      <c r="C1760" s="53" t="s">
        <v>3572</v>
      </c>
      <c r="D1760" s="54" t="s">
        <v>9202</v>
      </c>
      <c r="E1760" s="50">
        <f t="shared" si="59"/>
        <v>24.054794520000002</v>
      </c>
      <c r="F1760" s="51">
        <f t="shared" si="59"/>
        <v>4.4071099699999996</v>
      </c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</row>
    <row r="1761" spans="1:28" x14ac:dyDescent="0.15">
      <c r="A1761" s="46" t="s">
        <v>3573</v>
      </c>
      <c r="B1761" s="52" t="s">
        <v>7361</v>
      </c>
      <c r="C1761" s="53" t="s">
        <v>3574</v>
      </c>
      <c r="D1761" s="54" t="s">
        <v>9203</v>
      </c>
      <c r="E1761" s="50">
        <f t="shared" si="59"/>
        <v>24.068493149999998</v>
      </c>
      <c r="F1761" s="51">
        <f t="shared" si="59"/>
        <v>4.4074959299999996</v>
      </c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</row>
    <row r="1762" spans="1:28" x14ac:dyDescent="0.15">
      <c r="A1762" s="46" t="s">
        <v>3575</v>
      </c>
      <c r="B1762" s="52" t="s">
        <v>7361</v>
      </c>
      <c r="C1762" s="53" t="s">
        <v>3576</v>
      </c>
      <c r="D1762" s="54" t="s">
        <v>9204</v>
      </c>
      <c r="E1762" s="50">
        <f t="shared" si="59"/>
        <v>24.082191779999999</v>
      </c>
      <c r="F1762" s="51">
        <f t="shared" si="59"/>
        <v>4.40788431</v>
      </c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</row>
    <row r="1763" spans="1:28" x14ac:dyDescent="0.15">
      <c r="A1763" s="46" t="s">
        <v>3577</v>
      </c>
      <c r="B1763" s="52" t="s">
        <v>7361</v>
      </c>
      <c r="C1763" s="53" t="s">
        <v>3578</v>
      </c>
      <c r="D1763" s="54" t="s">
        <v>9205</v>
      </c>
      <c r="E1763" s="50">
        <f t="shared" si="59"/>
        <v>24.095890409999999</v>
      </c>
      <c r="F1763" s="51">
        <f t="shared" si="59"/>
        <v>4.4082749799999998</v>
      </c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</row>
    <row r="1764" spans="1:28" x14ac:dyDescent="0.15">
      <c r="A1764" s="46" t="s">
        <v>3579</v>
      </c>
      <c r="B1764" s="52" t="s">
        <v>7361</v>
      </c>
      <c r="C1764" s="53" t="s">
        <v>3580</v>
      </c>
      <c r="D1764" s="54" t="s">
        <v>9206</v>
      </c>
      <c r="E1764" s="50">
        <f t="shared" si="59"/>
        <v>24.109589039999999</v>
      </c>
      <c r="F1764" s="51">
        <f t="shared" si="59"/>
        <v>4.4086678099999999</v>
      </c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</row>
    <row r="1765" spans="1:28" x14ac:dyDescent="0.15">
      <c r="A1765" s="46" t="s">
        <v>3581</v>
      </c>
      <c r="B1765" s="52" t="s">
        <v>7361</v>
      </c>
      <c r="C1765" s="53" t="s">
        <v>3582</v>
      </c>
      <c r="D1765" s="54" t="s">
        <v>9207</v>
      </c>
      <c r="E1765" s="50">
        <f t="shared" si="59"/>
        <v>24.12328767</v>
      </c>
      <c r="F1765" s="51">
        <f t="shared" si="59"/>
        <v>4.4090626799999999</v>
      </c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</row>
    <row r="1766" spans="1:28" x14ac:dyDescent="0.15">
      <c r="A1766" s="46" t="s">
        <v>3583</v>
      </c>
      <c r="B1766" s="52" t="s">
        <v>7361</v>
      </c>
      <c r="C1766" s="53" t="s">
        <v>3584</v>
      </c>
      <c r="D1766" s="54" t="s">
        <v>9208</v>
      </c>
      <c r="E1766" s="50">
        <f t="shared" si="59"/>
        <v>24.1369863</v>
      </c>
      <c r="F1766" s="51">
        <f t="shared" si="59"/>
        <v>4.4094594599999999</v>
      </c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</row>
    <row r="1767" spans="1:28" x14ac:dyDescent="0.15">
      <c r="A1767" s="46" t="s">
        <v>3585</v>
      </c>
      <c r="B1767" s="52" t="s">
        <v>7361</v>
      </c>
      <c r="C1767" s="53" t="s">
        <v>3586</v>
      </c>
      <c r="D1767" s="54" t="s">
        <v>9209</v>
      </c>
      <c r="E1767" s="50">
        <f t="shared" ref="E1767:F1796" si="60">VALUE(C1767)</f>
        <v>24.150684930000001</v>
      </c>
      <c r="F1767" s="51">
        <f t="shared" si="60"/>
        <v>4.4098580299999997</v>
      </c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</row>
    <row r="1768" spans="1:28" x14ac:dyDescent="0.15">
      <c r="A1768" s="46" t="s">
        <v>3587</v>
      </c>
      <c r="B1768" s="52" t="s">
        <v>7361</v>
      </c>
      <c r="C1768" s="53" t="s">
        <v>3588</v>
      </c>
      <c r="D1768" s="54" t="s">
        <v>9210</v>
      </c>
      <c r="E1768" s="50">
        <f t="shared" si="60"/>
        <v>24.164383560000001</v>
      </c>
      <c r="F1768" s="51">
        <f t="shared" si="60"/>
        <v>4.4102582699999999</v>
      </c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</row>
    <row r="1769" spans="1:28" x14ac:dyDescent="0.15">
      <c r="A1769" s="46" t="s">
        <v>3589</v>
      </c>
      <c r="B1769" s="52" t="s">
        <v>7361</v>
      </c>
      <c r="C1769" s="53" t="s">
        <v>3590</v>
      </c>
      <c r="D1769" s="54" t="s">
        <v>9211</v>
      </c>
      <c r="E1769" s="50">
        <f t="shared" si="60"/>
        <v>24.178082190000001</v>
      </c>
      <c r="F1769" s="51">
        <f t="shared" si="60"/>
        <v>4.4106600499999997</v>
      </c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</row>
    <row r="1770" spans="1:28" x14ac:dyDescent="0.15">
      <c r="A1770" s="46" t="s">
        <v>3591</v>
      </c>
      <c r="B1770" s="52" t="s">
        <v>7361</v>
      </c>
      <c r="C1770" s="53" t="s">
        <v>3592</v>
      </c>
      <c r="D1770" s="54" t="s">
        <v>9212</v>
      </c>
      <c r="E1770" s="50">
        <f t="shared" si="60"/>
        <v>24.191780820000002</v>
      </c>
      <c r="F1770" s="51">
        <f t="shared" si="60"/>
        <v>4.4110632399999998</v>
      </c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</row>
    <row r="1771" spans="1:28" x14ac:dyDescent="0.15">
      <c r="A1771" s="46" t="s">
        <v>3593</v>
      </c>
      <c r="B1771" s="52" t="s">
        <v>7361</v>
      </c>
      <c r="C1771" s="53" t="s">
        <v>3594</v>
      </c>
      <c r="D1771" s="54" t="s">
        <v>9213</v>
      </c>
      <c r="E1771" s="50">
        <f t="shared" si="60"/>
        <v>24.205479449999999</v>
      </c>
      <c r="F1771" s="51">
        <f t="shared" si="60"/>
        <v>4.41146773</v>
      </c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</row>
    <row r="1772" spans="1:28" x14ac:dyDescent="0.15">
      <c r="A1772" s="46" t="s">
        <v>3595</v>
      </c>
      <c r="B1772" s="52" t="s">
        <v>7361</v>
      </c>
      <c r="C1772" s="53" t="s">
        <v>3596</v>
      </c>
      <c r="D1772" s="54" t="s">
        <v>9214</v>
      </c>
      <c r="E1772" s="50">
        <f t="shared" si="60"/>
        <v>24.219178079999999</v>
      </c>
      <c r="F1772" s="51">
        <f t="shared" si="60"/>
        <v>4.4118733800000003</v>
      </c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</row>
    <row r="1773" spans="1:28" x14ac:dyDescent="0.15">
      <c r="A1773" s="46" t="s">
        <v>3597</v>
      </c>
      <c r="B1773" s="52" t="s">
        <v>7361</v>
      </c>
      <c r="C1773" s="53" t="s">
        <v>3598</v>
      </c>
      <c r="D1773" s="54" t="s">
        <v>9215</v>
      </c>
      <c r="E1773" s="50">
        <f t="shared" si="60"/>
        <v>24.232876709999999</v>
      </c>
      <c r="F1773" s="51">
        <f t="shared" si="60"/>
        <v>4.4122800599999996</v>
      </c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</row>
    <row r="1774" spans="1:28" x14ac:dyDescent="0.15">
      <c r="A1774" s="46" t="s">
        <v>3599</v>
      </c>
      <c r="B1774" s="52" t="s">
        <v>7361</v>
      </c>
      <c r="C1774" s="53" t="s">
        <v>3600</v>
      </c>
      <c r="D1774" s="54" t="s">
        <v>9216</v>
      </c>
      <c r="E1774" s="50">
        <f t="shared" si="60"/>
        <v>24.24657534</v>
      </c>
      <c r="F1774" s="51">
        <f t="shared" si="60"/>
        <v>4.4126876700000004</v>
      </c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</row>
    <row r="1775" spans="1:28" x14ac:dyDescent="0.15">
      <c r="A1775" s="46" t="s">
        <v>3601</v>
      </c>
      <c r="B1775" s="52" t="s">
        <v>7361</v>
      </c>
      <c r="C1775" s="53" t="s">
        <v>3602</v>
      </c>
      <c r="D1775" s="54" t="s">
        <v>9217</v>
      </c>
      <c r="E1775" s="50">
        <f t="shared" si="60"/>
        <v>24.26027397</v>
      </c>
      <c r="F1775" s="51">
        <f t="shared" si="60"/>
        <v>4.4130960699999999</v>
      </c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</row>
    <row r="1776" spans="1:28" x14ac:dyDescent="0.15">
      <c r="A1776" s="46" t="s">
        <v>3603</v>
      </c>
      <c r="B1776" s="52" t="s">
        <v>7361</v>
      </c>
      <c r="C1776" s="53" t="s">
        <v>3604</v>
      </c>
      <c r="D1776" s="54" t="s">
        <v>9218</v>
      </c>
      <c r="E1776" s="50">
        <f t="shared" si="60"/>
        <v>24.2739726</v>
      </c>
      <c r="F1776" s="51">
        <f t="shared" si="60"/>
        <v>4.4135051299999999</v>
      </c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</row>
    <row r="1777" spans="1:28" x14ac:dyDescent="0.15">
      <c r="A1777" s="46" t="s">
        <v>3605</v>
      </c>
      <c r="B1777" s="52" t="s">
        <v>7361</v>
      </c>
      <c r="C1777" s="53" t="s">
        <v>3606</v>
      </c>
      <c r="D1777" s="54" t="s">
        <v>9219</v>
      </c>
      <c r="E1777" s="50">
        <f t="shared" si="60"/>
        <v>24.287671230000001</v>
      </c>
      <c r="F1777" s="51">
        <f t="shared" si="60"/>
        <v>4.4139147300000001</v>
      </c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</row>
    <row r="1778" spans="1:28" x14ac:dyDescent="0.15">
      <c r="A1778" s="46" t="s">
        <v>3607</v>
      </c>
      <c r="B1778" s="52" t="s">
        <v>7361</v>
      </c>
      <c r="C1778" s="53" t="s">
        <v>3608</v>
      </c>
      <c r="D1778" s="54" t="s">
        <v>9220</v>
      </c>
      <c r="E1778" s="50">
        <f t="shared" si="60"/>
        <v>24.301369860000001</v>
      </c>
      <c r="F1778" s="51">
        <f t="shared" si="60"/>
        <v>4.4143247499999996</v>
      </c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</row>
    <row r="1779" spans="1:28" x14ac:dyDescent="0.15">
      <c r="A1779" s="46" t="s">
        <v>3609</v>
      </c>
      <c r="B1779" s="52" t="s">
        <v>7361</v>
      </c>
      <c r="C1779" s="53" t="s">
        <v>3610</v>
      </c>
      <c r="D1779" s="54" t="s">
        <v>9221</v>
      </c>
      <c r="E1779" s="50">
        <f t="shared" si="60"/>
        <v>24.315068490000002</v>
      </c>
      <c r="F1779" s="51">
        <f t="shared" si="60"/>
        <v>4.4147350599999999</v>
      </c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</row>
    <row r="1780" spans="1:28" x14ac:dyDescent="0.15">
      <c r="A1780" s="46" t="s">
        <v>3611</v>
      </c>
      <c r="B1780" s="52" t="s">
        <v>7361</v>
      </c>
      <c r="C1780" s="53" t="s">
        <v>3612</v>
      </c>
      <c r="D1780" s="54" t="s">
        <v>9222</v>
      </c>
      <c r="E1780" s="50">
        <f t="shared" si="60"/>
        <v>24.328767119999998</v>
      </c>
      <c r="F1780" s="51">
        <f t="shared" si="60"/>
        <v>4.4151455300000002</v>
      </c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</row>
    <row r="1781" spans="1:28" x14ac:dyDescent="0.15">
      <c r="A1781" s="46" t="s">
        <v>3613</v>
      </c>
      <c r="B1781" s="52" t="s">
        <v>7361</v>
      </c>
      <c r="C1781" s="53" t="s">
        <v>3614</v>
      </c>
      <c r="D1781" s="54" t="s">
        <v>9223</v>
      </c>
      <c r="E1781" s="50">
        <f t="shared" si="60"/>
        <v>24.342465749999999</v>
      </c>
      <c r="F1781" s="51">
        <f t="shared" si="60"/>
        <v>4.4155560500000002</v>
      </c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</row>
    <row r="1782" spans="1:28" x14ac:dyDescent="0.15">
      <c r="A1782" s="46" t="s">
        <v>3615</v>
      </c>
      <c r="B1782" s="52" t="s">
        <v>7361</v>
      </c>
      <c r="C1782" s="53" t="s">
        <v>3616</v>
      </c>
      <c r="D1782" s="54" t="s">
        <v>9224</v>
      </c>
      <c r="E1782" s="50">
        <f t="shared" si="60"/>
        <v>24.356164379999999</v>
      </c>
      <c r="F1782" s="51">
        <f t="shared" si="60"/>
        <v>4.4159664899999997</v>
      </c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</row>
    <row r="1783" spans="1:28" x14ac:dyDescent="0.15">
      <c r="A1783" s="46" t="s">
        <v>3617</v>
      </c>
      <c r="B1783" s="52" t="s">
        <v>7361</v>
      </c>
      <c r="C1783" s="53" t="s">
        <v>3618</v>
      </c>
      <c r="D1783" s="54" t="s">
        <v>9225</v>
      </c>
      <c r="E1783" s="50">
        <f t="shared" si="60"/>
        <v>24.36986301</v>
      </c>
      <c r="F1783" s="51">
        <f t="shared" si="60"/>
        <v>4.4163767099999998</v>
      </c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</row>
    <row r="1784" spans="1:28" x14ac:dyDescent="0.15">
      <c r="A1784" s="46" t="s">
        <v>3619</v>
      </c>
      <c r="B1784" s="52" t="s">
        <v>7361</v>
      </c>
      <c r="C1784" s="53" t="s">
        <v>3620</v>
      </c>
      <c r="D1784" s="54" t="s">
        <v>9226</v>
      </c>
      <c r="E1784" s="50">
        <f t="shared" si="60"/>
        <v>24.38356164</v>
      </c>
      <c r="F1784" s="51">
        <f t="shared" si="60"/>
        <v>4.4167866099999999</v>
      </c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</row>
    <row r="1785" spans="1:28" x14ac:dyDescent="0.15">
      <c r="A1785" s="46" t="s">
        <v>3621</v>
      </c>
      <c r="B1785" s="52" t="s">
        <v>7361</v>
      </c>
      <c r="C1785" s="53" t="s">
        <v>3622</v>
      </c>
      <c r="D1785" s="54" t="s">
        <v>9227</v>
      </c>
      <c r="E1785" s="50">
        <f t="shared" si="60"/>
        <v>24.39726027</v>
      </c>
      <c r="F1785" s="51">
        <f t="shared" si="60"/>
        <v>4.4171960400000003</v>
      </c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</row>
    <row r="1786" spans="1:28" x14ac:dyDescent="0.15">
      <c r="A1786" s="46" t="s">
        <v>3623</v>
      </c>
      <c r="B1786" s="52" t="s">
        <v>7361</v>
      </c>
      <c r="C1786" s="53" t="s">
        <v>3624</v>
      </c>
      <c r="D1786" s="54" t="s">
        <v>9228</v>
      </c>
      <c r="E1786" s="50">
        <f t="shared" si="60"/>
        <v>24.410958900000001</v>
      </c>
      <c r="F1786" s="51">
        <f t="shared" si="60"/>
        <v>4.4176048999999997</v>
      </c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</row>
    <row r="1787" spans="1:28" x14ac:dyDescent="0.15">
      <c r="A1787" s="46" t="s">
        <v>3625</v>
      </c>
      <c r="B1787" s="52" t="s">
        <v>7361</v>
      </c>
      <c r="C1787" s="53" t="s">
        <v>3626</v>
      </c>
      <c r="D1787" s="54" t="s">
        <v>9229</v>
      </c>
      <c r="E1787" s="50">
        <f t="shared" si="60"/>
        <v>24.424657530000001</v>
      </c>
      <c r="F1787" s="51">
        <f t="shared" si="60"/>
        <v>4.4180130399999999</v>
      </c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</row>
    <row r="1788" spans="1:28" x14ac:dyDescent="0.15">
      <c r="A1788" s="46" t="s">
        <v>3627</v>
      </c>
      <c r="B1788" s="52" t="s">
        <v>7361</v>
      </c>
      <c r="C1788" s="53" t="s">
        <v>3628</v>
      </c>
      <c r="D1788" s="54" t="s">
        <v>9230</v>
      </c>
      <c r="E1788" s="50">
        <f t="shared" si="60"/>
        <v>24.438356160000001</v>
      </c>
      <c r="F1788" s="51">
        <f t="shared" si="60"/>
        <v>4.4184203599999998</v>
      </c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</row>
    <row r="1789" spans="1:28" x14ac:dyDescent="0.15">
      <c r="A1789" s="46" t="s">
        <v>3629</v>
      </c>
      <c r="B1789" s="52" t="s">
        <v>7361</v>
      </c>
      <c r="C1789" s="53" t="s">
        <v>3630</v>
      </c>
      <c r="D1789" s="54" t="s">
        <v>9231</v>
      </c>
      <c r="E1789" s="50">
        <f t="shared" si="60"/>
        <v>24.452054789999998</v>
      </c>
      <c r="F1789" s="51">
        <f t="shared" si="60"/>
        <v>4.4188267100000003</v>
      </c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</row>
    <row r="1790" spans="1:28" x14ac:dyDescent="0.15">
      <c r="A1790" s="46" t="s">
        <v>3631</v>
      </c>
      <c r="B1790" s="52" t="s">
        <v>7361</v>
      </c>
      <c r="C1790" s="53" t="s">
        <v>3632</v>
      </c>
      <c r="D1790" s="54" t="s">
        <v>9232</v>
      </c>
      <c r="E1790" s="50">
        <f t="shared" si="60"/>
        <v>24.465753419999999</v>
      </c>
      <c r="F1790" s="51">
        <f t="shared" si="60"/>
        <v>4.4192319900000001</v>
      </c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</row>
    <row r="1791" spans="1:28" x14ac:dyDescent="0.15">
      <c r="A1791" s="46" t="s">
        <v>3633</v>
      </c>
      <c r="B1791" s="52" t="s">
        <v>7361</v>
      </c>
      <c r="C1791" s="53" t="s">
        <v>3634</v>
      </c>
      <c r="D1791" s="54" t="s">
        <v>9233</v>
      </c>
      <c r="E1791" s="50">
        <f t="shared" si="60"/>
        <v>24.479452049999999</v>
      </c>
      <c r="F1791" s="51">
        <f t="shared" si="60"/>
        <v>4.4196360600000002</v>
      </c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</row>
    <row r="1792" spans="1:28" x14ac:dyDescent="0.15">
      <c r="A1792" s="46" t="s">
        <v>3635</v>
      </c>
      <c r="B1792" s="52" t="s">
        <v>7361</v>
      </c>
      <c r="C1792" s="53" t="s">
        <v>3636</v>
      </c>
      <c r="D1792" s="54" t="s">
        <v>9234</v>
      </c>
      <c r="E1792" s="50">
        <f t="shared" si="60"/>
        <v>24.493150679999999</v>
      </c>
      <c r="F1792" s="51">
        <f t="shared" si="60"/>
        <v>4.4200387900000004</v>
      </c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</row>
    <row r="1793" spans="1:28" x14ac:dyDescent="0.15">
      <c r="A1793" s="46" t="s">
        <v>3637</v>
      </c>
      <c r="B1793" s="52" t="s">
        <v>7361</v>
      </c>
      <c r="C1793" s="53" t="s">
        <v>3638</v>
      </c>
      <c r="D1793" s="54" t="s">
        <v>9235</v>
      </c>
      <c r="E1793" s="50">
        <f t="shared" si="60"/>
        <v>24.506849320000001</v>
      </c>
      <c r="F1793" s="51">
        <f t="shared" si="60"/>
        <v>4.4204405700000002</v>
      </c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</row>
    <row r="1794" spans="1:28" x14ac:dyDescent="0.15">
      <c r="A1794" s="46" t="s">
        <v>3639</v>
      </c>
      <c r="B1794" s="52" t="s">
        <v>7361</v>
      </c>
      <c r="C1794" s="53" t="s">
        <v>3640</v>
      </c>
      <c r="D1794" s="54" t="s">
        <v>9236</v>
      </c>
      <c r="E1794" s="50">
        <f t="shared" si="60"/>
        <v>24.520547950000001</v>
      </c>
      <c r="F1794" s="51">
        <f t="shared" si="60"/>
        <v>4.42084426</v>
      </c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</row>
    <row r="1795" spans="1:28" x14ac:dyDescent="0.15">
      <c r="A1795" s="46" t="s">
        <v>3641</v>
      </c>
      <c r="B1795" s="52" t="s">
        <v>7361</v>
      </c>
      <c r="C1795" s="53" t="s">
        <v>3642</v>
      </c>
      <c r="D1795" s="54" t="s">
        <v>9237</v>
      </c>
      <c r="E1795" s="50">
        <f t="shared" si="60"/>
        <v>24.534246580000001</v>
      </c>
      <c r="F1795" s="51">
        <f t="shared" si="60"/>
        <v>4.4212502699999998</v>
      </c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</row>
    <row r="1796" spans="1:28" x14ac:dyDescent="0.15">
      <c r="A1796" s="46" t="s">
        <v>3643</v>
      </c>
      <c r="B1796" s="52" t="s">
        <v>7361</v>
      </c>
      <c r="C1796" s="53" t="s">
        <v>3644</v>
      </c>
      <c r="D1796" s="54" t="s">
        <v>9238</v>
      </c>
      <c r="E1796" s="50">
        <f t="shared" si="60"/>
        <v>24.547945210000002</v>
      </c>
      <c r="F1796" s="51">
        <f t="shared" si="60"/>
        <v>4.4216584900000004</v>
      </c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</row>
    <row r="1797" spans="1:28" x14ac:dyDescent="0.15">
      <c r="A1797" s="46" t="s">
        <v>3645</v>
      </c>
      <c r="B1797" s="52" t="s">
        <v>7361</v>
      </c>
      <c r="C1797" s="53" t="s">
        <v>3646</v>
      </c>
      <c r="D1797" s="54" t="s">
        <v>9239</v>
      </c>
      <c r="E1797" s="50">
        <f t="shared" ref="E1797:F1812" si="61">VALUE(C1797)</f>
        <v>24.561643839999999</v>
      </c>
      <c r="F1797" s="51">
        <f t="shared" si="61"/>
        <v>4.4220688099999998</v>
      </c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</row>
    <row r="1798" spans="1:28" x14ac:dyDescent="0.15">
      <c r="A1798" s="46" t="s">
        <v>3647</v>
      </c>
      <c r="B1798" s="52" t="s">
        <v>7361</v>
      </c>
      <c r="C1798" s="53" t="s">
        <v>3648</v>
      </c>
      <c r="D1798" s="54" t="s">
        <v>9240</v>
      </c>
      <c r="E1798" s="50">
        <f t="shared" si="61"/>
        <v>24.575342469999999</v>
      </c>
      <c r="F1798" s="51">
        <f t="shared" si="61"/>
        <v>4.4224811500000003</v>
      </c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</row>
    <row r="1799" spans="1:28" x14ac:dyDescent="0.15">
      <c r="A1799" s="46" t="s">
        <v>3649</v>
      </c>
      <c r="B1799" s="52" t="s">
        <v>7361</v>
      </c>
      <c r="C1799" s="53" t="s">
        <v>3650</v>
      </c>
      <c r="D1799" s="54" t="s">
        <v>9241</v>
      </c>
      <c r="E1799" s="50">
        <f t="shared" si="61"/>
        <v>24.589041099999999</v>
      </c>
      <c r="F1799" s="51">
        <f t="shared" si="61"/>
        <v>4.4228953999999998</v>
      </c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</row>
    <row r="1800" spans="1:28" x14ac:dyDescent="0.15">
      <c r="A1800" s="46" t="s">
        <v>3651</v>
      </c>
      <c r="B1800" s="52" t="s">
        <v>7361</v>
      </c>
      <c r="C1800" s="53" t="s">
        <v>3652</v>
      </c>
      <c r="D1800" s="54" t="s">
        <v>9242</v>
      </c>
      <c r="E1800" s="50">
        <f t="shared" si="61"/>
        <v>24.60273973</v>
      </c>
      <c r="F1800" s="51">
        <f t="shared" si="61"/>
        <v>4.4233114499999999</v>
      </c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</row>
    <row r="1801" spans="1:28" x14ac:dyDescent="0.15">
      <c r="A1801" s="46" t="s">
        <v>3653</v>
      </c>
      <c r="B1801" s="52" t="s">
        <v>7361</v>
      </c>
      <c r="C1801" s="53" t="s">
        <v>3654</v>
      </c>
      <c r="D1801" s="54" t="s">
        <v>9243</v>
      </c>
      <c r="E1801" s="50">
        <f t="shared" si="61"/>
        <v>24.61643836</v>
      </c>
      <c r="F1801" s="51">
        <f t="shared" si="61"/>
        <v>4.4237292000000004</v>
      </c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</row>
    <row r="1802" spans="1:28" x14ac:dyDescent="0.15">
      <c r="A1802" s="46" t="s">
        <v>3655</v>
      </c>
      <c r="B1802" s="52" t="s">
        <v>7361</v>
      </c>
      <c r="C1802" s="53" t="s">
        <v>3656</v>
      </c>
      <c r="D1802" s="54" t="s">
        <v>9244</v>
      </c>
      <c r="E1802" s="50">
        <f t="shared" si="61"/>
        <v>24.63013699</v>
      </c>
      <c r="F1802" s="51">
        <f t="shared" si="61"/>
        <v>4.4241485599999999</v>
      </c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</row>
    <row r="1803" spans="1:28" x14ac:dyDescent="0.15">
      <c r="A1803" s="46" t="s">
        <v>3657</v>
      </c>
      <c r="B1803" s="52" t="s">
        <v>7361</v>
      </c>
      <c r="C1803" s="53" t="s">
        <v>3658</v>
      </c>
      <c r="D1803" s="54" t="s">
        <v>9245</v>
      </c>
      <c r="E1803" s="50">
        <f t="shared" si="61"/>
        <v>24.643835620000001</v>
      </c>
      <c r="F1803" s="51">
        <f t="shared" si="61"/>
        <v>4.42456943</v>
      </c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</row>
    <row r="1804" spans="1:28" x14ac:dyDescent="0.15">
      <c r="A1804" s="46" t="s">
        <v>3659</v>
      </c>
      <c r="B1804" s="52" t="s">
        <v>7361</v>
      </c>
      <c r="C1804" s="53" t="s">
        <v>3660</v>
      </c>
      <c r="D1804" s="54" t="s">
        <v>9246</v>
      </c>
      <c r="E1804" s="50">
        <f t="shared" si="61"/>
        <v>24.657534250000001</v>
      </c>
      <c r="F1804" s="51">
        <f t="shared" si="61"/>
        <v>4.4249916899999997</v>
      </c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</row>
    <row r="1805" spans="1:28" x14ac:dyDescent="0.15">
      <c r="A1805" s="46" t="s">
        <v>3661</v>
      </c>
      <c r="B1805" s="52" t="s">
        <v>7361</v>
      </c>
      <c r="C1805" s="53" t="s">
        <v>3662</v>
      </c>
      <c r="D1805" s="54" t="s">
        <v>9247</v>
      </c>
      <c r="E1805" s="50">
        <f t="shared" si="61"/>
        <v>24.671232880000002</v>
      </c>
      <c r="F1805" s="51">
        <f t="shared" si="61"/>
        <v>4.4254152500000004</v>
      </c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</row>
    <row r="1806" spans="1:28" x14ac:dyDescent="0.15">
      <c r="A1806" s="46" t="s">
        <v>3663</v>
      </c>
      <c r="B1806" s="52" t="s">
        <v>7361</v>
      </c>
      <c r="C1806" s="53" t="s">
        <v>3664</v>
      </c>
      <c r="D1806" s="54" t="s">
        <v>9248</v>
      </c>
      <c r="E1806" s="50">
        <f t="shared" si="61"/>
        <v>24.684931509999998</v>
      </c>
      <c r="F1806" s="51">
        <f t="shared" si="61"/>
        <v>4.4258400099999999</v>
      </c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</row>
    <row r="1807" spans="1:28" x14ac:dyDescent="0.15">
      <c r="A1807" s="46" t="s">
        <v>3665</v>
      </c>
      <c r="B1807" s="52" t="s">
        <v>7361</v>
      </c>
      <c r="C1807" s="53" t="s">
        <v>3666</v>
      </c>
      <c r="D1807" s="54" t="s">
        <v>9249</v>
      </c>
      <c r="E1807" s="50">
        <f t="shared" si="61"/>
        <v>24.698630139999999</v>
      </c>
      <c r="F1807" s="51">
        <f t="shared" si="61"/>
        <v>4.4262658699999999</v>
      </c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</row>
    <row r="1808" spans="1:28" x14ac:dyDescent="0.15">
      <c r="A1808" s="46" t="s">
        <v>3667</v>
      </c>
      <c r="B1808" s="52" t="s">
        <v>7361</v>
      </c>
      <c r="C1808" s="53" t="s">
        <v>3668</v>
      </c>
      <c r="D1808" s="54" t="s">
        <v>9250</v>
      </c>
      <c r="E1808" s="50">
        <f t="shared" si="61"/>
        <v>24.712328769999999</v>
      </c>
      <c r="F1808" s="51">
        <f t="shared" si="61"/>
        <v>4.4266927300000001</v>
      </c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</row>
    <row r="1809" spans="1:28" x14ac:dyDescent="0.15">
      <c r="A1809" s="46" t="s">
        <v>3669</v>
      </c>
      <c r="B1809" s="52" t="s">
        <v>7361</v>
      </c>
      <c r="C1809" s="53" t="s">
        <v>3670</v>
      </c>
      <c r="D1809" s="54" t="s">
        <v>9251</v>
      </c>
      <c r="E1809" s="50">
        <f t="shared" si="61"/>
        <v>24.7260274</v>
      </c>
      <c r="F1809" s="51">
        <f t="shared" si="61"/>
        <v>4.4271204800000001</v>
      </c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</row>
    <row r="1810" spans="1:28" x14ac:dyDescent="0.15">
      <c r="A1810" s="46" t="s">
        <v>3671</v>
      </c>
      <c r="B1810" s="52" t="s">
        <v>7361</v>
      </c>
      <c r="C1810" s="53" t="s">
        <v>3672</v>
      </c>
      <c r="D1810" s="54" t="s">
        <v>9252</v>
      </c>
      <c r="E1810" s="50">
        <f t="shared" si="61"/>
        <v>24.73972603</v>
      </c>
      <c r="F1810" s="51">
        <f t="shared" si="61"/>
        <v>4.4275490199999998</v>
      </c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</row>
    <row r="1811" spans="1:28" x14ac:dyDescent="0.15">
      <c r="A1811" s="46" t="s">
        <v>3673</v>
      </c>
      <c r="B1811" s="52" t="s">
        <v>7361</v>
      </c>
      <c r="C1811" s="53" t="s">
        <v>3674</v>
      </c>
      <c r="D1811" s="54" t="s">
        <v>9253</v>
      </c>
      <c r="E1811" s="50">
        <f t="shared" si="61"/>
        <v>24.75342466</v>
      </c>
      <c r="F1811" s="51">
        <f t="shared" si="61"/>
        <v>4.4279782599999997</v>
      </c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</row>
    <row r="1812" spans="1:28" x14ac:dyDescent="0.15">
      <c r="A1812" s="46" t="s">
        <v>3675</v>
      </c>
      <c r="B1812" s="52" t="s">
        <v>7361</v>
      </c>
      <c r="C1812" s="53" t="s">
        <v>3676</v>
      </c>
      <c r="D1812" s="54" t="s">
        <v>9254</v>
      </c>
      <c r="E1812" s="50">
        <f t="shared" si="61"/>
        <v>24.767123290000001</v>
      </c>
      <c r="F1812" s="51">
        <f t="shared" si="61"/>
        <v>4.4284080799999996</v>
      </c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</row>
    <row r="1813" spans="1:28" x14ac:dyDescent="0.15">
      <c r="A1813" s="46" t="s">
        <v>3677</v>
      </c>
      <c r="B1813" s="52" t="s">
        <v>7361</v>
      </c>
      <c r="C1813" s="53" t="s">
        <v>3678</v>
      </c>
      <c r="D1813" s="54" t="s">
        <v>9255</v>
      </c>
      <c r="E1813" s="50">
        <f t="shared" ref="E1813:F1843" si="62">VALUE(C1813)</f>
        <v>24.780821920000001</v>
      </c>
      <c r="F1813" s="51">
        <f t="shared" si="62"/>
        <v>4.4288384000000001</v>
      </c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</row>
    <row r="1814" spans="1:28" x14ac:dyDescent="0.15">
      <c r="A1814" s="46" t="s">
        <v>3679</v>
      </c>
      <c r="B1814" s="52" t="s">
        <v>7361</v>
      </c>
      <c r="C1814" s="53" t="s">
        <v>3680</v>
      </c>
      <c r="D1814" s="54" t="s">
        <v>9256</v>
      </c>
      <c r="E1814" s="50">
        <f t="shared" si="62"/>
        <v>24.794520550000001</v>
      </c>
      <c r="F1814" s="51">
        <f t="shared" si="62"/>
        <v>4.4292691</v>
      </c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</row>
    <row r="1815" spans="1:28" x14ac:dyDescent="0.15">
      <c r="A1815" s="46" t="s">
        <v>3681</v>
      </c>
      <c r="B1815" s="52" t="s">
        <v>7361</v>
      </c>
      <c r="C1815" s="53" t="s">
        <v>3682</v>
      </c>
      <c r="D1815" s="54" t="s">
        <v>9257</v>
      </c>
      <c r="E1815" s="50">
        <f t="shared" si="62"/>
        <v>24.808219179999998</v>
      </c>
      <c r="F1815" s="51">
        <f t="shared" si="62"/>
        <v>4.4297000899999999</v>
      </c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</row>
    <row r="1816" spans="1:28" x14ac:dyDescent="0.15">
      <c r="A1816" s="46" t="s">
        <v>3683</v>
      </c>
      <c r="B1816" s="52" t="s">
        <v>7361</v>
      </c>
      <c r="C1816" s="53" t="s">
        <v>3684</v>
      </c>
      <c r="D1816" s="54" t="s">
        <v>9258</v>
      </c>
      <c r="E1816" s="50">
        <f t="shared" si="62"/>
        <v>24.821917809999999</v>
      </c>
      <c r="F1816" s="51">
        <f t="shared" si="62"/>
        <v>4.4301312700000004</v>
      </c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</row>
    <row r="1817" spans="1:28" x14ac:dyDescent="0.15">
      <c r="A1817" s="46" t="s">
        <v>3685</v>
      </c>
      <c r="B1817" s="52" t="s">
        <v>7361</v>
      </c>
      <c r="C1817" s="53" t="s">
        <v>3686</v>
      </c>
      <c r="D1817" s="54" t="s">
        <v>9259</v>
      </c>
      <c r="E1817" s="50">
        <f t="shared" si="62"/>
        <v>24.835616439999999</v>
      </c>
      <c r="F1817" s="51">
        <f t="shared" si="62"/>
        <v>4.4305625300000004</v>
      </c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</row>
    <row r="1818" spans="1:28" x14ac:dyDescent="0.15">
      <c r="A1818" s="46" t="s">
        <v>3687</v>
      </c>
      <c r="B1818" s="52" t="s">
        <v>7361</v>
      </c>
      <c r="C1818" s="53" t="s">
        <v>3688</v>
      </c>
      <c r="D1818" s="54" t="s">
        <v>9260</v>
      </c>
      <c r="E1818" s="50">
        <f t="shared" si="62"/>
        <v>24.849315069999999</v>
      </c>
      <c r="F1818" s="51">
        <f t="shared" si="62"/>
        <v>4.4309937799999997</v>
      </c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</row>
    <row r="1819" spans="1:28" x14ac:dyDescent="0.15">
      <c r="A1819" s="46" t="s">
        <v>3689</v>
      </c>
      <c r="B1819" s="52" t="s">
        <v>7361</v>
      </c>
      <c r="C1819" s="53" t="s">
        <v>3690</v>
      </c>
      <c r="D1819" s="54" t="s">
        <v>9261</v>
      </c>
      <c r="E1819" s="50">
        <f t="shared" si="62"/>
        <v>24.8630137</v>
      </c>
      <c r="F1819" s="51">
        <f t="shared" si="62"/>
        <v>4.4314248999999997</v>
      </c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</row>
    <row r="1820" spans="1:28" x14ac:dyDescent="0.15">
      <c r="A1820" s="46" t="s">
        <v>3691</v>
      </c>
      <c r="B1820" s="52" t="s">
        <v>7361</v>
      </c>
      <c r="C1820" s="53" t="s">
        <v>3692</v>
      </c>
      <c r="D1820" s="54" t="s">
        <v>9262</v>
      </c>
      <c r="E1820" s="50">
        <f t="shared" si="62"/>
        <v>24.87671233</v>
      </c>
      <c r="F1820" s="51">
        <f t="shared" si="62"/>
        <v>4.4318558100000001</v>
      </c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</row>
    <row r="1821" spans="1:28" x14ac:dyDescent="0.15">
      <c r="A1821" s="46" t="s">
        <v>3693</v>
      </c>
      <c r="B1821" s="52" t="s">
        <v>7361</v>
      </c>
      <c r="C1821" s="53" t="s">
        <v>3694</v>
      </c>
      <c r="D1821" s="54" t="s">
        <v>9263</v>
      </c>
      <c r="E1821" s="50">
        <f t="shared" si="62"/>
        <v>24.890410960000001</v>
      </c>
      <c r="F1821" s="51">
        <f t="shared" si="62"/>
        <v>4.4322863899999998</v>
      </c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</row>
    <row r="1822" spans="1:28" x14ac:dyDescent="0.15">
      <c r="A1822" s="46" t="s">
        <v>3695</v>
      </c>
      <c r="B1822" s="52" t="s">
        <v>7361</v>
      </c>
      <c r="C1822" s="53" t="s">
        <v>3696</v>
      </c>
      <c r="D1822" s="54" t="s">
        <v>9264</v>
      </c>
      <c r="E1822" s="50">
        <f t="shared" si="62"/>
        <v>24.904109590000001</v>
      </c>
      <c r="F1822" s="51">
        <f t="shared" si="62"/>
        <v>4.4327165600000002</v>
      </c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</row>
    <row r="1823" spans="1:28" x14ac:dyDescent="0.15">
      <c r="A1823" s="46" t="s">
        <v>3697</v>
      </c>
      <c r="B1823" s="52" t="s">
        <v>7361</v>
      </c>
      <c r="C1823" s="53" t="s">
        <v>3698</v>
      </c>
      <c r="D1823" s="54" t="s">
        <v>9265</v>
      </c>
      <c r="E1823" s="50">
        <f t="shared" si="62"/>
        <v>24.917808220000001</v>
      </c>
      <c r="F1823" s="51">
        <f t="shared" si="62"/>
        <v>4.4331462000000004</v>
      </c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</row>
    <row r="1824" spans="1:28" x14ac:dyDescent="0.15">
      <c r="A1824" s="46" t="s">
        <v>3699</v>
      </c>
      <c r="B1824" s="52" t="s">
        <v>7361</v>
      </c>
      <c r="C1824" s="53" t="s">
        <v>3700</v>
      </c>
      <c r="D1824" s="54" t="s">
        <v>9266</v>
      </c>
      <c r="E1824" s="50">
        <f t="shared" si="62"/>
        <v>24.931506850000002</v>
      </c>
      <c r="F1824" s="51">
        <f t="shared" si="62"/>
        <v>4.4335752099999999</v>
      </c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</row>
    <row r="1825" spans="1:28" x14ac:dyDescent="0.15">
      <c r="A1825" s="46" t="s">
        <v>3701</v>
      </c>
      <c r="B1825" s="52" t="s">
        <v>7361</v>
      </c>
      <c r="C1825" s="53" t="s">
        <v>3702</v>
      </c>
      <c r="D1825" s="54" t="s">
        <v>9267</v>
      </c>
      <c r="E1825" s="50">
        <f t="shared" si="62"/>
        <v>24.945205479999998</v>
      </c>
      <c r="F1825" s="51">
        <f t="shared" si="62"/>
        <v>4.4340035000000002</v>
      </c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</row>
    <row r="1826" spans="1:28" x14ac:dyDescent="0.15">
      <c r="A1826" s="46" t="s">
        <v>3703</v>
      </c>
      <c r="B1826" s="52" t="s">
        <v>7361</v>
      </c>
      <c r="C1826" s="53" t="s">
        <v>3704</v>
      </c>
      <c r="D1826" s="54" t="s">
        <v>9268</v>
      </c>
      <c r="E1826" s="50">
        <f t="shared" si="62"/>
        <v>24.958904109999999</v>
      </c>
      <c r="F1826" s="51">
        <f t="shared" si="62"/>
        <v>4.4344309700000002</v>
      </c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</row>
    <row r="1827" spans="1:28" x14ac:dyDescent="0.15">
      <c r="A1827" s="46" t="s">
        <v>3705</v>
      </c>
      <c r="B1827" s="52" t="s">
        <v>7361</v>
      </c>
      <c r="C1827" s="53" t="s">
        <v>3706</v>
      </c>
      <c r="D1827" s="54" t="s">
        <v>9269</v>
      </c>
      <c r="E1827" s="50">
        <f t="shared" si="62"/>
        <v>24.972602739999999</v>
      </c>
      <c r="F1827" s="51">
        <f t="shared" si="62"/>
        <v>4.4348574999999997</v>
      </c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</row>
    <row r="1828" spans="1:28" x14ac:dyDescent="0.15">
      <c r="A1828" s="46" t="s">
        <v>3707</v>
      </c>
      <c r="B1828" s="52" t="s">
        <v>7361</v>
      </c>
      <c r="C1828" s="53" t="s">
        <v>3708</v>
      </c>
      <c r="D1828" s="54" t="s">
        <v>9270</v>
      </c>
      <c r="E1828" s="50">
        <f t="shared" si="62"/>
        <v>24.98630137</v>
      </c>
      <c r="F1828" s="51">
        <f t="shared" si="62"/>
        <v>4.43528301</v>
      </c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</row>
    <row r="1829" spans="1:28" x14ac:dyDescent="0.15">
      <c r="A1829" s="46" t="s">
        <v>3709</v>
      </c>
      <c r="B1829" s="52" t="s">
        <v>7361</v>
      </c>
      <c r="C1829" s="53" t="s">
        <v>3710</v>
      </c>
      <c r="D1829" s="54" t="s">
        <v>9271</v>
      </c>
      <c r="E1829" s="50">
        <f t="shared" si="62"/>
        <v>25</v>
      </c>
      <c r="F1829" s="51">
        <f t="shared" si="62"/>
        <v>4.4357073800000002</v>
      </c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</row>
    <row r="1830" spans="1:28" x14ac:dyDescent="0.15">
      <c r="A1830" s="46" t="s">
        <v>3711</v>
      </c>
      <c r="B1830" s="52" t="s">
        <v>7361</v>
      </c>
      <c r="C1830" s="53" t="s">
        <v>3712</v>
      </c>
      <c r="D1830" s="54" t="s">
        <v>9272</v>
      </c>
      <c r="E1830" s="50">
        <f t="shared" si="62"/>
        <v>25.01369863</v>
      </c>
      <c r="F1830" s="51">
        <f t="shared" si="62"/>
        <v>4.4361320800000001</v>
      </c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</row>
    <row r="1831" spans="1:28" x14ac:dyDescent="0.15">
      <c r="A1831" s="46" t="s">
        <v>3713</v>
      </c>
      <c r="B1831" s="52" t="s">
        <v>7361</v>
      </c>
      <c r="C1831" s="53" t="s">
        <v>3714</v>
      </c>
      <c r="D1831" s="54" t="s">
        <v>9273</v>
      </c>
      <c r="E1831" s="50">
        <f t="shared" si="62"/>
        <v>25.027397260000001</v>
      </c>
      <c r="F1831" s="51">
        <f t="shared" si="62"/>
        <v>4.4365585599999999</v>
      </c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</row>
    <row r="1832" spans="1:28" x14ac:dyDescent="0.15">
      <c r="A1832" s="46" t="s">
        <v>3715</v>
      </c>
      <c r="B1832" s="52" t="s">
        <v>7361</v>
      </c>
      <c r="C1832" s="53" t="s">
        <v>3716</v>
      </c>
      <c r="D1832" s="54" t="s">
        <v>9274</v>
      </c>
      <c r="E1832" s="50">
        <f t="shared" si="62"/>
        <v>25.041095890000001</v>
      </c>
      <c r="F1832" s="51">
        <f t="shared" si="62"/>
        <v>4.4369867599999999</v>
      </c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</row>
    <row r="1833" spans="1:28" x14ac:dyDescent="0.15">
      <c r="A1833" s="46" t="s">
        <v>3717</v>
      </c>
      <c r="B1833" s="52" t="s">
        <v>7361</v>
      </c>
      <c r="C1833" s="53" t="s">
        <v>3718</v>
      </c>
      <c r="D1833" s="54" t="s">
        <v>9275</v>
      </c>
      <c r="E1833" s="50">
        <f t="shared" si="62"/>
        <v>25.054794520000002</v>
      </c>
      <c r="F1833" s="51">
        <f t="shared" si="62"/>
        <v>4.4374165999999997</v>
      </c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</row>
    <row r="1834" spans="1:28" x14ac:dyDescent="0.15">
      <c r="A1834" s="46" t="s">
        <v>3719</v>
      </c>
      <c r="B1834" s="52" t="s">
        <v>7361</v>
      </c>
      <c r="C1834" s="53" t="s">
        <v>3720</v>
      </c>
      <c r="D1834" s="54" t="s">
        <v>9276</v>
      </c>
      <c r="E1834" s="50">
        <f t="shared" si="62"/>
        <v>25.068493149999998</v>
      </c>
      <c r="F1834" s="51">
        <f t="shared" si="62"/>
        <v>4.4378479999999998</v>
      </c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</row>
    <row r="1835" spans="1:28" x14ac:dyDescent="0.15">
      <c r="A1835" s="46" t="s">
        <v>3721</v>
      </c>
      <c r="B1835" s="52" t="s">
        <v>7361</v>
      </c>
      <c r="C1835" s="53" t="s">
        <v>3722</v>
      </c>
      <c r="D1835" s="54" t="s">
        <v>9277</v>
      </c>
      <c r="E1835" s="50">
        <f t="shared" si="62"/>
        <v>25.082191779999999</v>
      </c>
      <c r="F1835" s="51">
        <f t="shared" si="62"/>
        <v>4.4382808899999997</v>
      </c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</row>
    <row r="1836" spans="1:28" x14ac:dyDescent="0.15">
      <c r="A1836" s="46" t="s">
        <v>3723</v>
      </c>
      <c r="B1836" s="52" t="s">
        <v>7361</v>
      </c>
      <c r="C1836" s="53" t="s">
        <v>3724</v>
      </c>
      <c r="D1836" s="54" t="s">
        <v>9278</v>
      </c>
      <c r="E1836" s="50">
        <f t="shared" si="62"/>
        <v>25.095890409999999</v>
      </c>
      <c r="F1836" s="51">
        <f t="shared" si="62"/>
        <v>4.43871518</v>
      </c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</row>
    <row r="1837" spans="1:28" x14ac:dyDescent="0.15">
      <c r="A1837" s="46" t="s">
        <v>3725</v>
      </c>
      <c r="B1837" s="52" t="s">
        <v>7361</v>
      </c>
      <c r="C1837" s="53" t="s">
        <v>3726</v>
      </c>
      <c r="D1837" s="54" t="s">
        <v>9279</v>
      </c>
      <c r="E1837" s="50">
        <f t="shared" si="62"/>
        <v>25.109589039999999</v>
      </c>
      <c r="F1837" s="51">
        <f t="shared" si="62"/>
        <v>4.4391508000000002</v>
      </c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</row>
    <row r="1838" spans="1:28" x14ac:dyDescent="0.15">
      <c r="A1838" s="46" t="s">
        <v>3727</v>
      </c>
      <c r="B1838" s="52" t="s">
        <v>7361</v>
      </c>
      <c r="C1838" s="53" t="s">
        <v>3728</v>
      </c>
      <c r="D1838" s="54" t="s">
        <v>9280</v>
      </c>
      <c r="E1838" s="50">
        <f t="shared" si="62"/>
        <v>25.12328767</v>
      </c>
      <c r="F1838" s="51">
        <f t="shared" si="62"/>
        <v>4.4395876799999998</v>
      </c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</row>
    <row r="1839" spans="1:28" x14ac:dyDescent="0.15">
      <c r="A1839" s="46" t="s">
        <v>3729</v>
      </c>
      <c r="B1839" s="52" t="s">
        <v>7361</v>
      </c>
      <c r="C1839" s="53" t="s">
        <v>3730</v>
      </c>
      <c r="D1839" s="54" t="s">
        <v>9281</v>
      </c>
      <c r="E1839" s="50">
        <f t="shared" si="62"/>
        <v>25.1369863</v>
      </c>
      <c r="F1839" s="51">
        <f t="shared" si="62"/>
        <v>4.4400257300000003</v>
      </c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</row>
    <row r="1840" spans="1:28" x14ac:dyDescent="0.15">
      <c r="A1840" s="46" t="s">
        <v>3731</v>
      </c>
      <c r="B1840" s="52" t="s">
        <v>7361</v>
      </c>
      <c r="C1840" s="53" t="s">
        <v>3732</v>
      </c>
      <c r="D1840" s="54" t="s">
        <v>9282</v>
      </c>
      <c r="E1840" s="50">
        <f t="shared" si="62"/>
        <v>25.150684930000001</v>
      </c>
      <c r="F1840" s="51">
        <f t="shared" si="62"/>
        <v>4.4404648900000003</v>
      </c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</row>
    <row r="1841" spans="1:28" x14ac:dyDescent="0.15">
      <c r="A1841" s="46" t="s">
        <v>3733</v>
      </c>
      <c r="B1841" s="52" t="s">
        <v>7361</v>
      </c>
      <c r="C1841" s="53" t="s">
        <v>3734</v>
      </c>
      <c r="D1841" s="54" t="s">
        <v>9283</v>
      </c>
      <c r="E1841" s="50">
        <f t="shared" si="62"/>
        <v>25.164383560000001</v>
      </c>
      <c r="F1841" s="51">
        <f t="shared" si="62"/>
        <v>4.4409050600000004</v>
      </c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</row>
    <row r="1842" spans="1:28" x14ac:dyDescent="0.15">
      <c r="A1842" s="46" t="s">
        <v>3735</v>
      </c>
      <c r="B1842" s="52" t="s">
        <v>7361</v>
      </c>
      <c r="C1842" s="53" t="s">
        <v>3736</v>
      </c>
      <c r="D1842" s="54" t="s">
        <v>9284</v>
      </c>
      <c r="E1842" s="50">
        <f t="shared" si="62"/>
        <v>25.178082190000001</v>
      </c>
      <c r="F1842" s="51">
        <f t="shared" si="62"/>
        <v>4.44134619</v>
      </c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</row>
    <row r="1843" spans="1:28" x14ac:dyDescent="0.15">
      <c r="A1843" s="46" t="s">
        <v>3737</v>
      </c>
      <c r="B1843" s="52" t="s">
        <v>7361</v>
      </c>
      <c r="C1843" s="53" t="s">
        <v>3738</v>
      </c>
      <c r="D1843" s="54" t="s">
        <v>9285</v>
      </c>
      <c r="E1843" s="50">
        <f t="shared" si="62"/>
        <v>25.191780820000002</v>
      </c>
      <c r="F1843" s="51">
        <f t="shared" si="62"/>
        <v>4.4417881799999996</v>
      </c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</row>
    <row r="1844" spans="1:28" x14ac:dyDescent="0.15">
      <c r="A1844" s="46" t="s">
        <v>3739</v>
      </c>
      <c r="B1844" s="52" t="s">
        <v>7361</v>
      </c>
      <c r="C1844" s="53" t="s">
        <v>3740</v>
      </c>
      <c r="D1844" s="54" t="s">
        <v>9286</v>
      </c>
      <c r="E1844" s="50">
        <f t="shared" ref="E1844:F1873" si="63">VALUE(C1844)</f>
        <v>25.205479449999999</v>
      </c>
      <c r="F1844" s="51">
        <f t="shared" si="63"/>
        <v>4.4422309699999998</v>
      </c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</row>
    <row r="1845" spans="1:28" x14ac:dyDescent="0.15">
      <c r="A1845" s="46" t="s">
        <v>3741</v>
      </c>
      <c r="B1845" s="52" t="s">
        <v>7361</v>
      </c>
      <c r="C1845" s="53" t="s">
        <v>3742</v>
      </c>
      <c r="D1845" s="54" t="s">
        <v>9287</v>
      </c>
      <c r="E1845" s="50">
        <f t="shared" si="63"/>
        <v>25.219178079999999</v>
      </c>
      <c r="F1845" s="51">
        <f t="shared" si="63"/>
        <v>4.44267448</v>
      </c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</row>
    <row r="1846" spans="1:28" x14ac:dyDescent="0.15">
      <c r="A1846" s="46" t="s">
        <v>3743</v>
      </c>
      <c r="B1846" s="52" t="s">
        <v>7361</v>
      </c>
      <c r="C1846" s="53" t="s">
        <v>3744</v>
      </c>
      <c r="D1846" s="54" t="s">
        <v>9288</v>
      </c>
      <c r="E1846" s="50">
        <f t="shared" si="63"/>
        <v>25.232876709999999</v>
      </c>
      <c r="F1846" s="51">
        <f t="shared" si="63"/>
        <v>4.4431186199999999</v>
      </c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</row>
    <row r="1847" spans="1:28" x14ac:dyDescent="0.15">
      <c r="A1847" s="46" t="s">
        <v>3745</v>
      </c>
      <c r="B1847" s="52" t="s">
        <v>7361</v>
      </c>
      <c r="C1847" s="53" t="s">
        <v>3746</v>
      </c>
      <c r="D1847" s="54" t="s">
        <v>9289</v>
      </c>
      <c r="E1847" s="50">
        <f t="shared" si="63"/>
        <v>25.24657534</v>
      </c>
      <c r="F1847" s="51">
        <f t="shared" si="63"/>
        <v>4.4435633299999999</v>
      </c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</row>
    <row r="1848" spans="1:28" x14ac:dyDescent="0.15">
      <c r="A1848" s="46" t="s">
        <v>3747</v>
      </c>
      <c r="B1848" s="52" t="s">
        <v>7361</v>
      </c>
      <c r="C1848" s="53" t="s">
        <v>3748</v>
      </c>
      <c r="D1848" s="54" t="s">
        <v>9290</v>
      </c>
      <c r="E1848" s="50">
        <f t="shared" si="63"/>
        <v>25.26027397</v>
      </c>
      <c r="F1848" s="51">
        <f t="shared" si="63"/>
        <v>4.4440085199999997</v>
      </c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</row>
    <row r="1849" spans="1:28" x14ac:dyDescent="0.15">
      <c r="A1849" s="46" t="s">
        <v>3749</v>
      </c>
      <c r="B1849" s="52" t="s">
        <v>7361</v>
      </c>
      <c r="C1849" s="53" t="s">
        <v>3750</v>
      </c>
      <c r="D1849" s="54" t="s">
        <v>9291</v>
      </c>
      <c r="E1849" s="50">
        <f t="shared" si="63"/>
        <v>25.2739726</v>
      </c>
      <c r="F1849" s="51">
        <f t="shared" si="63"/>
        <v>4.4444541299999996</v>
      </c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</row>
    <row r="1850" spans="1:28" x14ac:dyDescent="0.15">
      <c r="A1850" s="46" t="s">
        <v>3751</v>
      </c>
      <c r="B1850" s="52" t="s">
        <v>7361</v>
      </c>
      <c r="C1850" s="53" t="s">
        <v>3752</v>
      </c>
      <c r="D1850" s="54" t="s">
        <v>9292</v>
      </c>
      <c r="E1850" s="50">
        <f t="shared" si="63"/>
        <v>25.287671230000001</v>
      </c>
      <c r="F1850" s="51">
        <f t="shared" si="63"/>
        <v>4.4449000600000002</v>
      </c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</row>
    <row r="1851" spans="1:28" x14ac:dyDescent="0.15">
      <c r="A1851" s="46" t="s">
        <v>3753</v>
      </c>
      <c r="B1851" s="52" t="s">
        <v>7361</v>
      </c>
      <c r="C1851" s="53" t="s">
        <v>3754</v>
      </c>
      <c r="D1851" s="54" t="s">
        <v>9293</v>
      </c>
      <c r="E1851" s="50">
        <f t="shared" si="63"/>
        <v>25.301369860000001</v>
      </c>
      <c r="F1851" s="51">
        <f t="shared" si="63"/>
        <v>4.4453462500000001</v>
      </c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</row>
    <row r="1852" spans="1:28" x14ac:dyDescent="0.15">
      <c r="A1852" s="46" t="s">
        <v>3755</v>
      </c>
      <c r="B1852" s="52" t="s">
        <v>7361</v>
      </c>
      <c r="C1852" s="53" t="s">
        <v>3756</v>
      </c>
      <c r="D1852" s="54" t="s">
        <v>9294</v>
      </c>
      <c r="E1852" s="50">
        <f t="shared" si="63"/>
        <v>25.315068490000002</v>
      </c>
      <c r="F1852" s="51">
        <f t="shared" si="63"/>
        <v>4.4457926199999998</v>
      </c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</row>
    <row r="1853" spans="1:28" x14ac:dyDescent="0.15">
      <c r="A1853" s="46" t="s">
        <v>3757</v>
      </c>
      <c r="B1853" s="52" t="s">
        <v>7361</v>
      </c>
      <c r="C1853" s="53" t="s">
        <v>3758</v>
      </c>
      <c r="D1853" s="54" t="s">
        <v>9295</v>
      </c>
      <c r="E1853" s="50">
        <f t="shared" si="63"/>
        <v>25.328767119999998</v>
      </c>
      <c r="F1853" s="51">
        <f t="shared" si="63"/>
        <v>4.4462390999999997</v>
      </c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</row>
    <row r="1854" spans="1:28" x14ac:dyDescent="0.15">
      <c r="A1854" s="46" t="s">
        <v>3759</v>
      </c>
      <c r="B1854" s="52" t="s">
        <v>7361</v>
      </c>
      <c r="C1854" s="53" t="s">
        <v>3760</v>
      </c>
      <c r="D1854" s="54" t="s">
        <v>9296</v>
      </c>
      <c r="E1854" s="50">
        <f t="shared" si="63"/>
        <v>25.342465749999999</v>
      </c>
      <c r="F1854" s="51">
        <f t="shared" si="63"/>
        <v>4.4466856000000003</v>
      </c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</row>
    <row r="1855" spans="1:28" x14ac:dyDescent="0.15">
      <c r="A1855" s="46" t="s">
        <v>3761</v>
      </c>
      <c r="B1855" s="52" t="s">
        <v>7361</v>
      </c>
      <c r="C1855" s="53" t="s">
        <v>3762</v>
      </c>
      <c r="D1855" s="54" t="s">
        <v>9297</v>
      </c>
      <c r="E1855" s="50">
        <f t="shared" si="63"/>
        <v>25.356164379999999</v>
      </c>
      <c r="F1855" s="51">
        <f t="shared" si="63"/>
        <v>4.4471320399999996</v>
      </c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</row>
    <row r="1856" spans="1:28" x14ac:dyDescent="0.15">
      <c r="A1856" s="46" t="s">
        <v>3763</v>
      </c>
      <c r="B1856" s="52" t="s">
        <v>7361</v>
      </c>
      <c r="C1856" s="53" t="s">
        <v>3764</v>
      </c>
      <c r="D1856" s="54" t="s">
        <v>9298</v>
      </c>
      <c r="E1856" s="50">
        <f t="shared" si="63"/>
        <v>25.36986301</v>
      </c>
      <c r="F1856" s="51">
        <f t="shared" si="63"/>
        <v>4.4475783599999996</v>
      </c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</row>
    <row r="1857" spans="1:28" x14ac:dyDescent="0.15">
      <c r="A1857" s="46" t="s">
        <v>3765</v>
      </c>
      <c r="B1857" s="52" t="s">
        <v>7361</v>
      </c>
      <c r="C1857" s="53" t="s">
        <v>3766</v>
      </c>
      <c r="D1857" s="54" t="s">
        <v>9299</v>
      </c>
      <c r="E1857" s="50">
        <f t="shared" si="63"/>
        <v>25.38356164</v>
      </c>
      <c r="F1857" s="51">
        <f t="shared" si="63"/>
        <v>4.4480244799999999</v>
      </c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</row>
    <row r="1858" spans="1:28" x14ac:dyDescent="0.15">
      <c r="A1858" s="46" t="s">
        <v>3767</v>
      </c>
      <c r="B1858" s="52" t="s">
        <v>7361</v>
      </c>
      <c r="C1858" s="53" t="s">
        <v>3768</v>
      </c>
      <c r="D1858" s="54" t="s">
        <v>9300</v>
      </c>
      <c r="E1858" s="50">
        <f t="shared" si="63"/>
        <v>25.39726027</v>
      </c>
      <c r="F1858" s="51">
        <f t="shared" si="63"/>
        <v>4.4484703100000003</v>
      </c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</row>
    <row r="1859" spans="1:28" x14ac:dyDescent="0.15">
      <c r="A1859" s="46" t="s">
        <v>3769</v>
      </c>
      <c r="B1859" s="52" t="s">
        <v>7361</v>
      </c>
      <c r="C1859" s="53" t="s">
        <v>3770</v>
      </c>
      <c r="D1859" s="54" t="s">
        <v>9301</v>
      </c>
      <c r="E1859" s="50">
        <f t="shared" si="63"/>
        <v>25.410958900000001</v>
      </c>
      <c r="F1859" s="51">
        <f t="shared" si="63"/>
        <v>4.44891579</v>
      </c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</row>
    <row r="1860" spans="1:28" x14ac:dyDescent="0.15">
      <c r="A1860" s="46" t="s">
        <v>3771</v>
      </c>
      <c r="B1860" s="52" t="s">
        <v>7361</v>
      </c>
      <c r="C1860" s="53" t="s">
        <v>3772</v>
      </c>
      <c r="D1860" s="54" t="s">
        <v>9302</v>
      </c>
      <c r="E1860" s="50">
        <f t="shared" si="63"/>
        <v>25.424657530000001</v>
      </c>
      <c r="F1860" s="51">
        <f t="shared" si="63"/>
        <v>4.4493608299999998</v>
      </c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</row>
    <row r="1861" spans="1:28" x14ac:dyDescent="0.15">
      <c r="A1861" s="46" t="s">
        <v>3773</v>
      </c>
      <c r="B1861" s="52" t="s">
        <v>7361</v>
      </c>
      <c r="C1861" s="53" t="s">
        <v>3774</v>
      </c>
      <c r="D1861" s="54" t="s">
        <v>9303</v>
      </c>
      <c r="E1861" s="50">
        <f t="shared" si="63"/>
        <v>25.438356160000001</v>
      </c>
      <c r="F1861" s="51">
        <f t="shared" si="63"/>
        <v>4.4498053500000001</v>
      </c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</row>
    <row r="1862" spans="1:28" x14ac:dyDescent="0.15">
      <c r="A1862" s="46" t="s">
        <v>3775</v>
      </c>
      <c r="B1862" s="52" t="s">
        <v>7361</v>
      </c>
      <c r="C1862" s="53" t="s">
        <v>3776</v>
      </c>
      <c r="D1862" s="54" t="s">
        <v>9304</v>
      </c>
      <c r="E1862" s="50">
        <f t="shared" si="63"/>
        <v>25.452054789999998</v>
      </c>
      <c r="F1862" s="51">
        <f t="shared" si="63"/>
        <v>4.4502492900000004</v>
      </c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</row>
    <row r="1863" spans="1:28" x14ac:dyDescent="0.15">
      <c r="A1863" s="46" t="s">
        <v>3777</v>
      </c>
      <c r="B1863" s="52" t="s">
        <v>7361</v>
      </c>
      <c r="C1863" s="53" t="s">
        <v>3778</v>
      </c>
      <c r="D1863" s="54" t="s">
        <v>9305</v>
      </c>
      <c r="E1863" s="50">
        <f t="shared" si="63"/>
        <v>25.465753419999999</v>
      </c>
      <c r="F1863" s="51">
        <f t="shared" si="63"/>
        <v>4.4506925700000002</v>
      </c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</row>
    <row r="1864" spans="1:28" x14ac:dyDescent="0.15">
      <c r="A1864" s="46" t="s">
        <v>3779</v>
      </c>
      <c r="B1864" s="52" t="s">
        <v>7361</v>
      </c>
      <c r="C1864" s="53" t="s">
        <v>3780</v>
      </c>
      <c r="D1864" s="54" t="s">
        <v>9306</v>
      </c>
      <c r="E1864" s="50">
        <f t="shared" si="63"/>
        <v>25.479452049999999</v>
      </c>
      <c r="F1864" s="51">
        <f t="shared" si="63"/>
        <v>4.4511351000000001</v>
      </c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</row>
    <row r="1865" spans="1:28" x14ac:dyDescent="0.15">
      <c r="A1865" s="46" t="s">
        <v>3781</v>
      </c>
      <c r="B1865" s="52" t="s">
        <v>7361</v>
      </c>
      <c r="C1865" s="53" t="s">
        <v>3782</v>
      </c>
      <c r="D1865" s="54" t="s">
        <v>9307</v>
      </c>
      <c r="E1865" s="50">
        <f t="shared" si="63"/>
        <v>25.493150679999999</v>
      </c>
      <c r="F1865" s="51">
        <f t="shared" si="63"/>
        <v>4.4515768099999997</v>
      </c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</row>
    <row r="1866" spans="1:28" x14ac:dyDescent="0.15">
      <c r="A1866" s="46" t="s">
        <v>3783</v>
      </c>
      <c r="B1866" s="52" t="s">
        <v>7361</v>
      </c>
      <c r="C1866" s="53" t="s">
        <v>3784</v>
      </c>
      <c r="D1866" s="54" t="s">
        <v>9308</v>
      </c>
      <c r="E1866" s="50">
        <f t="shared" si="63"/>
        <v>25.506849320000001</v>
      </c>
      <c r="F1866" s="51">
        <f t="shared" si="63"/>
        <v>4.4520179100000004</v>
      </c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</row>
    <row r="1867" spans="1:28" x14ac:dyDescent="0.15">
      <c r="A1867" s="46" t="s">
        <v>3785</v>
      </c>
      <c r="B1867" s="52" t="s">
        <v>7361</v>
      </c>
      <c r="C1867" s="53" t="s">
        <v>3786</v>
      </c>
      <c r="D1867" s="54" t="s">
        <v>9309</v>
      </c>
      <c r="E1867" s="50">
        <f t="shared" si="63"/>
        <v>25.520547950000001</v>
      </c>
      <c r="F1867" s="51">
        <f t="shared" si="63"/>
        <v>4.4524599399999998</v>
      </c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</row>
    <row r="1868" spans="1:28" x14ac:dyDescent="0.15">
      <c r="A1868" s="46" t="s">
        <v>3787</v>
      </c>
      <c r="B1868" s="52" t="s">
        <v>7361</v>
      </c>
      <c r="C1868" s="53" t="s">
        <v>3788</v>
      </c>
      <c r="D1868" s="54" t="s">
        <v>9310</v>
      </c>
      <c r="E1868" s="50">
        <f t="shared" si="63"/>
        <v>25.534246580000001</v>
      </c>
      <c r="F1868" s="51">
        <f t="shared" si="63"/>
        <v>4.45290315</v>
      </c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</row>
    <row r="1869" spans="1:28" x14ac:dyDescent="0.15">
      <c r="A1869" s="46" t="s">
        <v>3789</v>
      </c>
      <c r="B1869" s="52" t="s">
        <v>7361</v>
      </c>
      <c r="C1869" s="53" t="s">
        <v>3790</v>
      </c>
      <c r="D1869" s="54" t="s">
        <v>9311</v>
      </c>
      <c r="E1869" s="50">
        <f t="shared" si="63"/>
        <v>25.547945210000002</v>
      </c>
      <c r="F1869" s="51">
        <f t="shared" si="63"/>
        <v>4.4533474799999997</v>
      </c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</row>
    <row r="1870" spans="1:28" x14ac:dyDescent="0.15">
      <c r="A1870" s="46" t="s">
        <v>3791</v>
      </c>
      <c r="B1870" s="52" t="s">
        <v>7361</v>
      </c>
      <c r="C1870" s="53" t="s">
        <v>3792</v>
      </c>
      <c r="D1870" s="54" t="s">
        <v>9312</v>
      </c>
      <c r="E1870" s="50">
        <f t="shared" si="63"/>
        <v>25.561643839999999</v>
      </c>
      <c r="F1870" s="51">
        <f t="shared" si="63"/>
        <v>4.45379287</v>
      </c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</row>
    <row r="1871" spans="1:28" x14ac:dyDescent="0.15">
      <c r="A1871" s="46" t="s">
        <v>3793</v>
      </c>
      <c r="B1871" s="52" t="s">
        <v>7361</v>
      </c>
      <c r="C1871" s="53" t="s">
        <v>3794</v>
      </c>
      <c r="D1871" s="54" t="s">
        <v>9313</v>
      </c>
      <c r="E1871" s="50">
        <f t="shared" si="63"/>
        <v>25.575342469999999</v>
      </c>
      <c r="F1871" s="51">
        <f t="shared" si="63"/>
        <v>4.4542392800000004</v>
      </c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</row>
    <row r="1872" spans="1:28" x14ac:dyDescent="0.15">
      <c r="A1872" s="46" t="s">
        <v>3795</v>
      </c>
      <c r="B1872" s="52" t="s">
        <v>7361</v>
      </c>
      <c r="C1872" s="53" t="s">
        <v>3796</v>
      </c>
      <c r="D1872" s="54" t="s">
        <v>9314</v>
      </c>
      <c r="E1872" s="50">
        <f t="shared" si="63"/>
        <v>25.589041099999999</v>
      </c>
      <c r="F1872" s="51">
        <f t="shared" si="63"/>
        <v>4.4546866500000002</v>
      </c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</row>
    <row r="1873" spans="1:28" x14ac:dyDescent="0.15">
      <c r="A1873" s="46" t="s">
        <v>3797</v>
      </c>
      <c r="B1873" s="52" t="s">
        <v>7361</v>
      </c>
      <c r="C1873" s="53" t="s">
        <v>3798</v>
      </c>
      <c r="D1873" s="54" t="s">
        <v>9315</v>
      </c>
      <c r="E1873" s="50">
        <f t="shared" si="63"/>
        <v>25.60273973</v>
      </c>
      <c r="F1873" s="51">
        <f t="shared" si="63"/>
        <v>4.4551349299999998</v>
      </c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</row>
    <row r="1874" spans="1:28" x14ac:dyDescent="0.15">
      <c r="A1874" s="46" t="s">
        <v>3799</v>
      </c>
      <c r="B1874" s="52" t="s">
        <v>7361</v>
      </c>
      <c r="C1874" s="53" t="s">
        <v>3800</v>
      </c>
      <c r="D1874" s="54" t="s">
        <v>9316</v>
      </c>
      <c r="E1874" s="50">
        <f t="shared" ref="E1874:F1904" si="64">VALUE(C1874)</f>
        <v>25.61643836</v>
      </c>
      <c r="F1874" s="51">
        <f t="shared" si="64"/>
        <v>4.4555840800000004</v>
      </c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</row>
    <row r="1875" spans="1:28" x14ac:dyDescent="0.15">
      <c r="A1875" s="46" t="s">
        <v>3801</v>
      </c>
      <c r="B1875" s="52" t="s">
        <v>7361</v>
      </c>
      <c r="C1875" s="53" t="s">
        <v>3802</v>
      </c>
      <c r="D1875" s="54" t="s">
        <v>9317</v>
      </c>
      <c r="E1875" s="50">
        <f t="shared" si="64"/>
        <v>25.63013699</v>
      </c>
      <c r="F1875" s="51">
        <f t="shared" si="64"/>
        <v>4.4560340399999996</v>
      </c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</row>
    <row r="1876" spans="1:28" x14ac:dyDescent="0.15">
      <c r="A1876" s="46" t="s">
        <v>3803</v>
      </c>
      <c r="B1876" s="52" t="s">
        <v>7361</v>
      </c>
      <c r="C1876" s="53" t="s">
        <v>3804</v>
      </c>
      <c r="D1876" s="54" t="s">
        <v>9318</v>
      </c>
      <c r="E1876" s="50">
        <f t="shared" si="64"/>
        <v>25.643835620000001</v>
      </c>
      <c r="F1876" s="51">
        <f t="shared" si="64"/>
        <v>4.4564847500000004</v>
      </c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</row>
    <row r="1877" spans="1:28" x14ac:dyDescent="0.15">
      <c r="A1877" s="46" t="s">
        <v>3805</v>
      </c>
      <c r="B1877" s="52" t="s">
        <v>7361</v>
      </c>
      <c r="C1877" s="53" t="s">
        <v>3806</v>
      </c>
      <c r="D1877" s="54" t="s">
        <v>9319</v>
      </c>
      <c r="E1877" s="50">
        <f t="shared" si="64"/>
        <v>25.657534250000001</v>
      </c>
      <c r="F1877" s="51">
        <f t="shared" si="64"/>
        <v>4.4569361799999996</v>
      </c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</row>
    <row r="1878" spans="1:28" x14ac:dyDescent="0.15">
      <c r="A1878" s="46" t="s">
        <v>3807</v>
      </c>
      <c r="B1878" s="52" t="s">
        <v>7361</v>
      </c>
      <c r="C1878" s="53" t="s">
        <v>3808</v>
      </c>
      <c r="D1878" s="54" t="s">
        <v>9320</v>
      </c>
      <c r="E1878" s="50">
        <f t="shared" si="64"/>
        <v>25.671232880000002</v>
      </c>
      <c r="F1878" s="51">
        <f t="shared" si="64"/>
        <v>4.4573882600000001</v>
      </c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</row>
    <row r="1879" spans="1:28" x14ac:dyDescent="0.15">
      <c r="A1879" s="46" t="s">
        <v>3809</v>
      </c>
      <c r="B1879" s="52" t="s">
        <v>7361</v>
      </c>
      <c r="C1879" s="53" t="s">
        <v>3810</v>
      </c>
      <c r="D1879" s="54" t="s">
        <v>9321</v>
      </c>
      <c r="E1879" s="50">
        <f t="shared" si="64"/>
        <v>25.684931509999998</v>
      </c>
      <c r="F1879" s="51">
        <f t="shared" si="64"/>
        <v>4.4578409399999996</v>
      </c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</row>
    <row r="1880" spans="1:28" x14ac:dyDescent="0.15">
      <c r="A1880" s="46" t="s">
        <v>3811</v>
      </c>
      <c r="B1880" s="52" t="s">
        <v>7361</v>
      </c>
      <c r="C1880" s="53" t="s">
        <v>3812</v>
      </c>
      <c r="D1880" s="54" t="s">
        <v>9322</v>
      </c>
      <c r="E1880" s="50">
        <f t="shared" si="64"/>
        <v>25.698630139999999</v>
      </c>
      <c r="F1880" s="51">
        <f t="shared" si="64"/>
        <v>4.4582941900000002</v>
      </c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</row>
    <row r="1881" spans="1:28" x14ac:dyDescent="0.15">
      <c r="A1881" s="46" t="s">
        <v>3813</v>
      </c>
      <c r="B1881" s="52" t="s">
        <v>7361</v>
      </c>
      <c r="C1881" s="53" t="s">
        <v>3814</v>
      </c>
      <c r="D1881" s="54" t="s">
        <v>9323</v>
      </c>
      <c r="E1881" s="50">
        <f t="shared" si="64"/>
        <v>25.712328769999999</v>
      </c>
      <c r="F1881" s="51">
        <f t="shared" si="64"/>
        <v>4.4587479300000004</v>
      </c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</row>
    <row r="1882" spans="1:28" x14ac:dyDescent="0.15">
      <c r="A1882" s="46" t="s">
        <v>3815</v>
      </c>
      <c r="B1882" s="52" t="s">
        <v>7361</v>
      </c>
      <c r="C1882" s="53" t="s">
        <v>3816</v>
      </c>
      <c r="D1882" s="54" t="s">
        <v>9324</v>
      </c>
      <c r="E1882" s="50">
        <f t="shared" si="64"/>
        <v>25.7260274</v>
      </c>
      <c r="F1882" s="51">
        <f t="shared" si="64"/>
        <v>4.4592021300000004</v>
      </c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</row>
    <row r="1883" spans="1:28" x14ac:dyDescent="0.15">
      <c r="A1883" s="46" t="s">
        <v>3817</v>
      </c>
      <c r="B1883" s="52" t="s">
        <v>7361</v>
      </c>
      <c r="C1883" s="53" t="s">
        <v>3818</v>
      </c>
      <c r="D1883" s="54" t="s">
        <v>9325</v>
      </c>
      <c r="E1883" s="50">
        <f t="shared" si="64"/>
        <v>25.73972603</v>
      </c>
      <c r="F1883" s="51">
        <f t="shared" si="64"/>
        <v>4.4596567299999998</v>
      </c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</row>
    <row r="1884" spans="1:28" x14ac:dyDescent="0.15">
      <c r="A1884" s="46" t="s">
        <v>3819</v>
      </c>
      <c r="B1884" s="52" t="s">
        <v>7361</v>
      </c>
      <c r="C1884" s="53" t="s">
        <v>3820</v>
      </c>
      <c r="D1884" s="54" t="s">
        <v>9326</v>
      </c>
      <c r="E1884" s="50">
        <f t="shared" si="64"/>
        <v>25.75342466</v>
      </c>
      <c r="F1884" s="51">
        <f t="shared" si="64"/>
        <v>4.4601116799999998</v>
      </c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</row>
    <row r="1885" spans="1:28" x14ac:dyDescent="0.15">
      <c r="A1885" s="46" t="s">
        <v>3821</v>
      </c>
      <c r="B1885" s="52" t="s">
        <v>7361</v>
      </c>
      <c r="C1885" s="53" t="s">
        <v>3822</v>
      </c>
      <c r="D1885" s="54" t="s">
        <v>9327</v>
      </c>
      <c r="E1885" s="50">
        <f t="shared" si="64"/>
        <v>25.767123290000001</v>
      </c>
      <c r="F1885" s="51">
        <f t="shared" si="64"/>
        <v>4.4605669199999998</v>
      </c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</row>
    <row r="1886" spans="1:28" x14ac:dyDescent="0.15">
      <c r="A1886" s="46" t="s">
        <v>3823</v>
      </c>
      <c r="B1886" s="52" t="s">
        <v>7361</v>
      </c>
      <c r="C1886" s="53" t="s">
        <v>3824</v>
      </c>
      <c r="D1886" s="54" t="s">
        <v>9328</v>
      </c>
      <c r="E1886" s="50">
        <f t="shared" si="64"/>
        <v>25.780821920000001</v>
      </c>
      <c r="F1886" s="51">
        <f t="shared" si="64"/>
        <v>4.4610224199999999</v>
      </c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</row>
    <row r="1887" spans="1:28" x14ac:dyDescent="0.15">
      <c r="A1887" s="46" t="s">
        <v>3825</v>
      </c>
      <c r="B1887" s="52" t="s">
        <v>7361</v>
      </c>
      <c r="C1887" s="53" t="s">
        <v>3826</v>
      </c>
      <c r="D1887" s="54" t="s">
        <v>9329</v>
      </c>
      <c r="E1887" s="50">
        <f t="shared" si="64"/>
        <v>25.794520550000001</v>
      </c>
      <c r="F1887" s="51">
        <f t="shared" si="64"/>
        <v>4.4614781099999998</v>
      </c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</row>
    <row r="1888" spans="1:28" x14ac:dyDescent="0.15">
      <c r="A1888" s="46" t="s">
        <v>3827</v>
      </c>
      <c r="B1888" s="52" t="s">
        <v>7361</v>
      </c>
      <c r="C1888" s="53" t="s">
        <v>3828</v>
      </c>
      <c r="D1888" s="54" t="s">
        <v>9330</v>
      </c>
      <c r="E1888" s="50">
        <f t="shared" si="64"/>
        <v>25.808219179999998</v>
      </c>
      <c r="F1888" s="51">
        <f t="shared" si="64"/>
        <v>4.4619339399999998</v>
      </c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</row>
    <row r="1889" spans="1:28" x14ac:dyDescent="0.15">
      <c r="A1889" s="46" t="s">
        <v>3829</v>
      </c>
      <c r="B1889" s="52" t="s">
        <v>7361</v>
      </c>
      <c r="C1889" s="53" t="s">
        <v>3830</v>
      </c>
      <c r="D1889" s="54" t="s">
        <v>9331</v>
      </c>
      <c r="E1889" s="50">
        <f t="shared" si="64"/>
        <v>25.821917809999999</v>
      </c>
      <c r="F1889" s="51">
        <f t="shared" si="64"/>
        <v>4.46238987</v>
      </c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</row>
    <row r="1890" spans="1:28" x14ac:dyDescent="0.15">
      <c r="A1890" s="46" t="s">
        <v>3831</v>
      </c>
      <c r="B1890" s="52" t="s">
        <v>7361</v>
      </c>
      <c r="C1890" s="53" t="s">
        <v>3832</v>
      </c>
      <c r="D1890" s="54" t="s">
        <v>9332</v>
      </c>
      <c r="E1890" s="50">
        <f t="shared" si="64"/>
        <v>25.835616439999999</v>
      </c>
      <c r="F1890" s="51">
        <f t="shared" si="64"/>
        <v>4.46284584</v>
      </c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</row>
    <row r="1891" spans="1:28" x14ac:dyDescent="0.15">
      <c r="A1891" s="46" t="s">
        <v>3833</v>
      </c>
      <c r="B1891" s="52" t="s">
        <v>7361</v>
      </c>
      <c r="C1891" s="53" t="s">
        <v>3834</v>
      </c>
      <c r="D1891" s="54" t="s">
        <v>9333</v>
      </c>
      <c r="E1891" s="50">
        <f t="shared" si="64"/>
        <v>25.849315069999999</v>
      </c>
      <c r="F1891" s="51">
        <f t="shared" si="64"/>
        <v>4.4633018099999999</v>
      </c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</row>
    <row r="1892" spans="1:28" x14ac:dyDescent="0.15">
      <c r="A1892" s="46" t="s">
        <v>3835</v>
      </c>
      <c r="B1892" s="52" t="s">
        <v>7361</v>
      </c>
      <c r="C1892" s="53" t="s">
        <v>3836</v>
      </c>
      <c r="D1892" s="54" t="s">
        <v>9334</v>
      </c>
      <c r="E1892" s="50">
        <f t="shared" si="64"/>
        <v>25.8630137</v>
      </c>
      <c r="F1892" s="51">
        <f t="shared" si="64"/>
        <v>4.4637577100000003</v>
      </c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</row>
    <row r="1893" spans="1:28" x14ac:dyDescent="0.15">
      <c r="A1893" s="46" t="s">
        <v>3837</v>
      </c>
      <c r="B1893" s="52" t="s">
        <v>7361</v>
      </c>
      <c r="C1893" s="53" t="s">
        <v>3838</v>
      </c>
      <c r="D1893" s="54" t="s">
        <v>9335</v>
      </c>
      <c r="E1893" s="50">
        <f t="shared" si="64"/>
        <v>25.87671233</v>
      </c>
      <c r="F1893" s="51">
        <f t="shared" si="64"/>
        <v>4.4642134999999996</v>
      </c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</row>
    <row r="1894" spans="1:28" x14ac:dyDescent="0.15">
      <c r="A1894" s="46" t="s">
        <v>3839</v>
      </c>
      <c r="B1894" s="52" t="s">
        <v>7361</v>
      </c>
      <c r="C1894" s="53" t="s">
        <v>3840</v>
      </c>
      <c r="D1894" s="54" t="s">
        <v>9336</v>
      </c>
      <c r="E1894" s="50">
        <f t="shared" si="64"/>
        <v>25.890410960000001</v>
      </c>
      <c r="F1894" s="51">
        <f t="shared" si="64"/>
        <v>4.4646691299999999</v>
      </c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</row>
    <row r="1895" spans="1:28" x14ac:dyDescent="0.15">
      <c r="A1895" s="46" t="s">
        <v>3841</v>
      </c>
      <c r="B1895" s="52" t="s">
        <v>7361</v>
      </c>
      <c r="C1895" s="53" t="s">
        <v>3842</v>
      </c>
      <c r="D1895" s="54" t="s">
        <v>9337</v>
      </c>
      <c r="E1895" s="50">
        <f t="shared" si="64"/>
        <v>25.904109590000001</v>
      </c>
      <c r="F1895" s="51">
        <f t="shared" si="64"/>
        <v>4.4651245499999996</v>
      </c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</row>
    <row r="1896" spans="1:28" x14ac:dyDescent="0.15">
      <c r="A1896" s="46" t="s">
        <v>3843</v>
      </c>
      <c r="B1896" s="52" t="s">
        <v>7361</v>
      </c>
      <c r="C1896" s="53" t="s">
        <v>3844</v>
      </c>
      <c r="D1896" s="54" t="s">
        <v>9338</v>
      </c>
      <c r="E1896" s="50">
        <f t="shared" si="64"/>
        <v>25.917808220000001</v>
      </c>
      <c r="F1896" s="51">
        <f t="shared" si="64"/>
        <v>4.4655797000000002</v>
      </c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</row>
    <row r="1897" spans="1:28" x14ac:dyDescent="0.15">
      <c r="A1897" s="46" t="s">
        <v>3845</v>
      </c>
      <c r="B1897" s="52" t="s">
        <v>7361</v>
      </c>
      <c r="C1897" s="53" t="s">
        <v>3846</v>
      </c>
      <c r="D1897" s="54" t="s">
        <v>9339</v>
      </c>
      <c r="E1897" s="50">
        <f t="shared" si="64"/>
        <v>25.931506850000002</v>
      </c>
      <c r="F1897" s="51">
        <f t="shared" si="64"/>
        <v>4.4660345399999999</v>
      </c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</row>
    <row r="1898" spans="1:28" x14ac:dyDescent="0.15">
      <c r="A1898" s="46" t="s">
        <v>3847</v>
      </c>
      <c r="B1898" s="52" t="s">
        <v>7361</v>
      </c>
      <c r="C1898" s="53" t="s">
        <v>3848</v>
      </c>
      <c r="D1898" s="54" t="s">
        <v>9340</v>
      </c>
      <c r="E1898" s="50">
        <f t="shared" si="64"/>
        <v>25.945205479999998</v>
      </c>
      <c r="F1898" s="51">
        <f t="shared" si="64"/>
        <v>4.4664890100000001</v>
      </c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</row>
    <row r="1899" spans="1:28" x14ac:dyDescent="0.15">
      <c r="A1899" s="46" t="s">
        <v>3849</v>
      </c>
      <c r="B1899" s="52" t="s">
        <v>7361</v>
      </c>
      <c r="C1899" s="53" t="s">
        <v>3850</v>
      </c>
      <c r="D1899" s="54" t="s">
        <v>9341</v>
      </c>
      <c r="E1899" s="50">
        <f t="shared" si="64"/>
        <v>25.958904109999999</v>
      </c>
      <c r="F1899" s="51">
        <f t="shared" si="64"/>
        <v>4.4669430600000002</v>
      </c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</row>
    <row r="1900" spans="1:28" x14ac:dyDescent="0.15">
      <c r="A1900" s="46" t="s">
        <v>3851</v>
      </c>
      <c r="B1900" s="52" t="s">
        <v>7361</v>
      </c>
      <c r="C1900" s="53" t="s">
        <v>3852</v>
      </c>
      <c r="D1900" s="54" t="s">
        <v>9342</v>
      </c>
      <c r="E1900" s="50">
        <f t="shared" si="64"/>
        <v>25.972602739999999</v>
      </c>
      <c r="F1900" s="51">
        <f t="shared" si="64"/>
        <v>4.4673966500000004</v>
      </c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</row>
    <row r="1901" spans="1:28" x14ac:dyDescent="0.15">
      <c r="A1901" s="46" t="s">
        <v>3853</v>
      </c>
      <c r="B1901" s="52" t="s">
        <v>7361</v>
      </c>
      <c r="C1901" s="53" t="s">
        <v>3854</v>
      </c>
      <c r="D1901" s="54" t="s">
        <v>9343</v>
      </c>
      <c r="E1901" s="50">
        <f t="shared" si="64"/>
        <v>25.98630137</v>
      </c>
      <c r="F1901" s="51">
        <f t="shared" si="64"/>
        <v>4.4678497100000003</v>
      </c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</row>
    <row r="1902" spans="1:28" x14ac:dyDescent="0.15">
      <c r="A1902" s="46" t="s">
        <v>3855</v>
      </c>
      <c r="B1902" s="52" t="s">
        <v>7361</v>
      </c>
      <c r="C1902" s="53" t="s">
        <v>3856</v>
      </c>
      <c r="D1902" s="54" t="s">
        <v>9344</v>
      </c>
      <c r="E1902" s="50">
        <f t="shared" si="64"/>
        <v>26</v>
      </c>
      <c r="F1902" s="51">
        <f t="shared" si="64"/>
        <v>4.4683022000000001</v>
      </c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</row>
    <row r="1903" spans="1:28" x14ac:dyDescent="0.15">
      <c r="A1903" s="46" t="s">
        <v>3857</v>
      </c>
      <c r="B1903" s="52" t="s">
        <v>7361</v>
      </c>
      <c r="C1903" s="53" t="s">
        <v>3858</v>
      </c>
      <c r="D1903" s="54" t="s">
        <v>9345</v>
      </c>
      <c r="E1903" s="50">
        <f t="shared" si="64"/>
        <v>26.01369863</v>
      </c>
      <c r="F1903" s="51">
        <f t="shared" si="64"/>
        <v>4.46875468</v>
      </c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</row>
    <row r="1904" spans="1:28" x14ac:dyDescent="0.15">
      <c r="A1904" s="46" t="s">
        <v>3859</v>
      </c>
      <c r="B1904" s="52" t="s">
        <v>7361</v>
      </c>
      <c r="C1904" s="53" t="s">
        <v>3860</v>
      </c>
      <c r="D1904" s="54" t="s">
        <v>9346</v>
      </c>
      <c r="E1904" s="50">
        <f t="shared" si="64"/>
        <v>26.027397260000001</v>
      </c>
      <c r="F1904" s="51">
        <f t="shared" si="64"/>
        <v>4.4692077299999999</v>
      </c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</row>
    <row r="1905" spans="1:28" x14ac:dyDescent="0.15">
      <c r="A1905" s="46" t="s">
        <v>3861</v>
      </c>
      <c r="B1905" s="52" t="s">
        <v>7361</v>
      </c>
      <c r="C1905" s="53" t="s">
        <v>3862</v>
      </c>
      <c r="D1905" s="54" t="s">
        <v>9347</v>
      </c>
      <c r="E1905" s="50">
        <f t="shared" ref="E1905:F1934" si="65">VALUE(C1905)</f>
        <v>26.041095890000001</v>
      </c>
      <c r="F1905" s="51">
        <f t="shared" si="65"/>
        <v>4.4696613300000001</v>
      </c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</row>
    <row r="1906" spans="1:28" x14ac:dyDescent="0.15">
      <c r="A1906" s="46" t="s">
        <v>3863</v>
      </c>
      <c r="B1906" s="52" t="s">
        <v>7361</v>
      </c>
      <c r="C1906" s="53" t="s">
        <v>3864</v>
      </c>
      <c r="D1906" s="54" t="s">
        <v>9348</v>
      </c>
      <c r="E1906" s="50">
        <f t="shared" si="65"/>
        <v>26.054794520000002</v>
      </c>
      <c r="F1906" s="51">
        <f t="shared" si="65"/>
        <v>4.4701154499999998</v>
      </c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</row>
    <row r="1907" spans="1:28" x14ac:dyDescent="0.15">
      <c r="A1907" s="46" t="s">
        <v>3865</v>
      </c>
      <c r="B1907" s="52" t="s">
        <v>7361</v>
      </c>
      <c r="C1907" s="53" t="s">
        <v>3866</v>
      </c>
      <c r="D1907" s="54" t="s">
        <v>9349</v>
      </c>
      <c r="E1907" s="50">
        <f t="shared" si="65"/>
        <v>26.068493149999998</v>
      </c>
      <c r="F1907" s="51">
        <f t="shared" si="65"/>
        <v>4.47057006</v>
      </c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</row>
    <row r="1908" spans="1:28" x14ac:dyDescent="0.15">
      <c r="A1908" s="46" t="s">
        <v>3867</v>
      </c>
      <c r="B1908" s="52" t="s">
        <v>7361</v>
      </c>
      <c r="C1908" s="53" t="s">
        <v>3868</v>
      </c>
      <c r="D1908" s="54" t="s">
        <v>9350</v>
      </c>
      <c r="E1908" s="50">
        <f t="shared" si="65"/>
        <v>26.082191779999999</v>
      </c>
      <c r="F1908" s="51">
        <f t="shared" si="65"/>
        <v>4.47102515</v>
      </c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</row>
    <row r="1909" spans="1:28" x14ac:dyDescent="0.15">
      <c r="A1909" s="46" t="s">
        <v>3869</v>
      </c>
      <c r="B1909" s="52" t="s">
        <v>7361</v>
      </c>
      <c r="C1909" s="53" t="s">
        <v>3870</v>
      </c>
      <c r="D1909" s="54" t="s">
        <v>9351</v>
      </c>
      <c r="E1909" s="50">
        <f t="shared" si="65"/>
        <v>26.095890409999999</v>
      </c>
      <c r="F1909" s="51">
        <f t="shared" si="65"/>
        <v>4.4714806899999999</v>
      </c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</row>
    <row r="1910" spans="1:28" x14ac:dyDescent="0.15">
      <c r="A1910" s="46" t="s">
        <v>3871</v>
      </c>
      <c r="B1910" s="52" t="s">
        <v>7361</v>
      </c>
      <c r="C1910" s="53" t="s">
        <v>3872</v>
      </c>
      <c r="D1910" s="54" t="s">
        <v>9352</v>
      </c>
      <c r="E1910" s="50">
        <f t="shared" si="65"/>
        <v>26.109589039999999</v>
      </c>
      <c r="F1910" s="51">
        <f t="shared" si="65"/>
        <v>4.47193665</v>
      </c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</row>
    <row r="1911" spans="1:28" x14ac:dyDescent="0.15">
      <c r="A1911" s="46" t="s">
        <v>3873</v>
      </c>
      <c r="B1911" s="52" t="s">
        <v>7361</v>
      </c>
      <c r="C1911" s="53" t="s">
        <v>3874</v>
      </c>
      <c r="D1911" s="54" t="s">
        <v>9353</v>
      </c>
      <c r="E1911" s="50">
        <f t="shared" si="65"/>
        <v>26.12328767</v>
      </c>
      <c r="F1911" s="51">
        <f t="shared" si="65"/>
        <v>4.4723930100000002</v>
      </c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</row>
    <row r="1912" spans="1:28" x14ac:dyDescent="0.15">
      <c r="A1912" s="46" t="s">
        <v>3875</v>
      </c>
      <c r="B1912" s="52" t="s">
        <v>7361</v>
      </c>
      <c r="C1912" s="53" t="s">
        <v>3876</v>
      </c>
      <c r="D1912" s="54" t="s">
        <v>9354</v>
      </c>
      <c r="E1912" s="50">
        <f t="shared" si="65"/>
        <v>26.1369863</v>
      </c>
      <c r="F1912" s="51">
        <f t="shared" si="65"/>
        <v>4.47284974</v>
      </c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</row>
    <row r="1913" spans="1:28" x14ac:dyDescent="0.15">
      <c r="A1913" s="46" t="s">
        <v>3877</v>
      </c>
      <c r="B1913" s="52" t="s">
        <v>7361</v>
      </c>
      <c r="C1913" s="53" t="s">
        <v>3878</v>
      </c>
      <c r="D1913" s="54" t="s">
        <v>9355</v>
      </c>
      <c r="E1913" s="50">
        <f t="shared" si="65"/>
        <v>26.150684930000001</v>
      </c>
      <c r="F1913" s="51">
        <f t="shared" si="65"/>
        <v>4.4733068200000004</v>
      </c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</row>
    <row r="1914" spans="1:28" x14ac:dyDescent="0.15">
      <c r="A1914" s="46" t="s">
        <v>3879</v>
      </c>
      <c r="B1914" s="52" t="s">
        <v>7361</v>
      </c>
      <c r="C1914" s="53" t="s">
        <v>3880</v>
      </c>
      <c r="D1914" s="54" t="s">
        <v>9356</v>
      </c>
      <c r="E1914" s="50">
        <f t="shared" si="65"/>
        <v>26.164383560000001</v>
      </c>
      <c r="F1914" s="51">
        <f t="shared" si="65"/>
        <v>4.4737642299999996</v>
      </c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</row>
    <row r="1915" spans="1:28" x14ac:dyDescent="0.15">
      <c r="A1915" s="46" t="s">
        <v>3881</v>
      </c>
      <c r="B1915" s="52" t="s">
        <v>7361</v>
      </c>
      <c r="C1915" s="53" t="s">
        <v>3882</v>
      </c>
      <c r="D1915" s="54" t="s">
        <v>9357</v>
      </c>
      <c r="E1915" s="50">
        <f t="shared" si="65"/>
        <v>26.178082190000001</v>
      </c>
      <c r="F1915" s="51">
        <f t="shared" si="65"/>
        <v>4.4742219399999996</v>
      </c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</row>
    <row r="1916" spans="1:28" x14ac:dyDescent="0.15">
      <c r="A1916" s="46" t="s">
        <v>3883</v>
      </c>
      <c r="B1916" s="52" t="s">
        <v>7361</v>
      </c>
      <c r="C1916" s="53" t="s">
        <v>3884</v>
      </c>
      <c r="D1916" s="54" t="s">
        <v>9358</v>
      </c>
      <c r="E1916" s="50">
        <f t="shared" si="65"/>
        <v>26.191780820000002</v>
      </c>
      <c r="F1916" s="51">
        <f t="shared" si="65"/>
        <v>4.4746799299999998</v>
      </c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</row>
    <row r="1917" spans="1:28" x14ac:dyDescent="0.15">
      <c r="A1917" s="46" t="s">
        <v>3885</v>
      </c>
      <c r="B1917" s="52" t="s">
        <v>7361</v>
      </c>
      <c r="C1917" s="53" t="s">
        <v>3886</v>
      </c>
      <c r="D1917" s="54" t="s">
        <v>9359</v>
      </c>
      <c r="E1917" s="50">
        <f t="shared" si="65"/>
        <v>26.205479449999999</v>
      </c>
      <c r="F1917" s="51">
        <f t="shared" si="65"/>
        <v>4.4751381700000001</v>
      </c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</row>
    <row r="1918" spans="1:28" x14ac:dyDescent="0.15">
      <c r="A1918" s="46" t="s">
        <v>3887</v>
      </c>
      <c r="B1918" s="52" t="s">
        <v>7361</v>
      </c>
      <c r="C1918" s="53" t="s">
        <v>3888</v>
      </c>
      <c r="D1918" s="54" t="s">
        <v>9360</v>
      </c>
      <c r="E1918" s="50">
        <f t="shared" si="65"/>
        <v>26.219178079999999</v>
      </c>
      <c r="F1918" s="51">
        <f t="shared" si="65"/>
        <v>4.47559664</v>
      </c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</row>
    <row r="1919" spans="1:28" x14ac:dyDescent="0.15">
      <c r="A1919" s="46" t="s">
        <v>3889</v>
      </c>
      <c r="B1919" s="52" t="s">
        <v>7361</v>
      </c>
      <c r="C1919" s="53" t="s">
        <v>3890</v>
      </c>
      <c r="D1919" s="54" t="s">
        <v>9361</v>
      </c>
      <c r="E1919" s="50">
        <f t="shared" si="65"/>
        <v>26.232876709999999</v>
      </c>
      <c r="F1919" s="51">
        <f t="shared" si="65"/>
        <v>4.4760553099999996</v>
      </c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</row>
    <row r="1920" spans="1:28" x14ac:dyDescent="0.15">
      <c r="A1920" s="46" t="s">
        <v>3891</v>
      </c>
      <c r="B1920" s="52" t="s">
        <v>7361</v>
      </c>
      <c r="C1920" s="53" t="s">
        <v>3892</v>
      </c>
      <c r="D1920" s="54" t="s">
        <v>9362</v>
      </c>
      <c r="E1920" s="50">
        <f t="shared" si="65"/>
        <v>26.24657534</v>
      </c>
      <c r="F1920" s="51">
        <f t="shared" si="65"/>
        <v>4.4765141699999997</v>
      </c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</row>
    <row r="1921" spans="1:28" x14ac:dyDescent="0.15">
      <c r="A1921" s="46" t="s">
        <v>3893</v>
      </c>
      <c r="B1921" s="52" t="s">
        <v>7361</v>
      </c>
      <c r="C1921" s="53" t="s">
        <v>3894</v>
      </c>
      <c r="D1921" s="54" t="s">
        <v>9363</v>
      </c>
      <c r="E1921" s="50">
        <f t="shared" si="65"/>
        <v>26.26027397</v>
      </c>
      <c r="F1921" s="51">
        <f t="shared" si="65"/>
        <v>4.4769731699999999</v>
      </c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</row>
    <row r="1922" spans="1:28" x14ac:dyDescent="0.15">
      <c r="A1922" s="46" t="s">
        <v>3895</v>
      </c>
      <c r="B1922" s="52" t="s">
        <v>7361</v>
      </c>
      <c r="C1922" s="53" t="s">
        <v>3896</v>
      </c>
      <c r="D1922" s="54" t="s">
        <v>9364</v>
      </c>
      <c r="E1922" s="50">
        <f t="shared" si="65"/>
        <v>26.2739726</v>
      </c>
      <c r="F1922" s="51">
        <f t="shared" si="65"/>
        <v>4.4774323100000002</v>
      </c>
      <c r="H1922" s="33"/>
      <c r="I1922" s="33"/>
      <c r="J1922" s="33"/>
      <c r="K1922" s="33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</row>
    <row r="1923" spans="1:28" x14ac:dyDescent="0.15">
      <c r="A1923" s="46" t="s">
        <v>3897</v>
      </c>
      <c r="B1923" s="52" t="s">
        <v>7361</v>
      </c>
      <c r="C1923" s="53" t="s">
        <v>3898</v>
      </c>
      <c r="D1923" s="54" t="s">
        <v>9365</v>
      </c>
      <c r="E1923" s="50">
        <f t="shared" si="65"/>
        <v>26.287671230000001</v>
      </c>
      <c r="F1923" s="51">
        <f t="shared" si="65"/>
        <v>4.4778915499999998</v>
      </c>
      <c r="H1923" s="33"/>
      <c r="I1923" s="33"/>
      <c r="J1923" s="33"/>
      <c r="K1923" s="33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</row>
    <row r="1924" spans="1:28" x14ac:dyDescent="0.15">
      <c r="A1924" s="46" t="s">
        <v>3899</v>
      </c>
      <c r="B1924" s="52" t="s">
        <v>7361</v>
      </c>
      <c r="C1924" s="53" t="s">
        <v>3900</v>
      </c>
      <c r="D1924" s="54" t="s">
        <v>9366</v>
      </c>
      <c r="E1924" s="50">
        <f t="shared" si="65"/>
        <v>26.301369860000001</v>
      </c>
      <c r="F1924" s="51">
        <f t="shared" si="65"/>
        <v>4.4783508699999999</v>
      </c>
      <c r="H1924" s="33"/>
      <c r="I1924" s="33"/>
      <c r="J1924" s="33"/>
      <c r="K1924" s="33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</row>
    <row r="1925" spans="1:28" x14ac:dyDescent="0.15">
      <c r="A1925" s="46" t="s">
        <v>3901</v>
      </c>
      <c r="B1925" s="52" t="s">
        <v>7361</v>
      </c>
      <c r="C1925" s="53" t="s">
        <v>3902</v>
      </c>
      <c r="D1925" s="54" t="s">
        <v>9367</v>
      </c>
      <c r="E1925" s="50">
        <f t="shared" si="65"/>
        <v>26.315068490000002</v>
      </c>
      <c r="F1925" s="51">
        <f t="shared" si="65"/>
        <v>4.4788102600000004</v>
      </c>
      <c r="H1925" s="33"/>
      <c r="I1925" s="33"/>
      <c r="J1925" s="33"/>
      <c r="K1925" s="33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</row>
    <row r="1926" spans="1:28" x14ac:dyDescent="0.15">
      <c r="A1926" s="46" t="s">
        <v>3903</v>
      </c>
      <c r="B1926" s="52" t="s">
        <v>7361</v>
      </c>
      <c r="C1926" s="53" t="s">
        <v>3904</v>
      </c>
      <c r="D1926" s="54" t="s">
        <v>9368</v>
      </c>
      <c r="E1926" s="50">
        <f t="shared" si="65"/>
        <v>26.328767119999998</v>
      </c>
      <c r="F1926" s="51">
        <f t="shared" si="65"/>
        <v>4.4792696699999999</v>
      </c>
      <c r="H1926" s="33"/>
      <c r="I1926" s="33"/>
      <c r="J1926" s="33"/>
      <c r="K1926" s="33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</row>
    <row r="1927" spans="1:28" x14ac:dyDescent="0.15">
      <c r="A1927" s="46" t="s">
        <v>3905</v>
      </c>
      <c r="B1927" s="52" t="s">
        <v>7361</v>
      </c>
      <c r="C1927" s="53" t="s">
        <v>3906</v>
      </c>
      <c r="D1927" s="54" t="s">
        <v>9369</v>
      </c>
      <c r="E1927" s="50">
        <f t="shared" si="65"/>
        <v>26.342465749999999</v>
      </c>
      <c r="F1927" s="51">
        <f t="shared" si="65"/>
        <v>4.4797290900000002</v>
      </c>
      <c r="H1927" s="33"/>
      <c r="I1927" s="33"/>
      <c r="J1927" s="33"/>
      <c r="K1927" s="33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</row>
    <row r="1928" spans="1:28" x14ac:dyDescent="0.15">
      <c r="A1928" s="46" t="s">
        <v>3907</v>
      </c>
      <c r="B1928" s="52" t="s">
        <v>7361</v>
      </c>
      <c r="C1928" s="53" t="s">
        <v>3908</v>
      </c>
      <c r="D1928" s="54" t="s">
        <v>9370</v>
      </c>
      <c r="E1928" s="50">
        <f t="shared" si="65"/>
        <v>26.356164379999999</v>
      </c>
      <c r="F1928" s="51">
        <f t="shared" si="65"/>
        <v>4.4801884999999997</v>
      </c>
      <c r="H1928" s="33"/>
      <c r="I1928" s="33"/>
      <c r="J1928" s="33"/>
      <c r="K1928" s="33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</row>
    <row r="1929" spans="1:28" x14ac:dyDescent="0.15">
      <c r="A1929" s="46" t="s">
        <v>3909</v>
      </c>
      <c r="B1929" s="52" t="s">
        <v>7361</v>
      </c>
      <c r="C1929" s="53" t="s">
        <v>3910</v>
      </c>
      <c r="D1929" s="54" t="s">
        <v>9371</v>
      </c>
      <c r="E1929" s="50">
        <f t="shared" si="65"/>
        <v>26.36986301</v>
      </c>
      <c r="F1929" s="51">
        <f t="shared" si="65"/>
        <v>4.4806478600000004</v>
      </c>
      <c r="H1929" s="33"/>
      <c r="I1929" s="33"/>
      <c r="J1929" s="33"/>
      <c r="K1929" s="33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</row>
    <row r="1930" spans="1:28" x14ac:dyDescent="0.15">
      <c r="A1930" s="46" t="s">
        <v>3911</v>
      </c>
      <c r="B1930" s="52" t="s">
        <v>7361</v>
      </c>
      <c r="C1930" s="53" t="s">
        <v>3912</v>
      </c>
      <c r="D1930" s="54" t="s">
        <v>9372</v>
      </c>
      <c r="E1930" s="50">
        <f t="shared" si="65"/>
        <v>26.38356164</v>
      </c>
      <c r="F1930" s="51">
        <f t="shared" si="65"/>
        <v>4.4811071599999996</v>
      </c>
      <c r="H1930" s="33"/>
      <c r="I1930" s="33"/>
      <c r="J1930" s="33"/>
      <c r="K1930" s="33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</row>
    <row r="1931" spans="1:28" x14ac:dyDescent="0.15">
      <c r="A1931" s="46" t="s">
        <v>3913</v>
      </c>
      <c r="B1931" s="52" t="s">
        <v>7361</v>
      </c>
      <c r="C1931" s="53" t="s">
        <v>3914</v>
      </c>
      <c r="D1931" s="54" t="s">
        <v>9373</v>
      </c>
      <c r="E1931" s="50">
        <f t="shared" si="65"/>
        <v>26.39726027</v>
      </c>
      <c r="F1931" s="51">
        <f t="shared" si="65"/>
        <v>4.4815663700000004</v>
      </c>
      <c r="H1931" s="33"/>
      <c r="I1931" s="33"/>
      <c r="J1931" s="33"/>
      <c r="K1931" s="33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</row>
    <row r="1932" spans="1:28" x14ac:dyDescent="0.15">
      <c r="A1932" s="46" t="s">
        <v>3915</v>
      </c>
      <c r="B1932" s="52" t="s">
        <v>7361</v>
      </c>
      <c r="C1932" s="53" t="s">
        <v>3916</v>
      </c>
      <c r="D1932" s="54" t="s">
        <v>9374</v>
      </c>
      <c r="E1932" s="50">
        <f t="shared" si="65"/>
        <v>26.410958900000001</v>
      </c>
      <c r="F1932" s="51">
        <f t="shared" si="65"/>
        <v>4.48202547</v>
      </c>
      <c r="H1932" s="33"/>
      <c r="I1932" s="33"/>
      <c r="J1932" s="33"/>
      <c r="K1932" s="33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</row>
    <row r="1933" spans="1:28" x14ac:dyDescent="0.15">
      <c r="A1933" s="46" t="s">
        <v>3917</v>
      </c>
      <c r="B1933" s="52" t="s">
        <v>7361</v>
      </c>
      <c r="C1933" s="53" t="s">
        <v>3918</v>
      </c>
      <c r="D1933" s="54" t="s">
        <v>9375</v>
      </c>
      <c r="E1933" s="50">
        <f t="shared" si="65"/>
        <v>26.424657530000001</v>
      </c>
      <c r="F1933" s="51">
        <f t="shared" si="65"/>
        <v>4.4824844199999996</v>
      </c>
      <c r="H1933" s="33"/>
      <c r="I1933" s="33"/>
      <c r="J1933" s="33"/>
      <c r="K1933" s="33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</row>
    <row r="1934" spans="1:28" x14ac:dyDescent="0.15">
      <c r="A1934" s="46" t="s">
        <v>3919</v>
      </c>
      <c r="B1934" s="52" t="s">
        <v>7361</v>
      </c>
      <c r="C1934" s="53" t="s">
        <v>3920</v>
      </c>
      <c r="D1934" s="54" t="s">
        <v>9376</v>
      </c>
      <c r="E1934" s="50">
        <f t="shared" si="65"/>
        <v>26.438356160000001</v>
      </c>
      <c r="F1934" s="51">
        <f t="shared" si="65"/>
        <v>4.4829432200000001</v>
      </c>
      <c r="H1934" s="33"/>
      <c r="I1934" s="33"/>
      <c r="J1934" s="33"/>
      <c r="K1934" s="33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</row>
    <row r="1935" spans="1:28" x14ac:dyDescent="0.15">
      <c r="A1935" s="46" t="s">
        <v>3921</v>
      </c>
      <c r="B1935" s="52" t="s">
        <v>7361</v>
      </c>
      <c r="C1935" s="53" t="s">
        <v>3922</v>
      </c>
      <c r="D1935" s="54" t="s">
        <v>9377</v>
      </c>
      <c r="E1935" s="50">
        <f t="shared" ref="E1935:F1965" si="66">VALUE(C1935)</f>
        <v>26.452054789999998</v>
      </c>
      <c r="F1935" s="51">
        <f t="shared" si="66"/>
        <v>4.4834018200000001</v>
      </c>
      <c r="H1935" s="33"/>
      <c r="I1935" s="33"/>
      <c r="J1935" s="33"/>
      <c r="K1935" s="33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</row>
    <row r="1936" spans="1:28" x14ac:dyDescent="0.15">
      <c r="A1936" s="46" t="s">
        <v>3923</v>
      </c>
      <c r="B1936" s="52" t="s">
        <v>7361</v>
      </c>
      <c r="C1936" s="53" t="s">
        <v>3924</v>
      </c>
      <c r="D1936" s="54" t="s">
        <v>9378</v>
      </c>
      <c r="E1936" s="50">
        <f t="shared" si="66"/>
        <v>26.465753419999999</v>
      </c>
      <c r="F1936" s="51">
        <f t="shared" si="66"/>
        <v>4.4838602200000004</v>
      </c>
      <c r="H1936" s="33"/>
      <c r="I1936" s="33"/>
      <c r="J1936" s="33"/>
      <c r="K1936" s="33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</row>
    <row r="1937" spans="1:28" x14ac:dyDescent="0.15">
      <c r="A1937" s="46" t="s">
        <v>3925</v>
      </c>
      <c r="B1937" s="52" t="s">
        <v>7361</v>
      </c>
      <c r="C1937" s="53" t="s">
        <v>3926</v>
      </c>
      <c r="D1937" s="54" t="s">
        <v>9379</v>
      </c>
      <c r="E1937" s="50">
        <f t="shared" si="66"/>
        <v>26.479452049999999</v>
      </c>
      <c r="F1937" s="51">
        <f t="shared" si="66"/>
        <v>4.4843183800000004</v>
      </c>
      <c r="H1937" s="33"/>
      <c r="I1937" s="33"/>
      <c r="J1937" s="33"/>
      <c r="K1937" s="33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</row>
    <row r="1938" spans="1:28" x14ac:dyDescent="0.15">
      <c r="A1938" s="46" t="s">
        <v>3927</v>
      </c>
      <c r="B1938" s="52" t="s">
        <v>7361</v>
      </c>
      <c r="C1938" s="53" t="s">
        <v>3928</v>
      </c>
      <c r="D1938" s="54" t="s">
        <v>9380</v>
      </c>
      <c r="E1938" s="50">
        <f t="shared" si="66"/>
        <v>26.493150679999999</v>
      </c>
      <c r="F1938" s="51">
        <f t="shared" si="66"/>
        <v>4.4847762800000002</v>
      </c>
      <c r="H1938" s="33"/>
      <c r="I1938" s="33"/>
      <c r="J1938" s="33"/>
      <c r="K1938" s="33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</row>
    <row r="1939" spans="1:28" x14ac:dyDescent="0.15">
      <c r="A1939" s="46" t="s">
        <v>3929</v>
      </c>
      <c r="B1939" s="52" t="s">
        <v>7361</v>
      </c>
      <c r="C1939" s="53" t="s">
        <v>3930</v>
      </c>
      <c r="D1939" s="54" t="s">
        <v>9381</v>
      </c>
      <c r="E1939" s="50">
        <f t="shared" si="66"/>
        <v>26.506849320000001</v>
      </c>
      <c r="F1939" s="51">
        <f t="shared" si="66"/>
        <v>4.4852339199999998</v>
      </c>
      <c r="H1939" s="33"/>
      <c r="I1939" s="33"/>
      <c r="J1939" s="33"/>
      <c r="K1939" s="33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</row>
    <row r="1940" spans="1:28" x14ac:dyDescent="0.15">
      <c r="A1940" s="46" t="s">
        <v>3931</v>
      </c>
      <c r="B1940" s="52" t="s">
        <v>7361</v>
      </c>
      <c r="C1940" s="53" t="s">
        <v>3932</v>
      </c>
      <c r="D1940" s="54" t="s">
        <v>9382</v>
      </c>
      <c r="E1940" s="50">
        <f t="shared" si="66"/>
        <v>26.520547950000001</v>
      </c>
      <c r="F1940" s="51">
        <f t="shared" si="66"/>
        <v>4.4856914400000001</v>
      </c>
      <c r="H1940" s="33"/>
      <c r="I1940" s="33"/>
      <c r="J1940" s="33"/>
      <c r="K1940" s="33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</row>
    <row r="1941" spans="1:28" x14ac:dyDescent="0.15">
      <c r="A1941" s="46" t="s">
        <v>3933</v>
      </c>
      <c r="B1941" s="52" t="s">
        <v>7361</v>
      </c>
      <c r="C1941" s="53" t="s">
        <v>3934</v>
      </c>
      <c r="D1941" s="54" t="s">
        <v>9383</v>
      </c>
      <c r="E1941" s="50">
        <f t="shared" si="66"/>
        <v>26.534246580000001</v>
      </c>
      <c r="F1941" s="51">
        <f t="shared" si="66"/>
        <v>4.4861488899999999</v>
      </c>
      <c r="H1941" s="33"/>
      <c r="I1941" s="33"/>
      <c r="J1941" s="33"/>
      <c r="K1941" s="33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</row>
    <row r="1942" spans="1:28" x14ac:dyDescent="0.15">
      <c r="A1942" s="46" t="s">
        <v>3935</v>
      </c>
      <c r="B1942" s="52" t="s">
        <v>7361</v>
      </c>
      <c r="C1942" s="53" t="s">
        <v>3936</v>
      </c>
      <c r="D1942" s="54" t="s">
        <v>9384</v>
      </c>
      <c r="E1942" s="50">
        <f t="shared" si="66"/>
        <v>26.547945210000002</v>
      </c>
      <c r="F1942" s="51">
        <f t="shared" si="66"/>
        <v>4.4866062600000003</v>
      </c>
      <c r="H1942" s="33"/>
      <c r="I1942" s="33"/>
      <c r="J1942" s="33"/>
      <c r="K1942" s="33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</row>
    <row r="1943" spans="1:28" x14ac:dyDescent="0.15">
      <c r="A1943" s="46" t="s">
        <v>3937</v>
      </c>
      <c r="B1943" s="52" t="s">
        <v>7361</v>
      </c>
      <c r="C1943" s="53" t="s">
        <v>3938</v>
      </c>
      <c r="D1943" s="54" t="s">
        <v>9385</v>
      </c>
      <c r="E1943" s="50">
        <f t="shared" si="66"/>
        <v>26.561643839999999</v>
      </c>
      <c r="F1943" s="51">
        <f t="shared" si="66"/>
        <v>4.4870635500000002</v>
      </c>
      <c r="H1943" s="33"/>
      <c r="I1943" s="33"/>
      <c r="J1943" s="33"/>
      <c r="K1943" s="33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</row>
    <row r="1944" spans="1:28" x14ac:dyDescent="0.15">
      <c r="A1944" s="46" t="s">
        <v>3939</v>
      </c>
      <c r="B1944" s="52" t="s">
        <v>7361</v>
      </c>
      <c r="C1944" s="53" t="s">
        <v>3940</v>
      </c>
      <c r="D1944" s="54" t="s">
        <v>9386</v>
      </c>
      <c r="E1944" s="50">
        <f t="shared" si="66"/>
        <v>26.575342469999999</v>
      </c>
      <c r="F1944" s="51">
        <f t="shared" si="66"/>
        <v>4.4875207699999997</v>
      </c>
      <c r="H1944" s="33"/>
      <c r="I1944" s="33"/>
      <c r="J1944" s="33"/>
      <c r="K1944" s="33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</row>
    <row r="1945" spans="1:28" x14ac:dyDescent="0.15">
      <c r="A1945" s="46" t="s">
        <v>3941</v>
      </c>
      <c r="B1945" s="52" t="s">
        <v>7361</v>
      </c>
      <c r="C1945" s="53" t="s">
        <v>3942</v>
      </c>
      <c r="D1945" s="54" t="s">
        <v>9387</v>
      </c>
      <c r="E1945" s="50">
        <f t="shared" si="66"/>
        <v>26.589041099999999</v>
      </c>
      <c r="F1945" s="51">
        <f t="shared" si="66"/>
        <v>4.4879779299999996</v>
      </c>
      <c r="H1945" s="33"/>
      <c r="I1945" s="33"/>
      <c r="J1945" s="33"/>
      <c r="K1945" s="33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</row>
    <row r="1946" spans="1:28" x14ac:dyDescent="0.15">
      <c r="A1946" s="46" t="s">
        <v>3943</v>
      </c>
      <c r="B1946" s="52" t="s">
        <v>7361</v>
      </c>
      <c r="C1946" s="53" t="s">
        <v>3944</v>
      </c>
      <c r="D1946" s="54" t="s">
        <v>9388</v>
      </c>
      <c r="E1946" s="50">
        <f t="shared" si="66"/>
        <v>26.60273973</v>
      </c>
      <c r="F1946" s="51">
        <f t="shared" si="66"/>
        <v>4.4884350199999998</v>
      </c>
      <c r="H1946" s="33"/>
      <c r="I1946" s="33"/>
      <c r="J1946" s="33"/>
      <c r="K1946" s="33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</row>
    <row r="1947" spans="1:28" x14ac:dyDescent="0.15">
      <c r="A1947" s="46" t="s">
        <v>3945</v>
      </c>
      <c r="B1947" s="52" t="s">
        <v>7361</v>
      </c>
      <c r="C1947" s="53" t="s">
        <v>3946</v>
      </c>
      <c r="D1947" s="54" t="s">
        <v>9389</v>
      </c>
      <c r="E1947" s="50">
        <f t="shared" si="66"/>
        <v>26.61643836</v>
      </c>
      <c r="F1947" s="51">
        <f t="shared" si="66"/>
        <v>4.4888920499999996</v>
      </c>
      <c r="H1947" s="33"/>
      <c r="I1947" s="33"/>
      <c r="J1947" s="33"/>
      <c r="K1947" s="33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</row>
    <row r="1948" spans="1:28" x14ac:dyDescent="0.15">
      <c r="A1948" s="46" t="s">
        <v>3947</v>
      </c>
      <c r="B1948" s="52" t="s">
        <v>7361</v>
      </c>
      <c r="C1948" s="53" t="s">
        <v>3948</v>
      </c>
      <c r="D1948" s="54" t="s">
        <v>9390</v>
      </c>
      <c r="E1948" s="50">
        <f t="shared" si="66"/>
        <v>26.63013699</v>
      </c>
      <c r="F1948" s="51">
        <f t="shared" si="66"/>
        <v>4.4893490199999997</v>
      </c>
      <c r="H1948" s="33"/>
      <c r="I1948" s="33"/>
      <c r="J1948" s="33"/>
      <c r="K1948" s="33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</row>
    <row r="1949" spans="1:28" x14ac:dyDescent="0.15">
      <c r="A1949" s="46" t="s">
        <v>3949</v>
      </c>
      <c r="B1949" s="52" t="s">
        <v>7361</v>
      </c>
      <c r="C1949" s="53" t="s">
        <v>3950</v>
      </c>
      <c r="D1949" s="54" t="s">
        <v>9391</v>
      </c>
      <c r="E1949" s="50">
        <f t="shared" si="66"/>
        <v>26.643835620000001</v>
      </c>
      <c r="F1949" s="51">
        <f t="shared" si="66"/>
        <v>4.4898059400000001</v>
      </c>
      <c r="H1949" s="33"/>
      <c r="I1949" s="33"/>
      <c r="J1949" s="33"/>
      <c r="K1949" s="33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</row>
    <row r="1950" spans="1:28" x14ac:dyDescent="0.15">
      <c r="A1950" s="46" t="s">
        <v>3951</v>
      </c>
      <c r="B1950" s="52" t="s">
        <v>7361</v>
      </c>
      <c r="C1950" s="53" t="s">
        <v>3952</v>
      </c>
      <c r="D1950" s="54" t="s">
        <v>9392</v>
      </c>
      <c r="E1950" s="50">
        <f t="shared" si="66"/>
        <v>26.657534250000001</v>
      </c>
      <c r="F1950" s="51">
        <f t="shared" si="66"/>
        <v>4.4902628099999999</v>
      </c>
      <c r="H1950" s="33"/>
      <c r="I1950" s="33"/>
      <c r="J1950" s="33"/>
      <c r="K1950" s="33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</row>
    <row r="1951" spans="1:28" x14ac:dyDescent="0.15">
      <c r="A1951" s="46" t="s">
        <v>3953</v>
      </c>
      <c r="B1951" s="52" t="s">
        <v>7361</v>
      </c>
      <c r="C1951" s="53" t="s">
        <v>3954</v>
      </c>
      <c r="D1951" s="54" t="s">
        <v>9393</v>
      </c>
      <c r="E1951" s="50">
        <f t="shared" si="66"/>
        <v>26.671232880000002</v>
      </c>
      <c r="F1951" s="51">
        <f t="shared" si="66"/>
        <v>4.4907196300000001</v>
      </c>
      <c r="H1951" s="33"/>
      <c r="I1951" s="33"/>
      <c r="J1951" s="33"/>
      <c r="K1951" s="33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</row>
    <row r="1952" spans="1:28" x14ac:dyDescent="0.15">
      <c r="A1952" s="46" t="s">
        <v>3955</v>
      </c>
      <c r="B1952" s="52" t="s">
        <v>7361</v>
      </c>
      <c r="C1952" s="53" t="s">
        <v>3956</v>
      </c>
      <c r="D1952" s="54" t="s">
        <v>9394</v>
      </c>
      <c r="E1952" s="50">
        <f t="shared" si="66"/>
        <v>26.684931509999998</v>
      </c>
      <c r="F1952" s="51">
        <f t="shared" si="66"/>
        <v>4.4911764099999996</v>
      </c>
      <c r="H1952" s="33"/>
      <c r="I1952" s="33"/>
      <c r="J1952" s="33"/>
      <c r="K1952" s="33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</row>
    <row r="1953" spans="1:28" x14ac:dyDescent="0.15">
      <c r="A1953" s="46" t="s">
        <v>3957</v>
      </c>
      <c r="B1953" s="52" t="s">
        <v>7361</v>
      </c>
      <c r="C1953" s="53" t="s">
        <v>3958</v>
      </c>
      <c r="D1953" s="54" t="s">
        <v>9395</v>
      </c>
      <c r="E1953" s="50">
        <f t="shared" si="66"/>
        <v>26.698630139999999</v>
      </c>
      <c r="F1953" s="51">
        <f t="shared" si="66"/>
        <v>4.4916331500000002</v>
      </c>
      <c r="H1953" s="33"/>
      <c r="I1953" s="33"/>
      <c r="J1953" s="33"/>
      <c r="K1953" s="33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</row>
    <row r="1954" spans="1:28" x14ac:dyDescent="0.15">
      <c r="A1954" s="46" t="s">
        <v>3959</v>
      </c>
      <c r="B1954" s="52" t="s">
        <v>7361</v>
      </c>
      <c r="C1954" s="53" t="s">
        <v>3960</v>
      </c>
      <c r="D1954" s="54" t="s">
        <v>9396</v>
      </c>
      <c r="E1954" s="50">
        <f t="shared" si="66"/>
        <v>26.712328769999999</v>
      </c>
      <c r="F1954" s="51">
        <f t="shared" si="66"/>
        <v>4.4920898600000001</v>
      </c>
      <c r="H1954" s="33"/>
      <c r="I1954" s="33"/>
      <c r="J1954" s="33"/>
      <c r="K1954" s="33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</row>
    <row r="1955" spans="1:28" x14ac:dyDescent="0.15">
      <c r="A1955" s="46" t="s">
        <v>3961</v>
      </c>
      <c r="B1955" s="52" t="s">
        <v>7361</v>
      </c>
      <c r="C1955" s="53" t="s">
        <v>3962</v>
      </c>
      <c r="D1955" s="54" t="s">
        <v>9397</v>
      </c>
      <c r="E1955" s="50">
        <f t="shared" si="66"/>
        <v>26.7260274</v>
      </c>
      <c r="F1955" s="51">
        <f t="shared" si="66"/>
        <v>4.4925465300000003</v>
      </c>
      <c r="H1955" s="33"/>
      <c r="I1955" s="33"/>
      <c r="J1955" s="33"/>
      <c r="K1955" s="33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</row>
    <row r="1956" spans="1:28" x14ac:dyDescent="0.15">
      <c r="A1956" s="46" t="s">
        <v>3963</v>
      </c>
      <c r="B1956" s="52" t="s">
        <v>7361</v>
      </c>
      <c r="C1956" s="53" t="s">
        <v>3964</v>
      </c>
      <c r="D1956" s="54" t="s">
        <v>9398</v>
      </c>
      <c r="E1956" s="50">
        <f t="shared" si="66"/>
        <v>26.73972603</v>
      </c>
      <c r="F1956" s="51">
        <f t="shared" si="66"/>
        <v>4.4930031799999997</v>
      </c>
      <c r="H1956" s="33"/>
      <c r="I1956" s="33"/>
      <c r="J1956" s="33"/>
      <c r="K1956" s="33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</row>
    <row r="1957" spans="1:28" x14ac:dyDescent="0.15">
      <c r="A1957" s="46" t="s">
        <v>3965</v>
      </c>
      <c r="B1957" s="52" t="s">
        <v>7361</v>
      </c>
      <c r="C1957" s="53" t="s">
        <v>3966</v>
      </c>
      <c r="D1957" s="54" t="s">
        <v>9399</v>
      </c>
      <c r="E1957" s="50">
        <f t="shared" si="66"/>
        <v>26.75342466</v>
      </c>
      <c r="F1957" s="51">
        <f t="shared" si="66"/>
        <v>4.4934598000000001</v>
      </c>
      <c r="H1957" s="33"/>
      <c r="I1957" s="33"/>
      <c r="J1957" s="33"/>
      <c r="K1957" s="33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</row>
    <row r="1958" spans="1:28" x14ac:dyDescent="0.15">
      <c r="A1958" s="46" t="s">
        <v>3967</v>
      </c>
      <c r="B1958" s="52" t="s">
        <v>7361</v>
      </c>
      <c r="C1958" s="53" t="s">
        <v>3968</v>
      </c>
      <c r="D1958" s="54" t="s">
        <v>9400</v>
      </c>
      <c r="E1958" s="50">
        <f t="shared" si="66"/>
        <v>26.767123290000001</v>
      </c>
      <c r="F1958" s="51">
        <f t="shared" si="66"/>
        <v>4.4939163999999998</v>
      </c>
      <c r="H1958" s="33"/>
      <c r="I1958" s="33"/>
      <c r="J1958" s="33"/>
      <c r="K1958" s="33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</row>
    <row r="1959" spans="1:28" x14ac:dyDescent="0.15">
      <c r="A1959" s="46" t="s">
        <v>3969</v>
      </c>
      <c r="B1959" s="52" t="s">
        <v>7361</v>
      </c>
      <c r="C1959" s="53" t="s">
        <v>3970</v>
      </c>
      <c r="D1959" s="54" t="s">
        <v>9401</v>
      </c>
      <c r="E1959" s="50">
        <f t="shared" si="66"/>
        <v>26.780821920000001</v>
      </c>
      <c r="F1959" s="51">
        <f t="shared" si="66"/>
        <v>4.4943729799999996</v>
      </c>
      <c r="H1959" s="33"/>
      <c r="I1959" s="33"/>
      <c r="J1959" s="33"/>
      <c r="K1959" s="33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</row>
    <row r="1960" spans="1:28" x14ac:dyDescent="0.15">
      <c r="A1960" s="46" t="s">
        <v>3971</v>
      </c>
      <c r="B1960" s="52" t="s">
        <v>7361</v>
      </c>
      <c r="C1960" s="53" t="s">
        <v>3972</v>
      </c>
      <c r="D1960" s="54" t="s">
        <v>9402</v>
      </c>
      <c r="E1960" s="50">
        <f t="shared" si="66"/>
        <v>26.794520550000001</v>
      </c>
      <c r="F1960" s="51">
        <f t="shared" si="66"/>
        <v>4.4948295500000004</v>
      </c>
      <c r="H1960" s="33"/>
      <c r="I1960" s="33"/>
      <c r="J1960" s="33"/>
      <c r="K1960" s="33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</row>
    <row r="1961" spans="1:28" x14ac:dyDescent="0.15">
      <c r="A1961" s="46" t="s">
        <v>3973</v>
      </c>
      <c r="B1961" s="52" t="s">
        <v>7361</v>
      </c>
      <c r="C1961" s="53" t="s">
        <v>3974</v>
      </c>
      <c r="D1961" s="54" t="s">
        <v>9403</v>
      </c>
      <c r="E1961" s="50">
        <f t="shared" si="66"/>
        <v>26.808219179999998</v>
      </c>
      <c r="F1961" s="51">
        <f t="shared" si="66"/>
        <v>4.4952861100000003</v>
      </c>
      <c r="H1961" s="33"/>
      <c r="I1961" s="33"/>
      <c r="J1961" s="33"/>
      <c r="K1961" s="33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</row>
    <row r="1962" spans="1:28" x14ac:dyDescent="0.15">
      <c r="A1962" s="46" t="s">
        <v>3975</v>
      </c>
      <c r="B1962" s="52" t="s">
        <v>7361</v>
      </c>
      <c r="C1962" s="53" t="s">
        <v>3976</v>
      </c>
      <c r="D1962" s="54" t="s">
        <v>9404</v>
      </c>
      <c r="E1962" s="50">
        <f t="shared" si="66"/>
        <v>26.821917809999999</v>
      </c>
      <c r="F1962" s="51">
        <f t="shared" si="66"/>
        <v>4.4957426600000003</v>
      </c>
      <c r="H1962" s="33"/>
      <c r="I1962" s="33"/>
      <c r="J1962" s="33"/>
      <c r="K1962" s="33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</row>
    <row r="1963" spans="1:28" x14ac:dyDescent="0.15">
      <c r="A1963" s="46" t="s">
        <v>3977</v>
      </c>
      <c r="B1963" s="52" t="s">
        <v>7361</v>
      </c>
      <c r="C1963" s="53" t="s">
        <v>3978</v>
      </c>
      <c r="D1963" s="54" t="s">
        <v>9405</v>
      </c>
      <c r="E1963" s="50">
        <f t="shared" si="66"/>
        <v>26.835616439999999</v>
      </c>
      <c r="F1963" s="51">
        <f t="shared" si="66"/>
        <v>4.4961992100000003</v>
      </c>
      <c r="H1963" s="33"/>
      <c r="I1963" s="33"/>
      <c r="J1963" s="33"/>
      <c r="K1963" s="33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</row>
    <row r="1964" spans="1:28" x14ac:dyDescent="0.15">
      <c r="A1964" s="46" t="s">
        <v>3979</v>
      </c>
      <c r="B1964" s="52" t="s">
        <v>7361</v>
      </c>
      <c r="C1964" s="53" t="s">
        <v>3980</v>
      </c>
      <c r="D1964" s="54" t="s">
        <v>9406</v>
      </c>
      <c r="E1964" s="50">
        <f t="shared" si="66"/>
        <v>26.849315069999999</v>
      </c>
      <c r="F1964" s="51">
        <f t="shared" si="66"/>
        <v>4.4966557600000003</v>
      </c>
      <c r="H1964" s="33"/>
      <c r="I1964" s="33"/>
      <c r="J1964" s="33"/>
      <c r="K1964" s="33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</row>
    <row r="1965" spans="1:28" x14ac:dyDescent="0.15">
      <c r="A1965" s="46" t="s">
        <v>3981</v>
      </c>
      <c r="B1965" s="52" t="s">
        <v>7361</v>
      </c>
      <c r="C1965" s="53" t="s">
        <v>3982</v>
      </c>
      <c r="D1965" s="54" t="s">
        <v>9407</v>
      </c>
      <c r="E1965" s="50">
        <f t="shared" si="66"/>
        <v>26.8630137</v>
      </c>
      <c r="F1965" s="51">
        <f t="shared" si="66"/>
        <v>4.4971123200000003</v>
      </c>
      <c r="H1965" s="33"/>
      <c r="I1965" s="33"/>
      <c r="J1965" s="33"/>
      <c r="K1965" s="33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</row>
    <row r="1966" spans="1:28" x14ac:dyDescent="0.15">
      <c r="A1966" s="46" t="s">
        <v>3983</v>
      </c>
      <c r="B1966" s="52" t="s">
        <v>7361</v>
      </c>
      <c r="C1966" s="53" t="s">
        <v>3984</v>
      </c>
      <c r="D1966" s="54" t="s">
        <v>9408</v>
      </c>
      <c r="E1966" s="50">
        <f t="shared" ref="E1966:F1995" si="67">VALUE(C1966)</f>
        <v>26.87671233</v>
      </c>
      <c r="F1966" s="51">
        <f t="shared" si="67"/>
        <v>4.4975688800000002</v>
      </c>
      <c r="H1966" s="33"/>
      <c r="I1966" s="33"/>
      <c r="J1966" s="33"/>
      <c r="K1966" s="33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</row>
    <row r="1967" spans="1:28" x14ac:dyDescent="0.15">
      <c r="A1967" s="46" t="s">
        <v>3985</v>
      </c>
      <c r="B1967" s="52" t="s">
        <v>7361</v>
      </c>
      <c r="C1967" s="53" t="s">
        <v>3986</v>
      </c>
      <c r="D1967" s="54" t="s">
        <v>9409</v>
      </c>
      <c r="E1967" s="50">
        <f t="shared" si="67"/>
        <v>26.890410960000001</v>
      </c>
      <c r="F1967" s="51">
        <f t="shared" si="67"/>
        <v>4.4980254500000001</v>
      </c>
      <c r="H1967" s="33"/>
      <c r="I1967" s="33"/>
      <c r="J1967" s="33"/>
      <c r="K1967" s="33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</row>
    <row r="1968" spans="1:28" x14ac:dyDescent="0.15">
      <c r="A1968" s="46" t="s">
        <v>3987</v>
      </c>
      <c r="B1968" s="52" t="s">
        <v>7361</v>
      </c>
      <c r="C1968" s="53" t="s">
        <v>3988</v>
      </c>
      <c r="D1968" s="54" t="s">
        <v>9410</v>
      </c>
      <c r="E1968" s="50">
        <f t="shared" si="67"/>
        <v>26.904109590000001</v>
      </c>
      <c r="F1968" s="51">
        <f t="shared" si="67"/>
        <v>4.4984820399999998</v>
      </c>
      <c r="H1968" s="33"/>
      <c r="I1968" s="33"/>
      <c r="J1968" s="33"/>
      <c r="K1968" s="33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</row>
    <row r="1969" spans="1:28" x14ac:dyDescent="0.15">
      <c r="A1969" s="46" t="s">
        <v>3989</v>
      </c>
      <c r="B1969" s="52" t="s">
        <v>7361</v>
      </c>
      <c r="C1969" s="53" t="s">
        <v>3990</v>
      </c>
      <c r="D1969" s="54" t="s">
        <v>9411</v>
      </c>
      <c r="E1969" s="50">
        <f t="shared" si="67"/>
        <v>26.917808220000001</v>
      </c>
      <c r="F1969" s="51">
        <f t="shared" si="67"/>
        <v>4.4989386500000004</v>
      </c>
      <c r="H1969" s="33"/>
      <c r="I1969" s="33"/>
      <c r="J1969" s="33"/>
      <c r="K1969" s="33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</row>
    <row r="1970" spans="1:28" x14ac:dyDescent="0.15">
      <c r="A1970" s="46" t="s">
        <v>3991</v>
      </c>
      <c r="B1970" s="52" t="s">
        <v>7361</v>
      </c>
      <c r="C1970" s="53" t="s">
        <v>3992</v>
      </c>
      <c r="D1970" s="54" t="s">
        <v>9412</v>
      </c>
      <c r="E1970" s="50">
        <f t="shared" si="67"/>
        <v>26.931506850000002</v>
      </c>
      <c r="F1970" s="51">
        <f t="shared" si="67"/>
        <v>4.4993952799999999</v>
      </c>
      <c r="H1970" s="33"/>
      <c r="I1970" s="33"/>
      <c r="J1970" s="33"/>
      <c r="K1970" s="33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</row>
    <row r="1971" spans="1:28" x14ac:dyDescent="0.15">
      <c r="A1971" s="46" t="s">
        <v>3993</v>
      </c>
      <c r="B1971" s="52" t="s">
        <v>7361</v>
      </c>
      <c r="C1971" s="53" t="s">
        <v>3994</v>
      </c>
      <c r="D1971" s="54" t="s">
        <v>9413</v>
      </c>
      <c r="E1971" s="50">
        <f t="shared" si="67"/>
        <v>26.945205479999998</v>
      </c>
      <c r="F1971" s="51">
        <f t="shared" si="67"/>
        <v>4.4998519300000002</v>
      </c>
      <c r="H1971" s="33"/>
      <c r="I1971" s="33"/>
      <c r="J1971" s="33"/>
      <c r="K1971" s="33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</row>
    <row r="1972" spans="1:28" x14ac:dyDescent="0.15">
      <c r="A1972" s="46" t="s">
        <v>3995</v>
      </c>
      <c r="B1972" s="52" t="s">
        <v>7361</v>
      </c>
      <c r="C1972" s="53" t="s">
        <v>3996</v>
      </c>
      <c r="D1972" s="54" t="s">
        <v>9414</v>
      </c>
      <c r="E1972" s="50">
        <f t="shared" si="67"/>
        <v>26.958904109999999</v>
      </c>
      <c r="F1972" s="51">
        <f t="shared" si="67"/>
        <v>4.5003086100000003</v>
      </c>
      <c r="H1972" s="33"/>
      <c r="I1972" s="33"/>
      <c r="J1972" s="33"/>
      <c r="K1972" s="33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</row>
    <row r="1973" spans="1:28" x14ac:dyDescent="0.15">
      <c r="A1973" s="46" t="s">
        <v>3997</v>
      </c>
      <c r="B1973" s="52" t="s">
        <v>7361</v>
      </c>
      <c r="C1973" s="53" t="s">
        <v>3998</v>
      </c>
      <c r="D1973" s="54" t="s">
        <v>9415</v>
      </c>
      <c r="E1973" s="50">
        <f t="shared" si="67"/>
        <v>26.972602739999999</v>
      </c>
      <c r="F1973" s="51">
        <f t="shared" si="67"/>
        <v>4.5007653300000001</v>
      </c>
      <c r="H1973" s="33"/>
      <c r="I1973" s="33"/>
      <c r="J1973" s="33"/>
      <c r="K1973" s="33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</row>
    <row r="1974" spans="1:28" x14ac:dyDescent="0.15">
      <c r="A1974" s="46" t="s">
        <v>3999</v>
      </c>
      <c r="B1974" s="52" t="s">
        <v>7361</v>
      </c>
      <c r="C1974" s="53" t="s">
        <v>4000</v>
      </c>
      <c r="D1974" s="54" t="s">
        <v>9416</v>
      </c>
      <c r="E1974" s="50">
        <f t="shared" si="67"/>
        <v>26.98630137</v>
      </c>
      <c r="F1974" s="51">
        <f t="shared" si="67"/>
        <v>4.5012220899999997</v>
      </c>
      <c r="H1974" s="33"/>
      <c r="I1974" s="33"/>
      <c r="J1974" s="33"/>
      <c r="K1974" s="33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</row>
    <row r="1975" spans="1:28" x14ac:dyDescent="0.15">
      <c r="A1975" s="46" t="s">
        <v>4001</v>
      </c>
      <c r="B1975" s="52" t="s">
        <v>7361</v>
      </c>
      <c r="C1975" s="53" t="s">
        <v>4002</v>
      </c>
      <c r="D1975" s="54" t="s">
        <v>9417</v>
      </c>
      <c r="E1975" s="50">
        <f t="shared" si="67"/>
        <v>27</v>
      </c>
      <c r="F1975" s="51">
        <f t="shared" si="67"/>
        <v>4.50167888</v>
      </c>
      <c r="H1975" s="33"/>
      <c r="I1975" s="33"/>
      <c r="J1975" s="33"/>
      <c r="K1975" s="33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</row>
    <row r="1976" spans="1:28" x14ac:dyDescent="0.15">
      <c r="A1976" s="46" t="s">
        <v>4003</v>
      </c>
      <c r="B1976" s="52" t="s">
        <v>7361</v>
      </c>
      <c r="C1976" s="53" t="s">
        <v>4004</v>
      </c>
      <c r="D1976" s="54" t="s">
        <v>9418</v>
      </c>
      <c r="E1976" s="50">
        <f t="shared" si="67"/>
        <v>27.01369863</v>
      </c>
      <c r="F1976" s="51">
        <f t="shared" si="67"/>
        <v>4.5021353</v>
      </c>
      <c r="H1976" s="33"/>
      <c r="I1976" s="33"/>
      <c r="J1976" s="33"/>
      <c r="K1976" s="33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</row>
    <row r="1977" spans="1:28" x14ac:dyDescent="0.15">
      <c r="A1977" s="46" t="s">
        <v>4005</v>
      </c>
      <c r="B1977" s="52" t="s">
        <v>7361</v>
      </c>
      <c r="C1977" s="53" t="s">
        <v>4006</v>
      </c>
      <c r="D1977" s="54" t="s">
        <v>9419</v>
      </c>
      <c r="E1977" s="50">
        <f t="shared" si="67"/>
        <v>27.027397260000001</v>
      </c>
      <c r="F1977" s="51">
        <f t="shared" si="67"/>
        <v>4.5025909500000001</v>
      </c>
      <c r="H1977" s="33"/>
      <c r="I1977" s="33"/>
      <c r="J1977" s="33"/>
      <c r="K1977" s="33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</row>
    <row r="1978" spans="1:28" x14ac:dyDescent="0.15">
      <c r="A1978" s="46" t="s">
        <v>4007</v>
      </c>
      <c r="B1978" s="52" t="s">
        <v>7361</v>
      </c>
      <c r="C1978" s="53" t="s">
        <v>4008</v>
      </c>
      <c r="D1978" s="54" t="s">
        <v>9420</v>
      </c>
      <c r="E1978" s="50">
        <f t="shared" si="67"/>
        <v>27.041095890000001</v>
      </c>
      <c r="F1978" s="51">
        <f t="shared" si="67"/>
        <v>4.5030458600000003</v>
      </c>
      <c r="H1978" s="33"/>
      <c r="I1978" s="33"/>
      <c r="J1978" s="33"/>
      <c r="K1978" s="33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</row>
    <row r="1979" spans="1:28" x14ac:dyDescent="0.15">
      <c r="A1979" s="46" t="s">
        <v>4009</v>
      </c>
      <c r="B1979" s="52" t="s">
        <v>7361</v>
      </c>
      <c r="C1979" s="53" t="s">
        <v>4010</v>
      </c>
      <c r="D1979" s="54" t="s">
        <v>9421</v>
      </c>
      <c r="E1979" s="50">
        <f t="shared" si="67"/>
        <v>27.054794520000002</v>
      </c>
      <c r="F1979" s="51">
        <f t="shared" si="67"/>
        <v>4.5035000700000003</v>
      </c>
      <c r="H1979" s="33"/>
      <c r="I1979" s="33"/>
      <c r="J1979" s="33"/>
      <c r="K1979" s="33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</row>
    <row r="1980" spans="1:28" x14ac:dyDescent="0.15">
      <c r="A1980" s="46" t="s">
        <v>4011</v>
      </c>
      <c r="B1980" s="52" t="s">
        <v>7361</v>
      </c>
      <c r="C1980" s="53" t="s">
        <v>4012</v>
      </c>
      <c r="D1980" s="54" t="s">
        <v>9422</v>
      </c>
      <c r="E1980" s="50">
        <f t="shared" si="67"/>
        <v>27.068493149999998</v>
      </c>
      <c r="F1980" s="51">
        <f t="shared" si="67"/>
        <v>4.5039536</v>
      </c>
      <c r="H1980" s="33"/>
      <c r="I1980" s="33"/>
      <c r="J1980" s="33"/>
      <c r="K1980" s="33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</row>
    <row r="1981" spans="1:28" x14ac:dyDescent="0.15">
      <c r="A1981" s="46" t="s">
        <v>4013</v>
      </c>
      <c r="B1981" s="52" t="s">
        <v>7361</v>
      </c>
      <c r="C1981" s="53" t="s">
        <v>4014</v>
      </c>
      <c r="D1981" s="54" t="s">
        <v>9423</v>
      </c>
      <c r="E1981" s="50">
        <f t="shared" si="67"/>
        <v>27.082191779999999</v>
      </c>
      <c r="F1981" s="51">
        <f t="shared" si="67"/>
        <v>4.5044065</v>
      </c>
      <c r="H1981" s="33"/>
      <c r="I1981" s="33"/>
      <c r="J1981" s="33"/>
      <c r="K1981" s="33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</row>
    <row r="1982" spans="1:28" x14ac:dyDescent="0.15">
      <c r="A1982" s="46" t="s">
        <v>4015</v>
      </c>
      <c r="B1982" s="52" t="s">
        <v>7361</v>
      </c>
      <c r="C1982" s="53" t="s">
        <v>4016</v>
      </c>
      <c r="D1982" s="54" t="s">
        <v>9424</v>
      </c>
      <c r="E1982" s="50">
        <f t="shared" si="67"/>
        <v>27.095890409999999</v>
      </c>
      <c r="F1982" s="51">
        <f t="shared" si="67"/>
        <v>4.5048588000000001</v>
      </c>
      <c r="H1982" s="33"/>
      <c r="I1982" s="33"/>
      <c r="J1982" s="33"/>
      <c r="K1982" s="33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</row>
    <row r="1983" spans="1:28" x14ac:dyDescent="0.15">
      <c r="A1983" s="46" t="s">
        <v>4017</v>
      </c>
      <c r="B1983" s="52" t="s">
        <v>7361</v>
      </c>
      <c r="C1983" s="53" t="s">
        <v>4018</v>
      </c>
      <c r="D1983" s="54" t="s">
        <v>9425</v>
      </c>
      <c r="E1983" s="50">
        <f t="shared" si="67"/>
        <v>27.109589039999999</v>
      </c>
      <c r="F1983" s="51">
        <f t="shared" si="67"/>
        <v>4.5053105200000001</v>
      </c>
      <c r="H1983" s="33"/>
      <c r="I1983" s="33"/>
      <c r="J1983" s="33"/>
      <c r="K1983" s="33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</row>
    <row r="1984" spans="1:28" x14ac:dyDescent="0.15">
      <c r="A1984" s="46" t="s">
        <v>4019</v>
      </c>
      <c r="B1984" s="52" t="s">
        <v>7361</v>
      </c>
      <c r="C1984" s="53" t="s">
        <v>4020</v>
      </c>
      <c r="D1984" s="54" t="s">
        <v>9426</v>
      </c>
      <c r="E1984" s="50">
        <f t="shared" si="67"/>
        <v>27.12328767</v>
      </c>
      <c r="F1984" s="51">
        <f t="shared" si="67"/>
        <v>4.5057616999999999</v>
      </c>
      <c r="H1984" s="33"/>
      <c r="I1984" s="33"/>
      <c r="J1984" s="33"/>
      <c r="K1984" s="33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</row>
    <row r="1985" spans="1:28" x14ac:dyDescent="0.15">
      <c r="A1985" s="46" t="s">
        <v>4021</v>
      </c>
      <c r="B1985" s="52" t="s">
        <v>7361</v>
      </c>
      <c r="C1985" s="53" t="s">
        <v>4022</v>
      </c>
      <c r="D1985" s="54" t="s">
        <v>9427</v>
      </c>
      <c r="E1985" s="50">
        <f t="shared" si="67"/>
        <v>27.1369863</v>
      </c>
      <c r="F1985" s="51">
        <f t="shared" si="67"/>
        <v>4.5062123700000001</v>
      </c>
      <c r="H1985" s="33"/>
      <c r="I1985" s="33"/>
      <c r="J1985" s="33"/>
      <c r="K1985" s="33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</row>
    <row r="1986" spans="1:28" x14ac:dyDescent="0.15">
      <c r="A1986" s="46" t="s">
        <v>4023</v>
      </c>
      <c r="B1986" s="52" t="s">
        <v>7361</v>
      </c>
      <c r="C1986" s="53" t="s">
        <v>4024</v>
      </c>
      <c r="D1986" s="54" t="s">
        <v>9428</v>
      </c>
      <c r="E1986" s="50">
        <f t="shared" si="67"/>
        <v>27.150684930000001</v>
      </c>
      <c r="F1986" s="51">
        <f t="shared" si="67"/>
        <v>4.5066625800000004</v>
      </c>
      <c r="H1986" s="33"/>
      <c r="I1986" s="33"/>
      <c r="J1986" s="33"/>
      <c r="K1986" s="33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</row>
    <row r="1987" spans="1:28" x14ac:dyDescent="0.15">
      <c r="A1987" s="46" t="s">
        <v>4025</v>
      </c>
      <c r="B1987" s="52" t="s">
        <v>7361</v>
      </c>
      <c r="C1987" s="53" t="s">
        <v>4026</v>
      </c>
      <c r="D1987" s="54" t="s">
        <v>9429</v>
      </c>
      <c r="E1987" s="50">
        <f t="shared" si="67"/>
        <v>27.164383560000001</v>
      </c>
      <c r="F1987" s="51">
        <f t="shared" si="67"/>
        <v>4.5071123399999999</v>
      </c>
      <c r="H1987" s="33"/>
      <c r="I1987" s="33"/>
      <c r="J1987" s="33"/>
      <c r="K1987" s="33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</row>
    <row r="1988" spans="1:28" x14ac:dyDescent="0.15">
      <c r="A1988" s="46" t="s">
        <v>4027</v>
      </c>
      <c r="B1988" s="52" t="s">
        <v>7361</v>
      </c>
      <c r="C1988" s="53" t="s">
        <v>4028</v>
      </c>
      <c r="D1988" s="54" t="s">
        <v>9430</v>
      </c>
      <c r="E1988" s="50">
        <f t="shared" si="67"/>
        <v>27.178082190000001</v>
      </c>
      <c r="F1988" s="51">
        <f t="shared" si="67"/>
        <v>4.5075616900000002</v>
      </c>
      <c r="H1988" s="33"/>
      <c r="I1988" s="33"/>
      <c r="J1988" s="33"/>
      <c r="K1988" s="33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</row>
    <row r="1989" spans="1:28" x14ac:dyDescent="0.15">
      <c r="A1989" s="46" t="s">
        <v>4029</v>
      </c>
      <c r="B1989" s="52" t="s">
        <v>7361</v>
      </c>
      <c r="C1989" s="53" t="s">
        <v>4030</v>
      </c>
      <c r="D1989" s="54" t="s">
        <v>9431</v>
      </c>
      <c r="E1989" s="50">
        <f t="shared" si="67"/>
        <v>27.191780820000002</v>
      </c>
      <c r="F1989" s="51">
        <f t="shared" si="67"/>
        <v>4.5080106799999999</v>
      </c>
      <c r="H1989" s="33"/>
      <c r="I1989" s="33"/>
      <c r="J1989" s="33"/>
      <c r="K1989" s="33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</row>
    <row r="1990" spans="1:28" x14ac:dyDescent="0.15">
      <c r="A1990" s="46" t="s">
        <v>4031</v>
      </c>
      <c r="B1990" s="52" t="s">
        <v>7361</v>
      </c>
      <c r="C1990" s="53" t="s">
        <v>4032</v>
      </c>
      <c r="D1990" s="54" t="s">
        <v>9432</v>
      </c>
      <c r="E1990" s="50">
        <f t="shared" si="67"/>
        <v>27.205479449999999</v>
      </c>
      <c r="F1990" s="51">
        <f t="shared" si="67"/>
        <v>4.50845932</v>
      </c>
      <c r="H1990" s="33"/>
      <c r="I1990" s="33"/>
      <c r="J1990" s="33"/>
      <c r="K1990" s="33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</row>
    <row r="1991" spans="1:28" x14ac:dyDescent="0.15">
      <c r="A1991" s="46" t="s">
        <v>4033</v>
      </c>
      <c r="B1991" s="52" t="s">
        <v>7361</v>
      </c>
      <c r="C1991" s="53" t="s">
        <v>4034</v>
      </c>
      <c r="D1991" s="54" t="s">
        <v>9433</v>
      </c>
      <c r="E1991" s="50">
        <f t="shared" si="67"/>
        <v>27.219178079999999</v>
      </c>
      <c r="F1991" s="51">
        <f t="shared" si="67"/>
        <v>4.5089076500000003</v>
      </c>
      <c r="H1991" s="33"/>
      <c r="I1991" s="33"/>
      <c r="J1991" s="33"/>
      <c r="K1991" s="33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</row>
    <row r="1992" spans="1:28" x14ac:dyDescent="0.15">
      <c r="A1992" s="46" t="s">
        <v>4035</v>
      </c>
      <c r="B1992" s="52" t="s">
        <v>7361</v>
      </c>
      <c r="C1992" s="53" t="s">
        <v>4036</v>
      </c>
      <c r="D1992" s="54" t="s">
        <v>9434</v>
      </c>
      <c r="E1992" s="50">
        <f t="shared" si="67"/>
        <v>27.232876709999999</v>
      </c>
      <c r="F1992" s="51">
        <f t="shared" si="67"/>
        <v>4.5093557100000004</v>
      </c>
      <c r="H1992" s="33"/>
      <c r="I1992" s="33"/>
      <c r="J1992" s="33"/>
      <c r="K1992" s="33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</row>
    <row r="1993" spans="1:28" x14ac:dyDescent="0.15">
      <c r="A1993" s="46" t="s">
        <v>4037</v>
      </c>
      <c r="B1993" s="52" t="s">
        <v>7361</v>
      </c>
      <c r="C1993" s="53" t="s">
        <v>4038</v>
      </c>
      <c r="D1993" s="54" t="s">
        <v>9435</v>
      </c>
      <c r="E1993" s="50">
        <f t="shared" si="67"/>
        <v>27.24657534</v>
      </c>
      <c r="F1993" s="51">
        <f t="shared" si="67"/>
        <v>4.5098035200000002</v>
      </c>
      <c r="H1993" s="33"/>
      <c r="I1993" s="33"/>
      <c r="J1993" s="33"/>
      <c r="K1993" s="33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</row>
    <row r="1994" spans="1:28" x14ac:dyDescent="0.15">
      <c r="A1994" s="46" t="s">
        <v>4039</v>
      </c>
      <c r="B1994" s="52" t="s">
        <v>7361</v>
      </c>
      <c r="C1994" s="53" t="s">
        <v>4040</v>
      </c>
      <c r="D1994" s="54" t="s">
        <v>9436</v>
      </c>
      <c r="E1994" s="50">
        <f t="shared" si="67"/>
        <v>27.26027397</v>
      </c>
      <c r="F1994" s="51">
        <f t="shared" si="67"/>
        <v>4.5102511300000003</v>
      </c>
      <c r="H1994" s="33"/>
      <c r="I1994" s="33"/>
      <c r="J1994" s="33"/>
      <c r="K1994" s="33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</row>
    <row r="1995" spans="1:28" x14ac:dyDescent="0.15">
      <c r="A1995" s="46" t="s">
        <v>4041</v>
      </c>
      <c r="B1995" s="52" t="s">
        <v>7361</v>
      </c>
      <c r="C1995" s="53" t="s">
        <v>4042</v>
      </c>
      <c r="D1995" s="54" t="s">
        <v>9437</v>
      </c>
      <c r="E1995" s="50">
        <f t="shared" si="67"/>
        <v>27.2739726</v>
      </c>
      <c r="F1995" s="51">
        <f t="shared" si="67"/>
        <v>4.5106985599999998</v>
      </c>
      <c r="H1995" s="33"/>
      <c r="I1995" s="33"/>
      <c r="J1995" s="33"/>
      <c r="K1995" s="33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</row>
    <row r="1996" spans="1:28" x14ac:dyDescent="0.15">
      <c r="A1996" s="46" t="s">
        <v>4043</v>
      </c>
      <c r="B1996" s="52" t="s">
        <v>7361</v>
      </c>
      <c r="C1996" s="53" t="s">
        <v>4044</v>
      </c>
      <c r="D1996" s="54" t="s">
        <v>9438</v>
      </c>
      <c r="E1996" s="50">
        <f t="shared" ref="E1996:F2026" si="68">VALUE(C1996)</f>
        <v>27.287671230000001</v>
      </c>
      <c r="F1996" s="51">
        <f t="shared" si="68"/>
        <v>4.5111458400000002</v>
      </c>
      <c r="H1996" s="33"/>
      <c r="I1996" s="33"/>
      <c r="J1996" s="33"/>
      <c r="K1996" s="33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</row>
    <row r="1997" spans="1:28" x14ac:dyDescent="0.15">
      <c r="A1997" s="46" t="s">
        <v>4045</v>
      </c>
      <c r="B1997" s="52" t="s">
        <v>7361</v>
      </c>
      <c r="C1997" s="53" t="s">
        <v>4046</v>
      </c>
      <c r="D1997" s="54" t="s">
        <v>9439</v>
      </c>
      <c r="E1997" s="50">
        <f t="shared" si="68"/>
        <v>27.301369860000001</v>
      </c>
      <c r="F1997" s="51">
        <f t="shared" si="68"/>
        <v>4.5115930200000003</v>
      </c>
      <c r="H1997" s="33"/>
      <c r="I1997" s="33"/>
      <c r="J1997" s="33"/>
      <c r="K1997" s="33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</row>
    <row r="1998" spans="1:28" x14ac:dyDescent="0.15">
      <c r="A1998" s="46" t="s">
        <v>4047</v>
      </c>
      <c r="B1998" s="52" t="s">
        <v>7361</v>
      </c>
      <c r="C1998" s="53" t="s">
        <v>4048</v>
      </c>
      <c r="D1998" s="54" t="s">
        <v>9440</v>
      </c>
      <c r="E1998" s="50">
        <f t="shared" si="68"/>
        <v>27.315068490000002</v>
      </c>
      <c r="F1998" s="51">
        <f t="shared" si="68"/>
        <v>4.51204012</v>
      </c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</row>
    <row r="1999" spans="1:28" x14ac:dyDescent="0.15">
      <c r="A1999" s="46" t="s">
        <v>4049</v>
      </c>
      <c r="B1999" s="52" t="s">
        <v>7361</v>
      </c>
      <c r="C1999" s="53" t="s">
        <v>4050</v>
      </c>
      <c r="D1999" s="54" t="s">
        <v>9441</v>
      </c>
      <c r="E1999" s="50">
        <f t="shared" si="68"/>
        <v>27.328767119999998</v>
      </c>
      <c r="F1999" s="51">
        <f t="shared" si="68"/>
        <v>4.5124871799999999</v>
      </c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</row>
    <row r="2000" spans="1:28" x14ac:dyDescent="0.15">
      <c r="A2000" s="46" t="s">
        <v>4051</v>
      </c>
      <c r="B2000" s="52" t="s">
        <v>7361</v>
      </c>
      <c r="C2000" s="53" t="s">
        <v>4052</v>
      </c>
      <c r="D2000" s="54" t="s">
        <v>9442</v>
      </c>
      <c r="E2000" s="50">
        <f t="shared" si="68"/>
        <v>27.342465749999999</v>
      </c>
      <c r="F2000" s="51">
        <f t="shared" si="68"/>
        <v>4.51293422</v>
      </c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</row>
    <row r="2001" spans="1:28" x14ac:dyDescent="0.15">
      <c r="A2001" s="46" t="s">
        <v>4053</v>
      </c>
      <c r="B2001" s="52" t="s">
        <v>7361</v>
      </c>
      <c r="C2001" s="53" t="s">
        <v>4054</v>
      </c>
      <c r="D2001" s="54" t="s">
        <v>9443</v>
      </c>
      <c r="E2001" s="50">
        <f t="shared" si="68"/>
        <v>27.356164379999999</v>
      </c>
      <c r="F2001" s="51">
        <f t="shared" si="68"/>
        <v>4.5133812899999999</v>
      </c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</row>
    <row r="2002" spans="1:28" x14ac:dyDescent="0.15">
      <c r="A2002" s="46" t="s">
        <v>4055</v>
      </c>
      <c r="B2002" s="52" t="s">
        <v>7361</v>
      </c>
      <c r="C2002" s="53" t="s">
        <v>4056</v>
      </c>
      <c r="D2002" s="54" t="s">
        <v>9444</v>
      </c>
      <c r="E2002" s="50">
        <f t="shared" si="68"/>
        <v>27.36986301</v>
      </c>
      <c r="F2002" s="51">
        <f t="shared" si="68"/>
        <v>4.5138284100000003</v>
      </c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</row>
    <row r="2003" spans="1:28" x14ac:dyDescent="0.15">
      <c r="A2003" s="46" t="s">
        <v>4057</v>
      </c>
      <c r="B2003" s="52" t="s">
        <v>7361</v>
      </c>
      <c r="C2003" s="53" t="s">
        <v>4058</v>
      </c>
      <c r="D2003" s="54" t="s">
        <v>9445</v>
      </c>
      <c r="E2003" s="50">
        <f t="shared" si="68"/>
        <v>27.38356164</v>
      </c>
      <c r="F2003" s="51">
        <f t="shared" si="68"/>
        <v>4.5142756200000003</v>
      </c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</row>
    <row r="2004" spans="1:28" x14ac:dyDescent="0.15">
      <c r="A2004" s="46" t="s">
        <v>4059</v>
      </c>
      <c r="B2004" s="52" t="s">
        <v>7361</v>
      </c>
      <c r="C2004" s="53" t="s">
        <v>4060</v>
      </c>
      <c r="D2004" s="54" t="s">
        <v>9446</v>
      </c>
      <c r="E2004" s="50">
        <f t="shared" si="68"/>
        <v>27.39726027</v>
      </c>
      <c r="F2004" s="51">
        <f t="shared" si="68"/>
        <v>4.5147229500000003</v>
      </c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</row>
    <row r="2005" spans="1:28" x14ac:dyDescent="0.15">
      <c r="A2005" s="46" t="s">
        <v>4061</v>
      </c>
      <c r="B2005" s="52" t="s">
        <v>7361</v>
      </c>
      <c r="C2005" s="53" t="s">
        <v>4062</v>
      </c>
      <c r="D2005" s="54" t="s">
        <v>9447</v>
      </c>
      <c r="E2005" s="50">
        <f t="shared" si="68"/>
        <v>27.410958900000001</v>
      </c>
      <c r="F2005" s="51">
        <f t="shared" si="68"/>
        <v>4.5151704300000004</v>
      </c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</row>
    <row r="2006" spans="1:28" x14ac:dyDescent="0.15">
      <c r="A2006" s="46" t="s">
        <v>4063</v>
      </c>
      <c r="B2006" s="52" t="s">
        <v>7361</v>
      </c>
      <c r="C2006" s="53" t="s">
        <v>4064</v>
      </c>
      <c r="D2006" s="54" t="s">
        <v>9448</v>
      </c>
      <c r="E2006" s="50">
        <f t="shared" si="68"/>
        <v>27.424657530000001</v>
      </c>
      <c r="F2006" s="51">
        <f t="shared" si="68"/>
        <v>4.5156181100000001</v>
      </c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</row>
    <row r="2007" spans="1:28" x14ac:dyDescent="0.15">
      <c r="A2007" s="46" t="s">
        <v>4065</v>
      </c>
      <c r="B2007" s="52" t="s">
        <v>7361</v>
      </c>
      <c r="C2007" s="53" t="s">
        <v>4066</v>
      </c>
      <c r="D2007" s="54" t="s">
        <v>9449</v>
      </c>
      <c r="E2007" s="50">
        <f t="shared" si="68"/>
        <v>27.438356160000001</v>
      </c>
      <c r="F2007" s="51">
        <f t="shared" si="68"/>
        <v>4.5160660000000004</v>
      </c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</row>
    <row r="2008" spans="1:28" x14ac:dyDescent="0.15">
      <c r="A2008" s="46" t="s">
        <v>4067</v>
      </c>
      <c r="B2008" s="52" t="s">
        <v>7361</v>
      </c>
      <c r="C2008" s="53" t="s">
        <v>4068</v>
      </c>
      <c r="D2008" s="54" t="s">
        <v>9450</v>
      </c>
      <c r="E2008" s="50">
        <f t="shared" si="68"/>
        <v>27.452054789999998</v>
      </c>
      <c r="F2008" s="51">
        <f t="shared" si="68"/>
        <v>4.51651414</v>
      </c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</row>
    <row r="2009" spans="1:28" x14ac:dyDescent="0.15">
      <c r="A2009" s="46" t="s">
        <v>4069</v>
      </c>
      <c r="B2009" s="52" t="s">
        <v>7361</v>
      </c>
      <c r="C2009" s="53" t="s">
        <v>4070</v>
      </c>
      <c r="D2009" s="54" t="s">
        <v>9451</v>
      </c>
      <c r="E2009" s="50">
        <f t="shared" si="68"/>
        <v>27.465753419999999</v>
      </c>
      <c r="F2009" s="51">
        <f t="shared" si="68"/>
        <v>4.5169625699999996</v>
      </c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</row>
    <row r="2010" spans="1:28" x14ac:dyDescent="0.15">
      <c r="A2010" s="46" t="s">
        <v>4071</v>
      </c>
      <c r="B2010" s="52" t="s">
        <v>7361</v>
      </c>
      <c r="C2010" s="53" t="s">
        <v>4072</v>
      </c>
      <c r="D2010" s="54" t="s">
        <v>9452</v>
      </c>
      <c r="E2010" s="50">
        <f t="shared" si="68"/>
        <v>27.479452049999999</v>
      </c>
      <c r="F2010" s="51">
        <f t="shared" si="68"/>
        <v>4.5174113199999999</v>
      </c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</row>
    <row r="2011" spans="1:28" x14ac:dyDescent="0.15">
      <c r="A2011" s="46" t="s">
        <v>4073</v>
      </c>
      <c r="B2011" s="52" t="s">
        <v>7361</v>
      </c>
      <c r="C2011" s="53" t="s">
        <v>4074</v>
      </c>
      <c r="D2011" s="54" t="s">
        <v>9453</v>
      </c>
      <c r="E2011" s="50">
        <f t="shared" si="68"/>
        <v>27.493150679999999</v>
      </c>
      <c r="F2011" s="51">
        <f t="shared" si="68"/>
        <v>4.5178604299999998</v>
      </c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</row>
    <row r="2012" spans="1:28" x14ac:dyDescent="0.15">
      <c r="A2012" s="46" t="s">
        <v>4075</v>
      </c>
      <c r="B2012" s="52" t="s">
        <v>7361</v>
      </c>
      <c r="C2012" s="53" t="s">
        <v>4076</v>
      </c>
      <c r="D2012" s="54" t="s">
        <v>9454</v>
      </c>
      <c r="E2012" s="50">
        <f t="shared" si="68"/>
        <v>27.506849320000001</v>
      </c>
      <c r="F2012" s="51">
        <f t="shared" si="68"/>
        <v>4.5183096699999998</v>
      </c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  <c r="AA2012" s="33"/>
      <c r="AB2012" s="33"/>
    </row>
    <row r="2013" spans="1:28" x14ac:dyDescent="0.15">
      <c r="A2013" s="46" t="s">
        <v>4077</v>
      </c>
      <c r="B2013" s="52" t="s">
        <v>7361</v>
      </c>
      <c r="C2013" s="53" t="s">
        <v>4078</v>
      </c>
      <c r="D2013" s="54" t="s">
        <v>9455</v>
      </c>
      <c r="E2013" s="50">
        <f t="shared" si="68"/>
        <v>27.520547950000001</v>
      </c>
      <c r="F2013" s="51">
        <f t="shared" si="68"/>
        <v>4.5187576399999996</v>
      </c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  <c r="AA2013" s="33"/>
      <c r="AB2013" s="33"/>
    </row>
    <row r="2014" spans="1:28" x14ac:dyDescent="0.15">
      <c r="A2014" s="46" t="s">
        <v>4079</v>
      </c>
      <c r="B2014" s="52" t="s">
        <v>7361</v>
      </c>
      <c r="C2014" s="53" t="s">
        <v>4080</v>
      </c>
      <c r="D2014" s="54" t="s">
        <v>9456</v>
      </c>
      <c r="E2014" s="50">
        <f t="shared" si="68"/>
        <v>27.534246580000001</v>
      </c>
      <c r="F2014" s="51">
        <f t="shared" si="68"/>
        <v>4.5192041400000003</v>
      </c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  <c r="AA2014" s="33"/>
      <c r="AB2014" s="33"/>
    </row>
    <row r="2015" spans="1:28" x14ac:dyDescent="0.15">
      <c r="A2015" s="46" t="s">
        <v>4081</v>
      </c>
      <c r="B2015" s="52" t="s">
        <v>7361</v>
      </c>
      <c r="C2015" s="53" t="s">
        <v>4082</v>
      </c>
      <c r="D2015" s="54" t="s">
        <v>9457</v>
      </c>
      <c r="E2015" s="50">
        <f t="shared" si="68"/>
        <v>27.547945210000002</v>
      </c>
      <c r="F2015" s="51">
        <f t="shared" si="68"/>
        <v>4.5196492599999996</v>
      </c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  <c r="AA2015" s="33"/>
      <c r="AB2015" s="33"/>
    </row>
    <row r="2016" spans="1:28" x14ac:dyDescent="0.15">
      <c r="A2016" s="46" t="s">
        <v>4083</v>
      </c>
      <c r="B2016" s="52" t="s">
        <v>7361</v>
      </c>
      <c r="C2016" s="53" t="s">
        <v>4084</v>
      </c>
      <c r="D2016" s="54" t="s">
        <v>9458</v>
      </c>
      <c r="E2016" s="50">
        <f t="shared" si="68"/>
        <v>27.561643839999999</v>
      </c>
      <c r="F2016" s="51">
        <f t="shared" si="68"/>
        <v>4.5200930399999999</v>
      </c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  <c r="AA2016" s="33"/>
      <c r="AB2016" s="33"/>
    </row>
    <row r="2017" spans="1:28" x14ac:dyDescent="0.15">
      <c r="A2017" s="46" t="s">
        <v>4085</v>
      </c>
      <c r="B2017" s="52" t="s">
        <v>7361</v>
      </c>
      <c r="C2017" s="53" t="s">
        <v>4086</v>
      </c>
      <c r="D2017" s="54" t="s">
        <v>9459</v>
      </c>
      <c r="E2017" s="50">
        <f t="shared" si="68"/>
        <v>27.575342469999999</v>
      </c>
      <c r="F2017" s="51">
        <f t="shared" si="68"/>
        <v>4.52053555</v>
      </c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  <c r="AA2017" s="33"/>
      <c r="AB2017" s="33"/>
    </row>
    <row r="2018" spans="1:28" x14ac:dyDescent="0.15">
      <c r="A2018" s="46" t="s">
        <v>4087</v>
      </c>
      <c r="B2018" s="52" t="s">
        <v>7361</v>
      </c>
      <c r="C2018" s="53" t="s">
        <v>4088</v>
      </c>
      <c r="D2018" s="54" t="s">
        <v>9460</v>
      </c>
      <c r="E2018" s="50">
        <f t="shared" si="68"/>
        <v>27.589041099999999</v>
      </c>
      <c r="F2018" s="51">
        <f t="shared" si="68"/>
        <v>4.5209768700000001</v>
      </c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  <c r="AA2018" s="33"/>
      <c r="AB2018" s="33"/>
    </row>
    <row r="2019" spans="1:28" x14ac:dyDescent="0.15">
      <c r="A2019" s="46" t="s">
        <v>4089</v>
      </c>
      <c r="B2019" s="52" t="s">
        <v>7361</v>
      </c>
      <c r="C2019" s="53" t="s">
        <v>4090</v>
      </c>
      <c r="D2019" s="54" t="s">
        <v>9461</v>
      </c>
      <c r="E2019" s="50">
        <f t="shared" si="68"/>
        <v>27.60273973</v>
      </c>
      <c r="F2019" s="51">
        <f t="shared" si="68"/>
        <v>4.5214170400000002</v>
      </c>
      <c r="H2019" s="33"/>
      <c r="I2019" s="3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  <c r="T2019" s="33"/>
      <c r="U2019" s="33"/>
      <c r="V2019" s="33"/>
      <c r="W2019" s="33"/>
      <c r="X2019" s="33"/>
      <c r="Y2019" s="33"/>
      <c r="Z2019" s="33"/>
      <c r="AA2019" s="33"/>
      <c r="AB2019" s="33"/>
    </row>
    <row r="2020" spans="1:28" x14ac:dyDescent="0.15">
      <c r="A2020" s="46" t="s">
        <v>4091</v>
      </c>
      <c r="B2020" s="52" t="s">
        <v>7361</v>
      </c>
      <c r="C2020" s="53" t="s">
        <v>4092</v>
      </c>
      <c r="D2020" s="54" t="s">
        <v>9462</v>
      </c>
      <c r="E2020" s="50">
        <f t="shared" si="68"/>
        <v>27.61643836</v>
      </c>
      <c r="F2020" s="51">
        <f t="shared" si="68"/>
        <v>4.5218561399999997</v>
      </c>
      <c r="H2020" s="33"/>
      <c r="I2020" s="3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  <c r="T2020" s="33"/>
      <c r="U2020" s="33"/>
      <c r="V2020" s="33"/>
      <c r="W2020" s="33"/>
      <c r="X2020" s="33"/>
      <c r="Y2020" s="33"/>
      <c r="Z2020" s="33"/>
      <c r="AA2020" s="33"/>
      <c r="AB2020" s="33"/>
    </row>
    <row r="2021" spans="1:28" x14ac:dyDescent="0.15">
      <c r="A2021" s="46" t="s">
        <v>4093</v>
      </c>
      <c r="B2021" s="52" t="s">
        <v>7361</v>
      </c>
      <c r="C2021" s="53" t="s">
        <v>4094</v>
      </c>
      <c r="D2021" s="54" t="s">
        <v>9463</v>
      </c>
      <c r="E2021" s="50">
        <f t="shared" si="68"/>
        <v>27.63013699</v>
      </c>
      <c r="F2021" s="51">
        <f t="shared" si="68"/>
        <v>4.52229422</v>
      </c>
      <c r="H2021" s="33"/>
      <c r="I2021" s="3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  <c r="T2021" s="33"/>
      <c r="U2021" s="33"/>
      <c r="V2021" s="33"/>
      <c r="W2021" s="33"/>
      <c r="X2021" s="33"/>
      <c r="Y2021" s="33"/>
      <c r="Z2021" s="33"/>
      <c r="AA2021" s="33"/>
      <c r="AB2021" s="33"/>
    </row>
    <row r="2022" spans="1:28" x14ac:dyDescent="0.15">
      <c r="A2022" s="46" t="s">
        <v>4095</v>
      </c>
      <c r="B2022" s="52" t="s">
        <v>7361</v>
      </c>
      <c r="C2022" s="53" t="s">
        <v>4096</v>
      </c>
      <c r="D2022" s="54" t="s">
        <v>9464</v>
      </c>
      <c r="E2022" s="50">
        <f t="shared" si="68"/>
        <v>27.643835620000001</v>
      </c>
      <c r="F2022" s="51">
        <f t="shared" si="68"/>
        <v>4.5227313599999999</v>
      </c>
      <c r="H2022" s="33"/>
      <c r="I2022" s="3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  <c r="T2022" s="33"/>
      <c r="U2022" s="33"/>
      <c r="V2022" s="33"/>
      <c r="W2022" s="33"/>
      <c r="X2022" s="33"/>
      <c r="Y2022" s="33"/>
      <c r="Z2022" s="33"/>
      <c r="AA2022" s="33"/>
      <c r="AB2022" s="33"/>
    </row>
    <row r="2023" spans="1:28" x14ac:dyDescent="0.15">
      <c r="A2023" s="46" t="s">
        <v>4097</v>
      </c>
      <c r="B2023" s="52" t="s">
        <v>7361</v>
      </c>
      <c r="C2023" s="53" t="s">
        <v>4098</v>
      </c>
      <c r="D2023" s="54" t="s">
        <v>9465</v>
      </c>
      <c r="E2023" s="50">
        <f t="shared" si="68"/>
        <v>27.657534250000001</v>
      </c>
      <c r="F2023" s="51">
        <f t="shared" si="68"/>
        <v>4.5231676199999997</v>
      </c>
      <c r="H2023" s="33"/>
      <c r="I2023" s="3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  <c r="T2023" s="33"/>
      <c r="U2023" s="33"/>
      <c r="V2023" s="33"/>
      <c r="W2023" s="33"/>
      <c r="X2023" s="33"/>
      <c r="Y2023" s="33"/>
      <c r="Z2023" s="33"/>
      <c r="AA2023" s="33"/>
      <c r="AB2023" s="33"/>
    </row>
    <row r="2024" spans="1:28" x14ac:dyDescent="0.15">
      <c r="A2024" s="46" t="s">
        <v>4099</v>
      </c>
      <c r="B2024" s="52" t="s">
        <v>7361</v>
      </c>
      <c r="C2024" s="53" t="s">
        <v>4100</v>
      </c>
      <c r="D2024" s="54" t="s">
        <v>9466</v>
      </c>
      <c r="E2024" s="50">
        <f t="shared" si="68"/>
        <v>27.671232880000002</v>
      </c>
      <c r="F2024" s="51">
        <f t="shared" si="68"/>
        <v>4.5236030500000002</v>
      </c>
      <c r="H2024" s="33"/>
      <c r="I2024" s="3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  <c r="T2024" s="33"/>
      <c r="U2024" s="33"/>
      <c r="V2024" s="33"/>
      <c r="W2024" s="33"/>
      <c r="X2024" s="33"/>
      <c r="Y2024" s="33"/>
      <c r="Z2024" s="33"/>
      <c r="AA2024" s="33"/>
      <c r="AB2024" s="33"/>
    </row>
    <row r="2025" spans="1:28" x14ac:dyDescent="0.15">
      <c r="A2025" s="46" t="s">
        <v>4101</v>
      </c>
      <c r="B2025" s="52" t="s">
        <v>7361</v>
      </c>
      <c r="C2025" s="53" t="s">
        <v>4102</v>
      </c>
      <c r="D2025" s="54" t="s">
        <v>9467</v>
      </c>
      <c r="E2025" s="50">
        <f t="shared" si="68"/>
        <v>27.684931509999998</v>
      </c>
      <c r="F2025" s="51">
        <f t="shared" si="68"/>
        <v>4.5240377299999999</v>
      </c>
      <c r="H2025" s="33"/>
      <c r="I2025" s="3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  <c r="T2025" s="33"/>
      <c r="U2025" s="33"/>
      <c r="V2025" s="33"/>
      <c r="W2025" s="33"/>
      <c r="X2025" s="33"/>
      <c r="Y2025" s="33"/>
      <c r="Z2025" s="33"/>
      <c r="AA2025" s="33"/>
      <c r="AB2025" s="33"/>
    </row>
    <row r="2026" spans="1:28" x14ac:dyDescent="0.15">
      <c r="A2026" s="46" t="s">
        <v>4103</v>
      </c>
      <c r="B2026" s="52" t="s">
        <v>7361</v>
      </c>
      <c r="C2026" s="53" t="s">
        <v>4104</v>
      </c>
      <c r="D2026" s="54" t="s">
        <v>9468</v>
      </c>
      <c r="E2026" s="50">
        <f t="shared" si="68"/>
        <v>27.698630139999999</v>
      </c>
      <c r="F2026" s="51">
        <f t="shared" si="68"/>
        <v>4.5244717200000002</v>
      </c>
      <c r="H2026" s="33"/>
      <c r="I2026" s="3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  <c r="T2026" s="33"/>
      <c r="U2026" s="33"/>
      <c r="V2026" s="33"/>
      <c r="W2026" s="33"/>
      <c r="X2026" s="33"/>
      <c r="Y2026" s="33"/>
      <c r="Z2026" s="33"/>
      <c r="AA2026" s="33"/>
      <c r="AB2026" s="33"/>
    </row>
    <row r="2027" spans="1:28" x14ac:dyDescent="0.15">
      <c r="A2027" s="46" t="s">
        <v>4105</v>
      </c>
      <c r="B2027" s="52" t="s">
        <v>7361</v>
      </c>
      <c r="C2027" s="53" t="s">
        <v>4106</v>
      </c>
      <c r="D2027" s="54" t="s">
        <v>9469</v>
      </c>
      <c r="E2027" s="50">
        <f t="shared" ref="E2027:F2056" si="69">VALUE(C2027)</f>
        <v>27.712328769999999</v>
      </c>
      <c r="F2027" s="51">
        <f t="shared" si="69"/>
        <v>4.5249050799999999</v>
      </c>
      <c r="H2027" s="33"/>
      <c r="I2027" s="33"/>
      <c r="J2027" s="33"/>
      <c r="K2027" s="33"/>
      <c r="L2027" s="33"/>
      <c r="M2027" s="33"/>
      <c r="N2027" s="33"/>
      <c r="O2027" s="33"/>
      <c r="P2027" s="33"/>
      <c r="Q2027" s="33"/>
      <c r="R2027" s="33"/>
      <c r="S2027" s="33"/>
      <c r="T2027" s="33"/>
      <c r="U2027" s="33"/>
      <c r="V2027" s="33"/>
      <c r="W2027" s="33"/>
      <c r="X2027" s="33"/>
      <c r="Y2027" s="33"/>
      <c r="Z2027" s="33"/>
      <c r="AA2027" s="33"/>
      <c r="AB2027" s="33"/>
    </row>
    <row r="2028" spans="1:28" x14ac:dyDescent="0.15">
      <c r="A2028" s="46" t="s">
        <v>4107</v>
      </c>
      <c r="B2028" s="52" t="s">
        <v>7361</v>
      </c>
      <c r="C2028" s="53" t="s">
        <v>4108</v>
      </c>
      <c r="D2028" s="54" t="s">
        <v>9470</v>
      </c>
      <c r="E2028" s="50">
        <f t="shared" si="69"/>
        <v>27.7260274</v>
      </c>
      <c r="F2028" s="51">
        <f t="shared" si="69"/>
        <v>4.5253378800000004</v>
      </c>
      <c r="H2028" s="33"/>
      <c r="I2028" s="33"/>
      <c r="J2028" s="33"/>
      <c r="K2028" s="33"/>
      <c r="L2028" s="33"/>
      <c r="M2028" s="33"/>
      <c r="N2028" s="33"/>
      <c r="O2028" s="33"/>
      <c r="P2028" s="33"/>
      <c r="Q2028" s="33"/>
      <c r="R2028" s="33"/>
      <c r="S2028" s="33"/>
      <c r="T2028" s="33"/>
      <c r="U2028" s="33"/>
      <c r="V2028" s="33"/>
      <c r="W2028" s="33"/>
      <c r="X2028" s="33"/>
      <c r="Y2028" s="33"/>
      <c r="Z2028" s="33"/>
      <c r="AA2028" s="33"/>
      <c r="AB2028" s="33"/>
    </row>
    <row r="2029" spans="1:28" x14ac:dyDescent="0.15">
      <c r="A2029" s="46" t="s">
        <v>4109</v>
      </c>
      <c r="B2029" s="52" t="s">
        <v>7361</v>
      </c>
      <c r="C2029" s="53" t="s">
        <v>4110</v>
      </c>
      <c r="D2029" s="54" t="s">
        <v>9471</v>
      </c>
      <c r="E2029" s="50">
        <f t="shared" si="69"/>
        <v>27.73972603</v>
      </c>
      <c r="F2029" s="51">
        <f t="shared" si="69"/>
        <v>4.5257701700000004</v>
      </c>
      <c r="H2029" s="33"/>
      <c r="I2029" s="33"/>
      <c r="J2029" s="33"/>
      <c r="K2029" s="33"/>
      <c r="L2029" s="33"/>
      <c r="M2029" s="33"/>
      <c r="N2029" s="33"/>
      <c r="O2029" s="33"/>
      <c r="P2029" s="33"/>
      <c r="Q2029" s="33"/>
      <c r="R2029" s="33"/>
      <c r="S2029" s="33"/>
      <c r="T2029" s="33"/>
      <c r="U2029" s="33"/>
      <c r="V2029" s="33"/>
      <c r="W2029" s="33"/>
      <c r="X2029" s="33"/>
      <c r="Y2029" s="33"/>
      <c r="Z2029" s="33"/>
      <c r="AA2029" s="33"/>
      <c r="AB2029" s="33"/>
    </row>
    <row r="2030" spans="1:28" x14ac:dyDescent="0.15">
      <c r="A2030" s="46" t="s">
        <v>4111</v>
      </c>
      <c r="B2030" s="52" t="s">
        <v>7361</v>
      </c>
      <c r="C2030" s="53" t="s">
        <v>4112</v>
      </c>
      <c r="D2030" s="54" t="s">
        <v>9472</v>
      </c>
      <c r="E2030" s="50">
        <f t="shared" si="69"/>
        <v>27.75342466</v>
      </c>
      <c r="F2030" s="51">
        <f t="shared" si="69"/>
        <v>4.5262020300000003</v>
      </c>
      <c r="H2030" s="33"/>
      <c r="I2030" s="33"/>
      <c r="J2030" s="33"/>
      <c r="K2030" s="33"/>
      <c r="L2030" s="33"/>
      <c r="M2030" s="33"/>
      <c r="N2030" s="33"/>
      <c r="O2030" s="33"/>
      <c r="P2030" s="33"/>
      <c r="Q2030" s="33"/>
      <c r="R2030" s="33"/>
      <c r="S2030" s="33"/>
      <c r="T2030" s="33"/>
      <c r="U2030" s="33"/>
      <c r="V2030" s="33"/>
      <c r="W2030" s="33"/>
      <c r="X2030" s="33"/>
      <c r="Y2030" s="33"/>
      <c r="Z2030" s="33"/>
      <c r="AA2030" s="33"/>
      <c r="AB2030" s="33"/>
    </row>
    <row r="2031" spans="1:28" x14ac:dyDescent="0.15">
      <c r="A2031" s="46" t="s">
        <v>4113</v>
      </c>
      <c r="B2031" s="52" t="s">
        <v>7361</v>
      </c>
      <c r="C2031" s="53" t="s">
        <v>4114</v>
      </c>
      <c r="D2031" s="54" t="s">
        <v>9473</v>
      </c>
      <c r="E2031" s="50">
        <f t="shared" si="69"/>
        <v>27.767123290000001</v>
      </c>
      <c r="F2031" s="51">
        <f t="shared" si="69"/>
        <v>4.5266335099999999</v>
      </c>
      <c r="H2031" s="33"/>
      <c r="I2031" s="33"/>
      <c r="J2031" s="33"/>
      <c r="K2031" s="33"/>
      <c r="L2031" s="33"/>
      <c r="M2031" s="33"/>
      <c r="N2031" s="33"/>
      <c r="O2031" s="33"/>
      <c r="P2031" s="33"/>
      <c r="Q2031" s="33"/>
      <c r="R2031" s="33"/>
      <c r="S2031" s="33"/>
      <c r="T2031" s="33"/>
      <c r="U2031" s="33"/>
      <c r="V2031" s="33"/>
      <c r="W2031" s="33"/>
      <c r="X2031" s="33"/>
      <c r="Y2031" s="33"/>
      <c r="Z2031" s="33"/>
      <c r="AA2031" s="33"/>
      <c r="AB2031" s="33"/>
    </row>
    <row r="2032" spans="1:28" x14ac:dyDescent="0.15">
      <c r="A2032" s="46" t="s">
        <v>4115</v>
      </c>
      <c r="B2032" s="52" t="s">
        <v>7361</v>
      </c>
      <c r="C2032" s="53" t="s">
        <v>4116</v>
      </c>
      <c r="D2032" s="54" t="s">
        <v>9474</v>
      </c>
      <c r="E2032" s="50">
        <f t="shared" si="69"/>
        <v>27.780821920000001</v>
      </c>
      <c r="F2032" s="51">
        <f t="shared" si="69"/>
        <v>4.5270646899999996</v>
      </c>
      <c r="H2032" s="33"/>
      <c r="I2032" s="33"/>
      <c r="J2032" s="33"/>
      <c r="K2032" s="33"/>
      <c r="L2032" s="33"/>
      <c r="M2032" s="33"/>
      <c r="N2032" s="33"/>
      <c r="O2032" s="33"/>
      <c r="P2032" s="33"/>
      <c r="Q2032" s="33"/>
      <c r="R2032" s="33"/>
      <c r="S2032" s="33"/>
      <c r="T2032" s="33"/>
      <c r="U2032" s="33"/>
      <c r="V2032" s="33"/>
      <c r="W2032" s="33"/>
      <c r="X2032" s="33"/>
      <c r="Y2032" s="33"/>
      <c r="Z2032" s="33"/>
      <c r="AA2032" s="33"/>
      <c r="AB2032" s="33"/>
    </row>
    <row r="2033" spans="1:28" x14ac:dyDescent="0.15">
      <c r="A2033" s="46" t="s">
        <v>4117</v>
      </c>
      <c r="B2033" s="52" t="s">
        <v>7361</v>
      </c>
      <c r="C2033" s="53" t="s">
        <v>4118</v>
      </c>
      <c r="D2033" s="54" t="s">
        <v>9475</v>
      </c>
      <c r="E2033" s="50">
        <f t="shared" si="69"/>
        <v>27.794520550000001</v>
      </c>
      <c r="F2033" s="51">
        <f t="shared" si="69"/>
        <v>4.5274956199999998</v>
      </c>
      <c r="H2033" s="33"/>
      <c r="I2033" s="33"/>
      <c r="J2033" s="33"/>
      <c r="K2033" s="33"/>
      <c r="L2033" s="33"/>
      <c r="M2033" s="33"/>
      <c r="N2033" s="33"/>
      <c r="O2033" s="33"/>
      <c r="P2033" s="33"/>
      <c r="Q2033" s="33"/>
      <c r="R2033" s="33"/>
      <c r="S2033" s="33"/>
      <c r="T2033" s="33"/>
      <c r="U2033" s="33"/>
      <c r="V2033" s="33"/>
      <c r="W2033" s="33"/>
      <c r="X2033" s="33"/>
      <c r="Y2033" s="33"/>
      <c r="Z2033" s="33"/>
      <c r="AA2033" s="33"/>
      <c r="AB2033" s="33"/>
    </row>
    <row r="2034" spans="1:28" x14ac:dyDescent="0.15">
      <c r="A2034" s="46" t="s">
        <v>4119</v>
      </c>
      <c r="B2034" s="52" t="s">
        <v>7361</v>
      </c>
      <c r="C2034" s="53" t="s">
        <v>4120</v>
      </c>
      <c r="D2034" s="54" t="s">
        <v>9476</v>
      </c>
      <c r="E2034" s="50">
        <f t="shared" si="69"/>
        <v>27.808219179999998</v>
      </c>
      <c r="F2034" s="51">
        <f t="shared" si="69"/>
        <v>4.5279263800000003</v>
      </c>
      <c r="H2034" s="33"/>
      <c r="I2034" s="33"/>
      <c r="J2034" s="33"/>
      <c r="K2034" s="33"/>
      <c r="L2034" s="33"/>
      <c r="M2034" s="33"/>
      <c r="N2034" s="33"/>
      <c r="O2034" s="33"/>
      <c r="P2034" s="33"/>
      <c r="Q2034" s="33"/>
      <c r="R2034" s="33"/>
      <c r="S2034" s="33"/>
      <c r="T2034" s="33"/>
      <c r="U2034" s="33"/>
      <c r="V2034" s="33"/>
      <c r="W2034" s="33"/>
      <c r="X2034" s="33"/>
      <c r="Y2034" s="33"/>
      <c r="Z2034" s="33"/>
      <c r="AA2034" s="33"/>
      <c r="AB2034" s="33"/>
    </row>
    <row r="2035" spans="1:28" x14ac:dyDescent="0.15">
      <c r="A2035" s="46" t="s">
        <v>4121</v>
      </c>
      <c r="B2035" s="52" t="s">
        <v>7361</v>
      </c>
      <c r="C2035" s="53" t="s">
        <v>4122</v>
      </c>
      <c r="D2035" s="54" t="s">
        <v>9477</v>
      </c>
      <c r="E2035" s="50">
        <f t="shared" si="69"/>
        <v>27.821917809999999</v>
      </c>
      <c r="F2035" s="51">
        <f t="shared" si="69"/>
        <v>4.5283570099999997</v>
      </c>
      <c r="H2035" s="33"/>
      <c r="I2035" s="33"/>
      <c r="J2035" s="33"/>
      <c r="K2035" s="33"/>
      <c r="L2035" s="33"/>
      <c r="M2035" s="33"/>
      <c r="N2035" s="33"/>
      <c r="O2035" s="33"/>
      <c r="P2035" s="33"/>
      <c r="Q2035" s="33"/>
      <c r="R2035" s="33"/>
      <c r="S2035" s="33"/>
      <c r="T2035" s="33"/>
      <c r="U2035" s="33"/>
      <c r="V2035" s="33"/>
      <c r="W2035" s="33"/>
      <c r="X2035" s="33"/>
      <c r="Y2035" s="33"/>
      <c r="Z2035" s="33"/>
      <c r="AA2035" s="33"/>
      <c r="AB2035" s="33"/>
    </row>
    <row r="2036" spans="1:28" x14ac:dyDescent="0.15">
      <c r="A2036" s="46" t="s">
        <v>4123</v>
      </c>
      <c r="B2036" s="52" t="s">
        <v>7361</v>
      </c>
      <c r="C2036" s="53" t="s">
        <v>4124</v>
      </c>
      <c r="D2036" s="54" t="s">
        <v>9478</v>
      </c>
      <c r="E2036" s="50">
        <f t="shared" si="69"/>
        <v>27.835616439999999</v>
      </c>
      <c r="F2036" s="51">
        <f t="shared" si="69"/>
        <v>4.5287875900000003</v>
      </c>
      <c r="H2036" s="33"/>
      <c r="I2036" s="33"/>
      <c r="J2036" s="33"/>
      <c r="K2036" s="33"/>
      <c r="L2036" s="33"/>
      <c r="M2036" s="33"/>
      <c r="N2036" s="33"/>
      <c r="O2036" s="33"/>
      <c r="P2036" s="33"/>
      <c r="Q2036" s="33"/>
      <c r="R2036" s="33"/>
      <c r="S2036" s="33"/>
      <c r="T2036" s="33"/>
      <c r="U2036" s="33"/>
      <c r="V2036" s="33"/>
      <c r="W2036" s="33"/>
      <c r="X2036" s="33"/>
      <c r="Y2036" s="33"/>
      <c r="Z2036" s="33"/>
      <c r="AA2036" s="33"/>
      <c r="AB2036" s="33"/>
    </row>
    <row r="2037" spans="1:28" x14ac:dyDescent="0.15">
      <c r="A2037" s="46" t="s">
        <v>4125</v>
      </c>
      <c r="B2037" s="52" t="s">
        <v>7361</v>
      </c>
      <c r="C2037" s="53" t="s">
        <v>4126</v>
      </c>
      <c r="D2037" s="54" t="s">
        <v>9479</v>
      </c>
      <c r="E2037" s="50">
        <f t="shared" si="69"/>
        <v>27.849315069999999</v>
      </c>
      <c r="F2037" s="51">
        <f t="shared" si="69"/>
        <v>4.52921818</v>
      </c>
      <c r="H2037" s="33"/>
      <c r="I2037" s="33"/>
      <c r="J2037" s="33"/>
      <c r="K2037" s="33"/>
      <c r="L2037" s="33"/>
      <c r="M2037" s="33"/>
      <c r="N2037" s="33"/>
      <c r="O2037" s="33"/>
      <c r="P2037" s="33"/>
      <c r="Q2037" s="33"/>
      <c r="R2037" s="33"/>
      <c r="S2037" s="33"/>
      <c r="T2037" s="33"/>
      <c r="U2037" s="33"/>
      <c r="V2037" s="33"/>
      <c r="W2037" s="33"/>
      <c r="X2037" s="33"/>
      <c r="Y2037" s="33"/>
      <c r="Z2037" s="33"/>
      <c r="AA2037" s="33"/>
      <c r="AB2037" s="33"/>
    </row>
    <row r="2038" spans="1:28" x14ac:dyDescent="0.15">
      <c r="A2038" s="46" t="s">
        <v>4127</v>
      </c>
      <c r="B2038" s="52" t="s">
        <v>7361</v>
      </c>
      <c r="C2038" s="53" t="s">
        <v>4128</v>
      </c>
      <c r="D2038" s="54" t="s">
        <v>9480</v>
      </c>
      <c r="E2038" s="50">
        <f t="shared" si="69"/>
        <v>27.8630137</v>
      </c>
      <c r="F2038" s="51">
        <f t="shared" si="69"/>
        <v>4.5296488500000001</v>
      </c>
      <c r="H2038" s="33"/>
      <c r="I2038" s="33"/>
      <c r="J2038" s="33"/>
      <c r="K2038" s="33"/>
      <c r="L2038" s="33"/>
      <c r="M2038" s="33"/>
      <c r="N2038" s="33"/>
      <c r="O2038" s="33"/>
      <c r="P2038" s="33"/>
      <c r="Q2038" s="33"/>
      <c r="R2038" s="33"/>
      <c r="S2038" s="33"/>
      <c r="T2038" s="33"/>
      <c r="U2038" s="33"/>
      <c r="V2038" s="33"/>
      <c r="W2038" s="33"/>
      <c r="X2038" s="33"/>
      <c r="Y2038" s="33"/>
      <c r="Z2038" s="33"/>
      <c r="AA2038" s="33"/>
      <c r="AB2038" s="33"/>
    </row>
    <row r="2039" spans="1:28" x14ac:dyDescent="0.15">
      <c r="A2039" s="46" t="s">
        <v>4129</v>
      </c>
      <c r="B2039" s="52" t="s">
        <v>7361</v>
      </c>
      <c r="C2039" s="53" t="s">
        <v>4130</v>
      </c>
      <c r="D2039" s="54" t="s">
        <v>9481</v>
      </c>
      <c r="E2039" s="50">
        <f t="shared" si="69"/>
        <v>27.87671233</v>
      </c>
      <c r="F2039" s="51">
        <f t="shared" si="69"/>
        <v>4.5300796500000002</v>
      </c>
      <c r="H2039" s="33"/>
      <c r="I2039" s="33"/>
      <c r="J2039" s="33"/>
      <c r="K2039" s="33"/>
      <c r="L2039" s="33"/>
      <c r="M2039" s="33"/>
      <c r="N2039" s="33"/>
      <c r="O2039" s="33"/>
      <c r="P2039" s="33"/>
      <c r="Q2039" s="33"/>
      <c r="R2039" s="33"/>
      <c r="S2039" s="33"/>
      <c r="T2039" s="33"/>
      <c r="U2039" s="33"/>
      <c r="V2039" s="33"/>
      <c r="W2039" s="33"/>
      <c r="X2039" s="33"/>
      <c r="Y2039" s="33"/>
      <c r="Z2039" s="33"/>
      <c r="AA2039" s="33"/>
      <c r="AB2039" s="33"/>
    </row>
    <row r="2040" spans="1:28" x14ac:dyDescent="0.15">
      <c r="A2040" s="46" t="s">
        <v>4131</v>
      </c>
      <c r="B2040" s="52" t="s">
        <v>7361</v>
      </c>
      <c r="C2040" s="53" t="s">
        <v>4132</v>
      </c>
      <c r="D2040" s="54" t="s">
        <v>9482</v>
      </c>
      <c r="E2040" s="50">
        <f t="shared" si="69"/>
        <v>27.890410960000001</v>
      </c>
      <c r="F2040" s="51">
        <f t="shared" si="69"/>
        <v>4.53051066</v>
      </c>
      <c r="H2040" s="33"/>
      <c r="I2040" s="33"/>
      <c r="J2040" s="33"/>
      <c r="K2040" s="33"/>
      <c r="L2040" s="33"/>
      <c r="M2040" s="33"/>
      <c r="N2040" s="33"/>
      <c r="O2040" s="33"/>
      <c r="P2040" s="33"/>
      <c r="Q2040" s="33"/>
      <c r="R2040" s="33"/>
      <c r="S2040" s="33"/>
      <c r="T2040" s="33"/>
      <c r="U2040" s="33"/>
      <c r="V2040" s="33"/>
      <c r="W2040" s="33"/>
      <c r="X2040" s="33"/>
      <c r="Y2040" s="33"/>
      <c r="Z2040" s="33"/>
      <c r="AA2040" s="33"/>
      <c r="AB2040" s="33"/>
    </row>
    <row r="2041" spans="1:28" x14ac:dyDescent="0.15">
      <c r="A2041" s="46" t="s">
        <v>4133</v>
      </c>
      <c r="B2041" s="52" t="s">
        <v>7361</v>
      </c>
      <c r="C2041" s="53" t="s">
        <v>4134</v>
      </c>
      <c r="D2041" s="54" t="s">
        <v>9483</v>
      </c>
      <c r="E2041" s="50">
        <f t="shared" si="69"/>
        <v>27.904109590000001</v>
      </c>
      <c r="F2041" s="51">
        <f t="shared" si="69"/>
        <v>4.53094193</v>
      </c>
      <c r="H2041" s="33"/>
      <c r="I2041" s="33"/>
      <c r="J2041" s="33"/>
      <c r="K2041" s="33"/>
      <c r="L2041" s="33"/>
      <c r="M2041" s="33"/>
      <c r="N2041" s="33"/>
      <c r="O2041" s="33"/>
      <c r="P2041" s="33"/>
      <c r="Q2041" s="33"/>
      <c r="R2041" s="33"/>
      <c r="S2041" s="33"/>
      <c r="T2041" s="33"/>
      <c r="U2041" s="33"/>
      <c r="V2041" s="33"/>
      <c r="W2041" s="33"/>
      <c r="X2041" s="33"/>
      <c r="Y2041" s="33"/>
      <c r="Z2041" s="33"/>
      <c r="AA2041" s="33"/>
      <c r="AB2041" s="33"/>
    </row>
    <row r="2042" spans="1:28" x14ac:dyDescent="0.15">
      <c r="A2042" s="46" t="s">
        <v>4135</v>
      </c>
      <c r="B2042" s="52" t="s">
        <v>7361</v>
      </c>
      <c r="C2042" s="53" t="s">
        <v>4136</v>
      </c>
      <c r="D2042" s="54" t="s">
        <v>9484</v>
      </c>
      <c r="E2042" s="50">
        <f t="shared" si="69"/>
        <v>27.917808220000001</v>
      </c>
      <c r="F2042" s="51">
        <f t="shared" si="69"/>
        <v>4.5313735299999998</v>
      </c>
      <c r="H2042" s="33"/>
      <c r="I2042" s="33"/>
      <c r="J2042" s="33"/>
      <c r="K2042" s="33"/>
      <c r="L2042" s="33"/>
      <c r="M2042" s="33"/>
      <c r="N2042" s="33"/>
      <c r="O2042" s="33"/>
      <c r="P2042" s="33"/>
      <c r="Q2042" s="33"/>
      <c r="R2042" s="33"/>
      <c r="S2042" s="33"/>
      <c r="T2042" s="33"/>
      <c r="U2042" s="33"/>
      <c r="V2042" s="33"/>
      <c r="W2042" s="33"/>
      <c r="X2042" s="33"/>
      <c r="Y2042" s="33"/>
      <c r="Z2042" s="33"/>
      <c r="AA2042" s="33"/>
      <c r="AB2042" s="33"/>
    </row>
    <row r="2043" spans="1:28" x14ac:dyDescent="0.15">
      <c r="A2043" s="46" t="s">
        <v>4137</v>
      </c>
      <c r="B2043" s="52" t="s">
        <v>7361</v>
      </c>
      <c r="C2043" s="53" t="s">
        <v>4138</v>
      </c>
      <c r="D2043" s="54" t="s">
        <v>9485</v>
      </c>
      <c r="E2043" s="50">
        <f t="shared" si="69"/>
        <v>27.931506850000002</v>
      </c>
      <c r="F2043" s="51">
        <f t="shared" si="69"/>
        <v>4.5318055299999997</v>
      </c>
      <c r="H2043" s="33"/>
      <c r="I2043" s="33"/>
      <c r="J2043" s="33"/>
      <c r="K2043" s="33"/>
      <c r="L2043" s="33"/>
      <c r="M2043" s="33"/>
      <c r="N2043" s="33"/>
      <c r="O2043" s="33"/>
      <c r="P2043" s="33"/>
      <c r="Q2043" s="33"/>
      <c r="R2043" s="33"/>
      <c r="S2043" s="33"/>
      <c r="T2043" s="33"/>
      <c r="U2043" s="33"/>
      <c r="V2043" s="33"/>
      <c r="W2043" s="33"/>
      <c r="X2043" s="33"/>
      <c r="Y2043" s="33"/>
      <c r="Z2043" s="33"/>
      <c r="AA2043" s="33"/>
      <c r="AB2043" s="33"/>
    </row>
    <row r="2044" spans="1:28" x14ac:dyDescent="0.15">
      <c r="A2044" s="46" t="s">
        <v>4139</v>
      </c>
      <c r="B2044" s="52" t="s">
        <v>7361</v>
      </c>
      <c r="C2044" s="53" t="s">
        <v>4140</v>
      </c>
      <c r="D2044" s="54" t="s">
        <v>9486</v>
      </c>
      <c r="E2044" s="50">
        <f t="shared" si="69"/>
        <v>27.945205479999998</v>
      </c>
      <c r="F2044" s="51">
        <f t="shared" si="69"/>
        <v>4.5322379899999996</v>
      </c>
      <c r="H2044" s="33"/>
      <c r="I2044" s="33"/>
      <c r="J2044" s="33"/>
      <c r="K2044" s="33"/>
      <c r="L2044" s="33"/>
      <c r="M2044" s="33"/>
      <c r="N2044" s="33"/>
      <c r="O2044" s="33"/>
      <c r="P2044" s="33"/>
      <c r="Q2044" s="33"/>
      <c r="R2044" s="33"/>
      <c r="S2044" s="33"/>
      <c r="T2044" s="33"/>
      <c r="U2044" s="33"/>
      <c r="V2044" s="33"/>
      <c r="W2044" s="33"/>
      <c r="X2044" s="33"/>
      <c r="Y2044" s="33"/>
      <c r="Z2044" s="33"/>
      <c r="AA2044" s="33"/>
      <c r="AB2044" s="33"/>
    </row>
    <row r="2045" spans="1:28" x14ac:dyDescent="0.15">
      <c r="A2045" s="46" t="s">
        <v>4141</v>
      </c>
      <c r="B2045" s="52" t="s">
        <v>7361</v>
      </c>
      <c r="C2045" s="53" t="s">
        <v>4142</v>
      </c>
      <c r="D2045" s="54" t="s">
        <v>9487</v>
      </c>
      <c r="E2045" s="50">
        <f t="shared" si="69"/>
        <v>27.958904109999999</v>
      </c>
      <c r="F2045" s="51">
        <f t="shared" si="69"/>
        <v>4.5326709599999999</v>
      </c>
      <c r="H2045" s="33"/>
      <c r="I2045" s="33"/>
      <c r="J2045" s="33"/>
      <c r="K2045" s="33"/>
      <c r="L2045" s="33"/>
      <c r="M2045" s="33"/>
      <c r="N2045" s="33"/>
      <c r="O2045" s="33"/>
      <c r="P2045" s="33"/>
      <c r="Q2045" s="33"/>
      <c r="R2045" s="33"/>
      <c r="S2045" s="33"/>
      <c r="T2045" s="33"/>
      <c r="U2045" s="33"/>
      <c r="V2045" s="33"/>
      <c r="W2045" s="33"/>
      <c r="X2045" s="33"/>
      <c r="Y2045" s="33"/>
      <c r="Z2045" s="33"/>
      <c r="AA2045" s="33"/>
      <c r="AB2045" s="33"/>
    </row>
    <row r="2046" spans="1:28" x14ac:dyDescent="0.15">
      <c r="A2046" s="46" t="s">
        <v>4143</v>
      </c>
      <c r="B2046" s="52" t="s">
        <v>7361</v>
      </c>
      <c r="C2046" s="53" t="s">
        <v>4144</v>
      </c>
      <c r="D2046" s="54" t="s">
        <v>9488</v>
      </c>
      <c r="E2046" s="50">
        <f t="shared" si="69"/>
        <v>27.972602739999999</v>
      </c>
      <c r="F2046" s="51">
        <f t="shared" si="69"/>
        <v>4.5331045200000002</v>
      </c>
      <c r="H2046" s="33"/>
      <c r="I2046" s="33"/>
      <c r="J2046" s="33"/>
      <c r="K2046" s="33"/>
      <c r="L2046" s="33"/>
      <c r="M2046" s="33"/>
      <c r="N2046" s="33"/>
      <c r="O2046" s="33"/>
      <c r="P2046" s="33"/>
      <c r="Q2046" s="33"/>
      <c r="R2046" s="33"/>
      <c r="S2046" s="33"/>
      <c r="T2046" s="33"/>
      <c r="U2046" s="33"/>
      <c r="V2046" s="33"/>
      <c r="W2046" s="33"/>
      <c r="X2046" s="33"/>
      <c r="Y2046" s="33"/>
      <c r="Z2046" s="33"/>
      <c r="AA2046" s="33"/>
      <c r="AB2046" s="33"/>
    </row>
    <row r="2047" spans="1:28" x14ac:dyDescent="0.15">
      <c r="A2047" s="46" t="s">
        <v>4145</v>
      </c>
      <c r="B2047" s="52" t="s">
        <v>7361</v>
      </c>
      <c r="C2047" s="53" t="s">
        <v>4146</v>
      </c>
      <c r="D2047" s="54" t="s">
        <v>9489</v>
      </c>
      <c r="E2047" s="50">
        <f t="shared" si="69"/>
        <v>27.98630137</v>
      </c>
      <c r="F2047" s="51">
        <f t="shared" si="69"/>
        <v>4.53353874</v>
      </c>
      <c r="H2047" s="33"/>
      <c r="I2047" s="33"/>
      <c r="J2047" s="33"/>
      <c r="K2047" s="33"/>
      <c r="L2047" s="33"/>
      <c r="M2047" s="33"/>
      <c r="N2047" s="33"/>
      <c r="O2047" s="33"/>
      <c r="P2047" s="33"/>
      <c r="Q2047" s="33"/>
      <c r="R2047" s="33"/>
      <c r="S2047" s="33"/>
      <c r="T2047" s="33"/>
      <c r="U2047" s="33"/>
      <c r="V2047" s="33"/>
      <c r="W2047" s="33"/>
      <c r="X2047" s="33"/>
      <c r="Y2047" s="33"/>
      <c r="Z2047" s="33"/>
      <c r="AA2047" s="33"/>
      <c r="AB2047" s="33"/>
    </row>
    <row r="2048" spans="1:28" x14ac:dyDescent="0.15">
      <c r="A2048" s="46" t="s">
        <v>4147</v>
      </c>
      <c r="B2048" s="52" t="s">
        <v>7361</v>
      </c>
      <c r="C2048" s="53" t="s">
        <v>4148</v>
      </c>
      <c r="D2048" s="54" t="s">
        <v>9490</v>
      </c>
      <c r="E2048" s="50">
        <f t="shared" si="69"/>
        <v>28</v>
      </c>
      <c r="F2048" s="51">
        <f t="shared" si="69"/>
        <v>4.53397366</v>
      </c>
      <c r="H2048" s="33"/>
      <c r="I2048" s="33"/>
      <c r="J2048" s="33"/>
      <c r="K2048" s="33"/>
      <c r="L2048" s="33"/>
      <c r="M2048" s="33"/>
      <c r="N2048" s="33"/>
      <c r="O2048" s="33"/>
      <c r="P2048" s="33"/>
      <c r="Q2048" s="33"/>
      <c r="R2048" s="33"/>
      <c r="S2048" s="33"/>
      <c r="T2048" s="33"/>
      <c r="U2048" s="33"/>
      <c r="V2048" s="33"/>
      <c r="W2048" s="33"/>
      <c r="X2048" s="33"/>
      <c r="Y2048" s="33"/>
      <c r="Z2048" s="33"/>
      <c r="AA2048" s="33"/>
      <c r="AB2048" s="33"/>
    </row>
    <row r="2049" spans="1:28" x14ac:dyDescent="0.15">
      <c r="A2049" s="46" t="s">
        <v>4149</v>
      </c>
      <c r="B2049" s="52" t="s">
        <v>7361</v>
      </c>
      <c r="C2049" s="53" t="s">
        <v>4150</v>
      </c>
      <c r="D2049" s="54" t="s">
        <v>9491</v>
      </c>
      <c r="E2049" s="50">
        <f t="shared" si="69"/>
        <v>28.01369863</v>
      </c>
      <c r="F2049" s="51">
        <f t="shared" si="69"/>
        <v>4.5344078100000003</v>
      </c>
      <c r="H2049" s="33"/>
      <c r="I2049" s="33"/>
      <c r="J2049" s="33"/>
      <c r="K2049" s="33"/>
      <c r="L2049" s="33"/>
      <c r="M2049" s="33"/>
      <c r="N2049" s="33"/>
      <c r="O2049" s="33"/>
      <c r="P2049" s="33"/>
      <c r="Q2049" s="33"/>
      <c r="R2049" s="33"/>
      <c r="S2049" s="33"/>
      <c r="T2049" s="33"/>
      <c r="U2049" s="33"/>
      <c r="V2049" s="33"/>
      <c r="W2049" s="33"/>
      <c r="X2049" s="33"/>
      <c r="Y2049" s="33"/>
      <c r="Z2049" s="33"/>
      <c r="AA2049" s="33"/>
      <c r="AB2049" s="33"/>
    </row>
    <row r="2050" spans="1:28" x14ac:dyDescent="0.15">
      <c r="A2050" s="46" t="s">
        <v>4151</v>
      </c>
      <c r="B2050" s="52" t="s">
        <v>7361</v>
      </c>
      <c r="C2050" s="53" t="s">
        <v>4152</v>
      </c>
      <c r="D2050" s="54" t="s">
        <v>9492</v>
      </c>
      <c r="E2050" s="50">
        <f t="shared" si="69"/>
        <v>28.027397260000001</v>
      </c>
      <c r="F2050" s="51">
        <f t="shared" si="69"/>
        <v>4.53483971</v>
      </c>
      <c r="H2050" s="33"/>
      <c r="I2050" s="33"/>
      <c r="J2050" s="33"/>
      <c r="K2050" s="33"/>
      <c r="L2050" s="33"/>
      <c r="M2050" s="33"/>
      <c r="N2050" s="33"/>
      <c r="O2050" s="33"/>
      <c r="P2050" s="33"/>
      <c r="Q2050" s="33"/>
      <c r="R2050" s="33"/>
      <c r="S2050" s="33"/>
      <c r="T2050" s="33"/>
      <c r="U2050" s="33"/>
      <c r="V2050" s="33"/>
      <c r="W2050" s="33"/>
      <c r="X2050" s="33"/>
      <c r="Y2050" s="33"/>
      <c r="Z2050" s="33"/>
      <c r="AA2050" s="33"/>
      <c r="AB2050" s="33"/>
    </row>
    <row r="2051" spans="1:28" x14ac:dyDescent="0.15">
      <c r="A2051" s="46" t="s">
        <v>4153</v>
      </c>
      <c r="B2051" s="52" t="s">
        <v>7361</v>
      </c>
      <c r="C2051" s="53" t="s">
        <v>4154</v>
      </c>
      <c r="D2051" s="54" t="s">
        <v>9493</v>
      </c>
      <c r="E2051" s="50">
        <f t="shared" si="69"/>
        <v>28.041095890000001</v>
      </c>
      <c r="F2051" s="51">
        <f t="shared" si="69"/>
        <v>4.5352694600000003</v>
      </c>
      <c r="H2051" s="33"/>
      <c r="I2051" s="33"/>
      <c r="J2051" s="33"/>
      <c r="K2051" s="33"/>
      <c r="L2051" s="33"/>
      <c r="M2051" s="33"/>
      <c r="N2051" s="33"/>
      <c r="O2051" s="33"/>
      <c r="P2051" s="33"/>
      <c r="Q2051" s="33"/>
      <c r="R2051" s="33"/>
      <c r="S2051" s="33"/>
      <c r="T2051" s="33"/>
      <c r="U2051" s="33"/>
      <c r="V2051" s="33"/>
      <c r="W2051" s="33"/>
      <c r="X2051" s="33"/>
      <c r="Y2051" s="33"/>
      <c r="Z2051" s="33"/>
      <c r="AA2051" s="33"/>
      <c r="AB2051" s="33"/>
    </row>
    <row r="2052" spans="1:28" x14ac:dyDescent="0.15">
      <c r="A2052" s="46" t="s">
        <v>4155</v>
      </c>
      <c r="B2052" s="52" t="s">
        <v>7361</v>
      </c>
      <c r="C2052" s="53" t="s">
        <v>4156</v>
      </c>
      <c r="D2052" s="54" t="s">
        <v>9494</v>
      </c>
      <c r="E2052" s="50">
        <f t="shared" si="69"/>
        <v>28.054794520000002</v>
      </c>
      <c r="F2052" s="51">
        <f t="shared" si="69"/>
        <v>4.5356971599999998</v>
      </c>
      <c r="H2052" s="33"/>
      <c r="I2052" s="33"/>
      <c r="J2052" s="33"/>
      <c r="K2052" s="33"/>
      <c r="L2052" s="33"/>
      <c r="M2052" s="33"/>
      <c r="N2052" s="33"/>
      <c r="O2052" s="33"/>
      <c r="P2052" s="33"/>
      <c r="Q2052" s="33"/>
      <c r="R2052" s="33"/>
      <c r="S2052" s="33"/>
      <c r="T2052" s="33"/>
      <c r="U2052" s="33"/>
      <c r="V2052" s="33"/>
      <c r="W2052" s="33"/>
      <c r="X2052" s="33"/>
      <c r="Y2052" s="33"/>
      <c r="Z2052" s="33"/>
      <c r="AA2052" s="33"/>
      <c r="AB2052" s="33"/>
    </row>
    <row r="2053" spans="1:28" x14ac:dyDescent="0.15">
      <c r="A2053" s="46" t="s">
        <v>4157</v>
      </c>
      <c r="B2053" s="52" t="s">
        <v>7361</v>
      </c>
      <c r="C2053" s="53" t="s">
        <v>4158</v>
      </c>
      <c r="D2053" s="54" t="s">
        <v>9495</v>
      </c>
      <c r="E2053" s="50">
        <f t="shared" si="69"/>
        <v>28.068493149999998</v>
      </c>
      <c r="F2053" s="51">
        <f t="shared" si="69"/>
        <v>4.5361228999999996</v>
      </c>
      <c r="H2053" s="33"/>
      <c r="I2053" s="33"/>
      <c r="J2053" s="33"/>
      <c r="K2053" s="33"/>
      <c r="L2053" s="33"/>
      <c r="M2053" s="33"/>
      <c r="N2053" s="33"/>
      <c r="O2053" s="33"/>
      <c r="P2053" s="33"/>
      <c r="Q2053" s="33"/>
      <c r="R2053" s="33"/>
      <c r="S2053" s="33"/>
      <c r="T2053" s="33"/>
      <c r="U2053" s="33"/>
      <c r="V2053" s="33"/>
      <c r="W2053" s="33"/>
      <c r="X2053" s="33"/>
      <c r="Y2053" s="33"/>
      <c r="Z2053" s="33"/>
      <c r="AA2053" s="33"/>
      <c r="AB2053" s="33"/>
    </row>
    <row r="2054" spans="1:28" x14ac:dyDescent="0.15">
      <c r="A2054" s="46" t="s">
        <v>4159</v>
      </c>
      <c r="B2054" s="52" t="s">
        <v>7361</v>
      </c>
      <c r="C2054" s="53" t="s">
        <v>4160</v>
      </c>
      <c r="D2054" s="54" t="s">
        <v>9496</v>
      </c>
      <c r="E2054" s="50">
        <f t="shared" si="69"/>
        <v>28.082191779999999</v>
      </c>
      <c r="F2054" s="51">
        <f t="shared" si="69"/>
        <v>4.5365467800000001</v>
      </c>
      <c r="H2054" s="33"/>
      <c r="I2054" s="33"/>
      <c r="J2054" s="33"/>
      <c r="K2054" s="33"/>
      <c r="L2054" s="33"/>
      <c r="M2054" s="33"/>
      <c r="N2054" s="33"/>
      <c r="O2054" s="33"/>
      <c r="P2054" s="33"/>
      <c r="Q2054" s="33"/>
      <c r="R2054" s="33"/>
      <c r="S2054" s="33"/>
      <c r="T2054" s="33"/>
      <c r="U2054" s="33"/>
      <c r="V2054" s="33"/>
      <c r="W2054" s="33"/>
      <c r="X2054" s="33"/>
      <c r="Y2054" s="33"/>
      <c r="Z2054" s="33"/>
      <c r="AA2054" s="33"/>
      <c r="AB2054" s="33"/>
    </row>
    <row r="2055" spans="1:28" x14ac:dyDescent="0.15">
      <c r="A2055" s="46" t="s">
        <v>4161</v>
      </c>
      <c r="B2055" s="52" t="s">
        <v>7361</v>
      </c>
      <c r="C2055" s="53" t="s">
        <v>4162</v>
      </c>
      <c r="D2055" s="54" t="s">
        <v>9497</v>
      </c>
      <c r="E2055" s="50">
        <f t="shared" si="69"/>
        <v>28.095890409999999</v>
      </c>
      <c r="F2055" s="51">
        <f t="shared" si="69"/>
        <v>4.5369688899999998</v>
      </c>
      <c r="H2055" s="33"/>
      <c r="I2055" s="33"/>
      <c r="J2055" s="33"/>
      <c r="K2055" s="33"/>
      <c r="L2055" s="33"/>
      <c r="M2055" s="33"/>
      <c r="N2055" s="33"/>
      <c r="O2055" s="33"/>
      <c r="P2055" s="33"/>
      <c r="Q2055" s="33"/>
      <c r="R2055" s="33"/>
      <c r="S2055" s="33"/>
      <c r="T2055" s="33"/>
      <c r="U2055" s="33"/>
      <c r="V2055" s="33"/>
      <c r="W2055" s="33"/>
      <c r="X2055" s="33"/>
      <c r="Y2055" s="33"/>
      <c r="Z2055" s="33"/>
      <c r="AA2055" s="33"/>
      <c r="AB2055" s="33"/>
    </row>
    <row r="2056" spans="1:28" x14ac:dyDescent="0.15">
      <c r="A2056" s="46" t="s">
        <v>4163</v>
      </c>
      <c r="B2056" s="52" t="s">
        <v>7361</v>
      </c>
      <c r="C2056" s="53" t="s">
        <v>4164</v>
      </c>
      <c r="D2056" s="54" t="s">
        <v>9498</v>
      </c>
      <c r="E2056" s="50">
        <f t="shared" si="69"/>
        <v>28.109589039999999</v>
      </c>
      <c r="F2056" s="51">
        <f t="shared" si="69"/>
        <v>4.5373893399999998</v>
      </c>
      <c r="H2056" s="33"/>
      <c r="I2056" s="33"/>
      <c r="J2056" s="33"/>
      <c r="K2056" s="33"/>
      <c r="L2056" s="33"/>
      <c r="M2056" s="33"/>
      <c r="N2056" s="33"/>
      <c r="O2056" s="33"/>
      <c r="P2056" s="33"/>
      <c r="Q2056" s="33"/>
      <c r="R2056" s="33"/>
      <c r="S2056" s="33"/>
      <c r="T2056" s="33"/>
      <c r="U2056" s="33"/>
      <c r="V2056" s="33"/>
      <c r="W2056" s="33"/>
      <c r="X2056" s="33"/>
      <c r="Y2056" s="33"/>
      <c r="Z2056" s="33"/>
      <c r="AA2056" s="33"/>
      <c r="AB2056" s="33"/>
    </row>
    <row r="2057" spans="1:28" x14ac:dyDescent="0.15">
      <c r="A2057" s="46" t="s">
        <v>4165</v>
      </c>
      <c r="B2057" s="52" t="s">
        <v>7361</v>
      </c>
      <c r="C2057" s="53" t="s">
        <v>4166</v>
      </c>
      <c r="D2057" s="54" t="s">
        <v>9499</v>
      </c>
      <c r="E2057" s="50">
        <f t="shared" ref="E2057:F2087" si="70">VALUE(C2057)</f>
        <v>28.12328767</v>
      </c>
      <c r="F2057" s="51">
        <f t="shared" si="70"/>
        <v>4.5378082099999997</v>
      </c>
      <c r="H2057" s="33"/>
      <c r="I2057" s="33"/>
      <c r="J2057" s="33"/>
      <c r="K2057" s="33"/>
      <c r="L2057" s="33"/>
      <c r="M2057" s="33"/>
      <c r="N2057" s="33"/>
      <c r="O2057" s="33"/>
      <c r="P2057" s="33"/>
      <c r="Q2057" s="33"/>
      <c r="R2057" s="33"/>
      <c r="S2057" s="33"/>
      <c r="T2057" s="33"/>
      <c r="U2057" s="33"/>
      <c r="V2057" s="33"/>
      <c r="W2057" s="33"/>
      <c r="X2057" s="33"/>
      <c r="Y2057" s="33"/>
      <c r="Z2057" s="33"/>
      <c r="AA2057" s="33"/>
      <c r="AB2057" s="33"/>
    </row>
    <row r="2058" spans="1:28" x14ac:dyDescent="0.15">
      <c r="A2058" s="46" t="s">
        <v>4167</v>
      </c>
      <c r="B2058" s="52" t="s">
        <v>7361</v>
      </c>
      <c r="C2058" s="53" t="s">
        <v>4168</v>
      </c>
      <c r="D2058" s="54" t="s">
        <v>9500</v>
      </c>
      <c r="E2058" s="50">
        <f t="shared" si="70"/>
        <v>28.1369863</v>
      </c>
      <c r="F2058" s="51">
        <f t="shared" si="70"/>
        <v>4.5382256099999996</v>
      </c>
      <c r="H2058" s="33"/>
      <c r="I2058" s="33"/>
      <c r="J2058" s="33"/>
      <c r="K2058" s="33"/>
      <c r="L2058" s="33"/>
      <c r="M2058" s="33"/>
      <c r="N2058" s="33"/>
      <c r="O2058" s="33"/>
      <c r="P2058" s="33"/>
      <c r="Q2058" s="33"/>
      <c r="R2058" s="33"/>
      <c r="S2058" s="33"/>
      <c r="T2058" s="33"/>
      <c r="U2058" s="33"/>
      <c r="V2058" s="33"/>
      <c r="W2058" s="33"/>
      <c r="X2058" s="33"/>
      <c r="Y2058" s="33"/>
      <c r="Z2058" s="33"/>
      <c r="AA2058" s="33"/>
      <c r="AB2058" s="33"/>
    </row>
    <row r="2059" spans="1:28" x14ac:dyDescent="0.15">
      <c r="A2059" s="46" t="s">
        <v>4169</v>
      </c>
      <c r="B2059" s="52" t="s">
        <v>7361</v>
      </c>
      <c r="C2059" s="53" t="s">
        <v>4170</v>
      </c>
      <c r="D2059" s="54" t="s">
        <v>9501</v>
      </c>
      <c r="E2059" s="50">
        <f t="shared" si="70"/>
        <v>28.150684930000001</v>
      </c>
      <c r="F2059" s="51">
        <f t="shared" si="70"/>
        <v>4.5386416199999999</v>
      </c>
      <c r="H2059" s="33"/>
      <c r="I2059" s="33"/>
      <c r="J2059" s="33"/>
      <c r="K2059" s="33"/>
      <c r="L2059" s="33"/>
      <c r="M2059" s="33"/>
      <c r="N2059" s="33"/>
      <c r="O2059" s="33"/>
      <c r="P2059" s="33"/>
      <c r="Q2059" s="33"/>
      <c r="R2059" s="33"/>
      <c r="S2059" s="33"/>
      <c r="T2059" s="33"/>
      <c r="U2059" s="33"/>
      <c r="V2059" s="33"/>
      <c r="W2059" s="33"/>
      <c r="X2059" s="33"/>
      <c r="Y2059" s="33"/>
      <c r="Z2059" s="33"/>
      <c r="AA2059" s="33"/>
      <c r="AB2059" s="33"/>
    </row>
    <row r="2060" spans="1:28" x14ac:dyDescent="0.15">
      <c r="A2060" s="46" t="s">
        <v>4171</v>
      </c>
      <c r="B2060" s="52" t="s">
        <v>7361</v>
      </c>
      <c r="C2060" s="53" t="s">
        <v>4172</v>
      </c>
      <c r="D2060" s="54" t="s">
        <v>9502</v>
      </c>
      <c r="E2060" s="50">
        <f t="shared" si="70"/>
        <v>28.164383560000001</v>
      </c>
      <c r="F2060" s="51">
        <f t="shared" si="70"/>
        <v>4.53905636</v>
      </c>
      <c r="H2060" s="33"/>
      <c r="I2060" s="33"/>
      <c r="J2060" s="33"/>
      <c r="K2060" s="33"/>
      <c r="L2060" s="33"/>
      <c r="M2060" s="33"/>
      <c r="N2060" s="33"/>
      <c r="O2060" s="33"/>
      <c r="P2060" s="33"/>
      <c r="Q2060" s="33"/>
      <c r="R2060" s="33"/>
      <c r="S2060" s="33"/>
      <c r="T2060" s="33"/>
      <c r="U2060" s="33"/>
      <c r="V2060" s="33"/>
      <c r="W2060" s="33"/>
      <c r="X2060" s="33"/>
      <c r="Y2060" s="33"/>
      <c r="Z2060" s="33"/>
      <c r="AA2060" s="33"/>
      <c r="AB2060" s="33"/>
    </row>
    <row r="2061" spans="1:28" x14ac:dyDescent="0.15">
      <c r="A2061" s="46" t="s">
        <v>4173</v>
      </c>
      <c r="B2061" s="52" t="s">
        <v>7361</v>
      </c>
      <c r="C2061" s="53" t="s">
        <v>4174</v>
      </c>
      <c r="D2061" s="54" t="s">
        <v>9503</v>
      </c>
      <c r="E2061" s="50">
        <f t="shared" si="70"/>
        <v>28.178082190000001</v>
      </c>
      <c r="F2061" s="51">
        <f t="shared" si="70"/>
        <v>4.5394699000000003</v>
      </c>
      <c r="H2061" s="33"/>
      <c r="I2061" s="33"/>
      <c r="J2061" s="33"/>
      <c r="K2061" s="33"/>
      <c r="L2061" s="33"/>
      <c r="M2061" s="33"/>
      <c r="N2061" s="33"/>
      <c r="O2061" s="33"/>
      <c r="P2061" s="33"/>
      <c r="Q2061" s="33"/>
      <c r="R2061" s="33"/>
      <c r="S2061" s="33"/>
      <c r="T2061" s="33"/>
      <c r="U2061" s="33"/>
      <c r="V2061" s="33"/>
      <c r="W2061" s="33"/>
      <c r="X2061" s="33"/>
      <c r="Y2061" s="33"/>
      <c r="Z2061" s="33"/>
      <c r="AA2061" s="33"/>
      <c r="AB2061" s="33"/>
    </row>
    <row r="2062" spans="1:28" x14ac:dyDescent="0.15">
      <c r="A2062" s="46" t="s">
        <v>4175</v>
      </c>
      <c r="B2062" s="52" t="s">
        <v>7361</v>
      </c>
      <c r="C2062" s="53" t="s">
        <v>4176</v>
      </c>
      <c r="D2062" s="54" t="s">
        <v>9504</v>
      </c>
      <c r="E2062" s="50">
        <f t="shared" si="70"/>
        <v>28.191780820000002</v>
      </c>
      <c r="F2062" s="51">
        <f t="shared" si="70"/>
        <v>4.53988236</v>
      </c>
      <c r="H2062" s="33"/>
      <c r="I2062" s="33"/>
      <c r="J2062" s="33"/>
      <c r="K2062" s="33"/>
      <c r="L2062" s="33"/>
      <c r="M2062" s="33"/>
      <c r="N2062" s="33"/>
      <c r="O2062" s="33"/>
      <c r="P2062" s="33"/>
      <c r="Q2062" s="33"/>
      <c r="R2062" s="33"/>
      <c r="S2062" s="33"/>
      <c r="T2062" s="33"/>
      <c r="U2062" s="33"/>
      <c r="V2062" s="33"/>
      <c r="W2062" s="33"/>
      <c r="X2062" s="33"/>
      <c r="Y2062" s="33"/>
      <c r="Z2062" s="33"/>
      <c r="AA2062" s="33"/>
      <c r="AB2062" s="33"/>
    </row>
    <row r="2063" spans="1:28" x14ac:dyDescent="0.15">
      <c r="A2063" s="46" t="s">
        <v>4177</v>
      </c>
      <c r="B2063" s="52" t="s">
        <v>7361</v>
      </c>
      <c r="C2063" s="53" t="s">
        <v>4178</v>
      </c>
      <c r="D2063" s="54" t="s">
        <v>9505</v>
      </c>
      <c r="E2063" s="50">
        <f t="shared" si="70"/>
        <v>28.205479449999999</v>
      </c>
      <c r="F2063" s="51">
        <f t="shared" si="70"/>
        <v>4.5402938199999996</v>
      </c>
      <c r="H2063" s="33"/>
      <c r="I2063" s="33"/>
      <c r="J2063" s="33"/>
      <c r="K2063" s="33"/>
      <c r="L2063" s="33"/>
      <c r="M2063" s="33"/>
      <c r="N2063" s="33"/>
      <c r="O2063" s="33"/>
      <c r="P2063" s="33"/>
      <c r="Q2063" s="33"/>
      <c r="R2063" s="33"/>
      <c r="S2063" s="33"/>
      <c r="T2063" s="33"/>
      <c r="U2063" s="33"/>
      <c r="V2063" s="33"/>
      <c r="W2063" s="33"/>
      <c r="X2063" s="33"/>
      <c r="Y2063" s="33"/>
      <c r="Z2063" s="33"/>
      <c r="AA2063" s="33"/>
      <c r="AB2063" s="33"/>
    </row>
    <row r="2064" spans="1:28" x14ac:dyDescent="0.15">
      <c r="A2064" s="46" t="s">
        <v>4179</v>
      </c>
      <c r="B2064" s="52" t="s">
        <v>7361</v>
      </c>
      <c r="C2064" s="53" t="s">
        <v>4180</v>
      </c>
      <c r="D2064" s="54" t="s">
        <v>9506</v>
      </c>
      <c r="E2064" s="50">
        <f t="shared" si="70"/>
        <v>28.219178079999999</v>
      </c>
      <c r="F2064" s="51">
        <f t="shared" si="70"/>
        <v>4.5407043800000002</v>
      </c>
      <c r="H2064" s="33"/>
      <c r="I2064" s="33"/>
      <c r="J2064" s="33"/>
      <c r="K2064" s="33"/>
      <c r="L2064" s="33"/>
      <c r="M2064" s="33"/>
      <c r="N2064" s="33"/>
      <c r="O2064" s="33"/>
      <c r="P2064" s="33"/>
      <c r="Q2064" s="33"/>
      <c r="R2064" s="33"/>
      <c r="S2064" s="33"/>
      <c r="T2064" s="33"/>
      <c r="U2064" s="33"/>
      <c r="V2064" s="33"/>
      <c r="W2064" s="33"/>
      <c r="X2064" s="33"/>
      <c r="Y2064" s="33"/>
      <c r="Z2064" s="33"/>
      <c r="AA2064" s="33"/>
      <c r="AB2064" s="33"/>
    </row>
    <row r="2065" spans="1:28" x14ac:dyDescent="0.15">
      <c r="A2065" s="46" t="s">
        <v>4181</v>
      </c>
      <c r="B2065" s="52" t="s">
        <v>7361</v>
      </c>
      <c r="C2065" s="53" t="s">
        <v>4182</v>
      </c>
      <c r="D2065" s="54" t="s">
        <v>9507</v>
      </c>
      <c r="E2065" s="50">
        <f t="shared" si="70"/>
        <v>28.232876709999999</v>
      </c>
      <c r="F2065" s="51">
        <f t="shared" si="70"/>
        <v>4.5411141400000004</v>
      </c>
      <c r="H2065" s="33"/>
      <c r="I2065" s="33"/>
      <c r="J2065" s="33"/>
      <c r="K2065" s="33"/>
      <c r="L2065" s="33"/>
      <c r="M2065" s="33"/>
      <c r="N2065" s="33"/>
      <c r="O2065" s="33"/>
      <c r="P2065" s="33"/>
      <c r="Q2065" s="33"/>
      <c r="R2065" s="33"/>
      <c r="S2065" s="33"/>
      <c r="T2065" s="33"/>
      <c r="U2065" s="33"/>
      <c r="V2065" s="33"/>
      <c r="W2065" s="33"/>
      <c r="X2065" s="33"/>
      <c r="Y2065" s="33"/>
      <c r="Z2065" s="33"/>
      <c r="AA2065" s="33"/>
      <c r="AB2065" s="33"/>
    </row>
    <row r="2066" spans="1:28" x14ac:dyDescent="0.15">
      <c r="A2066" s="46" t="s">
        <v>4183</v>
      </c>
      <c r="B2066" s="52" t="s">
        <v>7361</v>
      </c>
      <c r="C2066" s="53" t="s">
        <v>4184</v>
      </c>
      <c r="D2066" s="54" t="s">
        <v>9508</v>
      </c>
      <c r="E2066" s="50">
        <f t="shared" si="70"/>
        <v>28.24657534</v>
      </c>
      <c r="F2066" s="51">
        <f t="shared" si="70"/>
        <v>4.5415231900000004</v>
      </c>
      <c r="H2066" s="33"/>
      <c r="I2066" s="33"/>
      <c r="J2066" s="33"/>
      <c r="K2066" s="33"/>
      <c r="L2066" s="33"/>
      <c r="M2066" s="33"/>
      <c r="N2066" s="33"/>
      <c r="O2066" s="33"/>
      <c r="P2066" s="33"/>
      <c r="Q2066" s="33"/>
      <c r="R2066" s="33"/>
      <c r="S2066" s="33"/>
      <c r="T2066" s="33"/>
      <c r="U2066" s="33"/>
      <c r="V2066" s="33"/>
      <c r="W2066" s="33"/>
      <c r="X2066" s="33"/>
      <c r="Y2066" s="33"/>
      <c r="Z2066" s="33"/>
      <c r="AA2066" s="33"/>
      <c r="AB2066" s="33"/>
    </row>
    <row r="2067" spans="1:28" x14ac:dyDescent="0.15">
      <c r="A2067" s="46" t="s">
        <v>4185</v>
      </c>
      <c r="B2067" s="52" t="s">
        <v>7361</v>
      </c>
      <c r="C2067" s="53" t="s">
        <v>4186</v>
      </c>
      <c r="D2067" s="54" t="s">
        <v>9509</v>
      </c>
      <c r="E2067" s="50">
        <f t="shared" si="70"/>
        <v>28.26027397</v>
      </c>
      <c r="F2067" s="51">
        <f t="shared" si="70"/>
        <v>4.5419316399999996</v>
      </c>
      <c r="H2067" s="33"/>
      <c r="I2067" s="33"/>
      <c r="J2067" s="33"/>
      <c r="K2067" s="33"/>
      <c r="L2067" s="33"/>
      <c r="M2067" s="33"/>
      <c r="N2067" s="33"/>
      <c r="O2067" s="33"/>
      <c r="P2067" s="33"/>
      <c r="Q2067" s="33"/>
      <c r="R2067" s="33"/>
      <c r="S2067" s="33"/>
      <c r="T2067" s="33"/>
      <c r="U2067" s="33"/>
      <c r="V2067" s="33"/>
      <c r="W2067" s="33"/>
      <c r="X2067" s="33"/>
      <c r="Y2067" s="33"/>
      <c r="Z2067" s="33"/>
      <c r="AA2067" s="33"/>
      <c r="AB2067" s="33"/>
    </row>
    <row r="2068" spans="1:28" x14ac:dyDescent="0.15">
      <c r="A2068" s="46" t="s">
        <v>4187</v>
      </c>
      <c r="B2068" s="52" t="s">
        <v>7361</v>
      </c>
      <c r="C2068" s="53" t="s">
        <v>4188</v>
      </c>
      <c r="D2068" s="54" t="s">
        <v>9510</v>
      </c>
      <c r="E2068" s="50">
        <f t="shared" si="70"/>
        <v>28.2739726</v>
      </c>
      <c r="F2068" s="51">
        <f t="shared" si="70"/>
        <v>4.5423395700000002</v>
      </c>
      <c r="H2068" s="33"/>
      <c r="I2068" s="33"/>
      <c r="J2068" s="33"/>
      <c r="K2068" s="33"/>
      <c r="L2068" s="33"/>
      <c r="M2068" s="33"/>
      <c r="N2068" s="33"/>
      <c r="O2068" s="33"/>
      <c r="P2068" s="33"/>
      <c r="Q2068" s="33"/>
      <c r="R2068" s="33"/>
      <c r="S2068" s="33"/>
      <c r="T2068" s="33"/>
      <c r="U2068" s="33"/>
      <c r="V2068" s="33"/>
      <c r="W2068" s="33"/>
      <c r="X2068" s="33"/>
      <c r="Y2068" s="33"/>
      <c r="Z2068" s="33"/>
      <c r="AA2068" s="33"/>
      <c r="AB2068" s="33"/>
    </row>
    <row r="2069" spans="1:28" x14ac:dyDescent="0.15">
      <c r="A2069" s="46" t="s">
        <v>4189</v>
      </c>
      <c r="B2069" s="52" t="s">
        <v>7361</v>
      </c>
      <c r="C2069" s="53" t="s">
        <v>4190</v>
      </c>
      <c r="D2069" s="54" t="s">
        <v>9511</v>
      </c>
      <c r="E2069" s="50">
        <f t="shared" si="70"/>
        <v>28.287671230000001</v>
      </c>
      <c r="F2069" s="51">
        <f t="shared" si="70"/>
        <v>4.5427470799999998</v>
      </c>
      <c r="H2069" s="33"/>
      <c r="I2069" s="33"/>
      <c r="J2069" s="33"/>
      <c r="K2069" s="33"/>
      <c r="L2069" s="33"/>
      <c r="M2069" s="33"/>
      <c r="N2069" s="33"/>
      <c r="O2069" s="33"/>
      <c r="P2069" s="33"/>
      <c r="Q2069" s="33"/>
      <c r="R2069" s="33"/>
      <c r="S2069" s="33"/>
      <c r="T2069" s="33"/>
      <c r="U2069" s="33"/>
      <c r="V2069" s="33"/>
      <c r="W2069" s="33"/>
      <c r="X2069" s="33"/>
      <c r="Y2069" s="33"/>
      <c r="Z2069" s="33"/>
      <c r="AA2069" s="33"/>
      <c r="AB2069" s="33"/>
    </row>
    <row r="2070" spans="1:28" x14ac:dyDescent="0.15">
      <c r="A2070" s="46" t="s">
        <v>4191</v>
      </c>
      <c r="B2070" s="52" t="s">
        <v>7361</v>
      </c>
      <c r="C2070" s="53" t="s">
        <v>4192</v>
      </c>
      <c r="D2070" s="54" t="s">
        <v>9512</v>
      </c>
      <c r="E2070" s="50">
        <f t="shared" si="70"/>
        <v>28.301369860000001</v>
      </c>
      <c r="F2070" s="51">
        <f t="shared" si="70"/>
        <v>4.5431542699999996</v>
      </c>
      <c r="H2070" s="33"/>
      <c r="I2070" s="33"/>
      <c r="J2070" s="33"/>
      <c r="K2070" s="33"/>
      <c r="L2070" s="33"/>
      <c r="M2070" s="33"/>
      <c r="N2070" s="33"/>
      <c r="O2070" s="33"/>
      <c r="P2070" s="33"/>
      <c r="Q2070" s="33"/>
      <c r="R2070" s="33"/>
      <c r="S2070" s="33"/>
      <c r="T2070" s="33"/>
      <c r="U2070" s="33"/>
      <c r="V2070" s="33"/>
      <c r="W2070" s="33"/>
      <c r="X2070" s="33"/>
      <c r="Y2070" s="33"/>
      <c r="Z2070" s="33"/>
      <c r="AA2070" s="33"/>
      <c r="AB2070" s="33"/>
    </row>
    <row r="2071" spans="1:28" x14ac:dyDescent="0.15">
      <c r="A2071" s="46" t="s">
        <v>4193</v>
      </c>
      <c r="B2071" s="52" t="s">
        <v>7361</v>
      </c>
      <c r="C2071" s="53" t="s">
        <v>4194</v>
      </c>
      <c r="D2071" s="54" t="s">
        <v>9513</v>
      </c>
      <c r="E2071" s="50">
        <f t="shared" si="70"/>
        <v>28.315068490000002</v>
      </c>
      <c r="F2071" s="51">
        <f t="shared" si="70"/>
        <v>4.5435612399999998</v>
      </c>
      <c r="H2071" s="33"/>
      <c r="I2071" s="33"/>
      <c r="J2071" s="33"/>
      <c r="K2071" s="33"/>
      <c r="L2071" s="33"/>
      <c r="M2071" s="33"/>
      <c r="N2071" s="33"/>
      <c r="O2071" s="33"/>
      <c r="P2071" s="33"/>
      <c r="Q2071" s="33"/>
      <c r="R2071" s="33"/>
      <c r="S2071" s="33"/>
      <c r="T2071" s="33"/>
      <c r="U2071" s="33"/>
      <c r="V2071" s="33"/>
      <c r="W2071" s="33"/>
      <c r="X2071" s="33"/>
      <c r="Y2071" s="33"/>
      <c r="Z2071" s="33"/>
      <c r="AA2071" s="33"/>
      <c r="AB2071" s="33"/>
    </row>
    <row r="2072" spans="1:28" x14ac:dyDescent="0.15">
      <c r="A2072" s="46" t="s">
        <v>4195</v>
      </c>
      <c r="B2072" s="52" t="s">
        <v>7361</v>
      </c>
      <c r="C2072" s="53" t="s">
        <v>4196</v>
      </c>
      <c r="D2072" s="54" t="s">
        <v>9514</v>
      </c>
      <c r="E2072" s="50">
        <f t="shared" si="70"/>
        <v>28.328767119999998</v>
      </c>
      <c r="F2072" s="51">
        <f t="shared" si="70"/>
        <v>4.54396808</v>
      </c>
      <c r="H2072" s="33"/>
      <c r="I2072" s="33"/>
      <c r="J2072" s="33"/>
      <c r="K2072" s="33"/>
      <c r="L2072" s="33"/>
      <c r="M2072" s="33"/>
      <c r="N2072" s="33"/>
      <c r="O2072" s="33"/>
      <c r="P2072" s="33"/>
      <c r="Q2072" s="33"/>
      <c r="R2072" s="33"/>
      <c r="S2072" s="33"/>
      <c r="T2072" s="33"/>
      <c r="U2072" s="33"/>
      <c r="V2072" s="33"/>
      <c r="W2072" s="33"/>
      <c r="X2072" s="33"/>
      <c r="Y2072" s="33"/>
      <c r="Z2072" s="33"/>
      <c r="AA2072" s="33"/>
      <c r="AB2072" s="33"/>
    </row>
    <row r="2073" spans="1:28" x14ac:dyDescent="0.15">
      <c r="A2073" s="46" t="s">
        <v>4197</v>
      </c>
      <c r="B2073" s="52" t="s">
        <v>7361</v>
      </c>
      <c r="C2073" s="53" t="s">
        <v>4198</v>
      </c>
      <c r="D2073" s="54" t="s">
        <v>9515</v>
      </c>
      <c r="E2073" s="50">
        <f t="shared" si="70"/>
        <v>28.342465749999999</v>
      </c>
      <c r="F2073" s="51">
        <f t="shared" si="70"/>
        <v>4.5443748900000003</v>
      </c>
      <c r="H2073" s="33"/>
      <c r="I2073" s="33"/>
      <c r="J2073" s="33"/>
      <c r="K2073" s="33"/>
      <c r="L2073" s="33"/>
      <c r="M2073" s="33"/>
      <c r="N2073" s="33"/>
      <c r="O2073" s="33"/>
      <c r="P2073" s="33"/>
      <c r="Q2073" s="33"/>
      <c r="R2073" s="33"/>
      <c r="S2073" s="33"/>
      <c r="T2073" s="33"/>
      <c r="U2073" s="33"/>
      <c r="V2073" s="33"/>
      <c r="W2073" s="33"/>
      <c r="X2073" s="33"/>
      <c r="Y2073" s="33"/>
      <c r="Z2073" s="33"/>
      <c r="AA2073" s="33"/>
      <c r="AB2073" s="33"/>
    </row>
    <row r="2074" spans="1:28" x14ac:dyDescent="0.15">
      <c r="A2074" s="46" t="s">
        <v>4199</v>
      </c>
      <c r="B2074" s="52" t="s">
        <v>7361</v>
      </c>
      <c r="C2074" s="53" t="s">
        <v>4200</v>
      </c>
      <c r="D2074" s="54" t="s">
        <v>9516</v>
      </c>
      <c r="E2074" s="50">
        <f t="shared" si="70"/>
        <v>28.356164379999999</v>
      </c>
      <c r="F2074" s="51">
        <f t="shared" si="70"/>
        <v>4.5447817600000002</v>
      </c>
      <c r="H2074" s="33"/>
      <c r="I2074" s="33"/>
      <c r="J2074" s="33"/>
      <c r="K2074" s="33"/>
      <c r="L2074" s="33"/>
      <c r="M2074" s="33"/>
      <c r="N2074" s="33"/>
      <c r="O2074" s="33"/>
      <c r="P2074" s="33"/>
      <c r="Q2074" s="33"/>
      <c r="R2074" s="33"/>
      <c r="S2074" s="33"/>
      <c r="T2074" s="33"/>
      <c r="U2074" s="33"/>
      <c r="V2074" s="33"/>
      <c r="W2074" s="33"/>
      <c r="X2074" s="33"/>
      <c r="Y2074" s="33"/>
      <c r="Z2074" s="33"/>
      <c r="AA2074" s="33"/>
      <c r="AB2074" s="33"/>
    </row>
    <row r="2075" spans="1:28" x14ac:dyDescent="0.15">
      <c r="A2075" s="46" t="s">
        <v>4201</v>
      </c>
      <c r="B2075" s="52" t="s">
        <v>7361</v>
      </c>
      <c r="C2075" s="53" t="s">
        <v>4202</v>
      </c>
      <c r="D2075" s="54" t="s">
        <v>9517</v>
      </c>
      <c r="E2075" s="50">
        <f t="shared" si="70"/>
        <v>28.36986301</v>
      </c>
      <c r="F2075" s="51">
        <f t="shared" si="70"/>
        <v>4.5451887900000001</v>
      </c>
      <c r="H2075" s="33"/>
      <c r="I2075" s="33"/>
      <c r="J2075" s="33"/>
      <c r="K2075" s="33"/>
      <c r="L2075" s="33"/>
      <c r="M2075" s="33"/>
      <c r="N2075" s="33"/>
      <c r="O2075" s="33"/>
      <c r="P2075" s="33"/>
      <c r="Q2075" s="33"/>
      <c r="R2075" s="33"/>
      <c r="S2075" s="33"/>
      <c r="T2075" s="33"/>
      <c r="U2075" s="33"/>
      <c r="V2075" s="33"/>
      <c r="W2075" s="33"/>
      <c r="X2075" s="33"/>
      <c r="Y2075" s="33"/>
      <c r="Z2075" s="33"/>
      <c r="AA2075" s="33"/>
      <c r="AB2075" s="33"/>
    </row>
    <row r="2076" spans="1:28" x14ac:dyDescent="0.15">
      <c r="A2076" s="46" t="s">
        <v>4203</v>
      </c>
      <c r="B2076" s="52" t="s">
        <v>7361</v>
      </c>
      <c r="C2076" s="53" t="s">
        <v>4204</v>
      </c>
      <c r="D2076" s="54" t="s">
        <v>9518</v>
      </c>
      <c r="E2076" s="50">
        <f t="shared" si="70"/>
        <v>28.38356164</v>
      </c>
      <c r="F2076" s="51">
        <f t="shared" si="70"/>
        <v>4.5455960800000001</v>
      </c>
      <c r="H2076" s="33"/>
      <c r="I2076" s="33"/>
      <c r="J2076" s="33"/>
      <c r="K2076" s="33"/>
      <c r="L2076" s="33"/>
      <c r="M2076" s="33"/>
      <c r="N2076" s="33"/>
      <c r="O2076" s="33"/>
      <c r="P2076" s="33"/>
      <c r="Q2076" s="33"/>
      <c r="R2076" s="33"/>
      <c r="S2076" s="33"/>
      <c r="T2076" s="33"/>
      <c r="U2076" s="33"/>
      <c r="V2076" s="33"/>
      <c r="W2076" s="33"/>
      <c r="X2076" s="33"/>
      <c r="Y2076" s="33"/>
      <c r="Z2076" s="33"/>
      <c r="AA2076" s="33"/>
      <c r="AB2076" s="33"/>
    </row>
    <row r="2077" spans="1:28" x14ac:dyDescent="0.15">
      <c r="A2077" s="46" t="s">
        <v>4205</v>
      </c>
      <c r="B2077" s="52" t="s">
        <v>7361</v>
      </c>
      <c r="C2077" s="53" t="s">
        <v>4206</v>
      </c>
      <c r="D2077" s="54" t="s">
        <v>9519</v>
      </c>
      <c r="E2077" s="50">
        <f t="shared" si="70"/>
        <v>28.39726027</v>
      </c>
      <c r="F2077" s="51">
        <f t="shared" si="70"/>
        <v>4.5460037199999999</v>
      </c>
      <c r="H2077" s="33"/>
      <c r="I2077" s="33"/>
      <c r="J2077" s="33"/>
      <c r="K2077" s="33"/>
      <c r="L2077" s="33"/>
      <c r="M2077" s="33"/>
      <c r="N2077" s="33"/>
      <c r="O2077" s="33"/>
      <c r="P2077" s="33"/>
      <c r="Q2077" s="33"/>
      <c r="R2077" s="33"/>
      <c r="S2077" s="33"/>
      <c r="T2077" s="33"/>
      <c r="U2077" s="33"/>
      <c r="V2077" s="33"/>
      <c r="W2077" s="33"/>
      <c r="X2077" s="33"/>
      <c r="Y2077" s="33"/>
      <c r="Z2077" s="33"/>
      <c r="AA2077" s="33"/>
      <c r="AB2077" s="33"/>
    </row>
    <row r="2078" spans="1:28" x14ac:dyDescent="0.15">
      <c r="A2078" s="46" t="s">
        <v>4207</v>
      </c>
      <c r="B2078" s="52" t="s">
        <v>7361</v>
      </c>
      <c r="C2078" s="53" t="s">
        <v>4208</v>
      </c>
      <c r="D2078" s="54" t="s">
        <v>9520</v>
      </c>
      <c r="E2078" s="50">
        <f t="shared" si="70"/>
        <v>28.410958900000001</v>
      </c>
      <c r="F2078" s="51">
        <f t="shared" si="70"/>
        <v>4.5464118100000004</v>
      </c>
      <c r="H2078" s="33"/>
      <c r="I2078" s="33"/>
      <c r="J2078" s="33"/>
      <c r="K2078" s="33"/>
      <c r="L2078" s="33"/>
      <c r="M2078" s="33"/>
      <c r="N2078" s="33"/>
      <c r="O2078" s="33"/>
      <c r="P2078" s="33"/>
      <c r="Q2078" s="33"/>
      <c r="R2078" s="33"/>
      <c r="S2078" s="33"/>
      <c r="T2078" s="33"/>
      <c r="U2078" s="33"/>
      <c r="V2078" s="33"/>
      <c r="W2078" s="33"/>
      <c r="X2078" s="33"/>
      <c r="Y2078" s="33"/>
      <c r="Z2078" s="33"/>
      <c r="AA2078" s="33"/>
      <c r="AB2078" s="33"/>
    </row>
    <row r="2079" spans="1:28" x14ac:dyDescent="0.15">
      <c r="A2079" s="46" t="s">
        <v>4209</v>
      </c>
      <c r="B2079" s="52" t="s">
        <v>7361</v>
      </c>
      <c r="C2079" s="53" t="s">
        <v>4210</v>
      </c>
      <c r="D2079" s="54" t="s">
        <v>9521</v>
      </c>
      <c r="E2079" s="50">
        <f t="shared" si="70"/>
        <v>28.424657530000001</v>
      </c>
      <c r="F2079" s="51">
        <f t="shared" si="70"/>
        <v>4.5468204500000002</v>
      </c>
      <c r="H2079" s="33"/>
      <c r="I2079" s="33"/>
      <c r="J2079" s="33"/>
      <c r="K2079" s="33"/>
      <c r="L2079" s="33"/>
      <c r="M2079" s="33"/>
      <c r="N2079" s="33"/>
      <c r="O2079" s="33"/>
      <c r="P2079" s="33"/>
      <c r="Q2079" s="33"/>
      <c r="R2079" s="33"/>
      <c r="S2079" s="33"/>
      <c r="T2079" s="33"/>
      <c r="U2079" s="33"/>
      <c r="V2079" s="33"/>
      <c r="W2079" s="33"/>
      <c r="X2079" s="33"/>
      <c r="Y2079" s="33"/>
      <c r="Z2079" s="33"/>
      <c r="AA2079" s="33"/>
      <c r="AB2079" s="33"/>
    </row>
    <row r="2080" spans="1:28" x14ac:dyDescent="0.15">
      <c r="A2080" s="46" t="s">
        <v>4211</v>
      </c>
      <c r="B2080" s="52" t="s">
        <v>7361</v>
      </c>
      <c r="C2080" s="53" t="s">
        <v>4212</v>
      </c>
      <c r="D2080" s="54" t="s">
        <v>9522</v>
      </c>
      <c r="E2080" s="50">
        <f t="shared" si="70"/>
        <v>28.438356160000001</v>
      </c>
      <c r="F2080" s="51">
        <f t="shared" si="70"/>
        <v>4.5472297299999997</v>
      </c>
      <c r="H2080" s="33"/>
      <c r="I2080" s="33"/>
      <c r="J2080" s="33"/>
      <c r="K2080" s="33"/>
      <c r="L2080" s="33"/>
      <c r="M2080" s="33"/>
      <c r="N2080" s="33"/>
      <c r="O2080" s="33"/>
      <c r="P2080" s="33"/>
      <c r="Q2080" s="33"/>
      <c r="R2080" s="33"/>
      <c r="S2080" s="33"/>
      <c r="T2080" s="33"/>
      <c r="U2080" s="33"/>
      <c r="V2080" s="33"/>
      <c r="W2080" s="33"/>
      <c r="X2080" s="33"/>
      <c r="Y2080" s="33"/>
      <c r="Z2080" s="33"/>
      <c r="AA2080" s="33"/>
      <c r="AB2080" s="33"/>
    </row>
    <row r="2081" spans="1:28" x14ac:dyDescent="0.15">
      <c r="A2081" s="46" t="s">
        <v>4213</v>
      </c>
      <c r="B2081" s="52" t="s">
        <v>7361</v>
      </c>
      <c r="C2081" s="53" t="s">
        <v>4214</v>
      </c>
      <c r="D2081" s="54" t="s">
        <v>9523</v>
      </c>
      <c r="E2081" s="50">
        <f t="shared" si="70"/>
        <v>28.452054789999998</v>
      </c>
      <c r="F2081" s="51">
        <f t="shared" si="70"/>
        <v>4.5476397400000002</v>
      </c>
      <c r="H2081" s="33"/>
      <c r="I2081" s="33"/>
      <c r="J2081" s="33"/>
      <c r="K2081" s="33"/>
      <c r="L2081" s="33"/>
      <c r="M2081" s="33"/>
      <c r="N2081" s="33"/>
      <c r="O2081" s="33"/>
      <c r="P2081" s="33"/>
      <c r="Q2081" s="33"/>
      <c r="R2081" s="33"/>
      <c r="S2081" s="33"/>
      <c r="T2081" s="33"/>
      <c r="U2081" s="33"/>
      <c r="V2081" s="33"/>
      <c r="W2081" s="33"/>
      <c r="X2081" s="33"/>
      <c r="Y2081" s="33"/>
      <c r="Z2081" s="33"/>
      <c r="AA2081" s="33"/>
      <c r="AB2081" s="33"/>
    </row>
    <row r="2082" spans="1:28" x14ac:dyDescent="0.15">
      <c r="A2082" s="46" t="s">
        <v>4215</v>
      </c>
      <c r="B2082" s="52" t="s">
        <v>7361</v>
      </c>
      <c r="C2082" s="53" t="s">
        <v>4216</v>
      </c>
      <c r="D2082" s="54" t="s">
        <v>9524</v>
      </c>
      <c r="E2082" s="50">
        <f t="shared" si="70"/>
        <v>28.465753419999999</v>
      </c>
      <c r="F2082" s="51">
        <f t="shared" si="70"/>
        <v>4.5480505899999999</v>
      </c>
      <c r="H2082" s="33"/>
      <c r="I2082" s="33"/>
      <c r="J2082" s="33"/>
      <c r="K2082" s="33"/>
      <c r="L2082" s="33"/>
      <c r="M2082" s="33"/>
      <c r="N2082" s="33"/>
      <c r="O2082" s="33"/>
      <c r="P2082" s="33"/>
      <c r="Q2082" s="33"/>
      <c r="R2082" s="33"/>
      <c r="S2082" s="33"/>
      <c r="T2082" s="33"/>
      <c r="U2082" s="33"/>
      <c r="V2082" s="33"/>
      <c r="W2082" s="33"/>
      <c r="X2082" s="33"/>
      <c r="Y2082" s="33"/>
      <c r="Z2082" s="33"/>
      <c r="AA2082" s="33"/>
      <c r="AB2082" s="33"/>
    </row>
    <row r="2083" spans="1:28" x14ac:dyDescent="0.15">
      <c r="A2083" s="46" t="s">
        <v>4217</v>
      </c>
      <c r="B2083" s="52" t="s">
        <v>7361</v>
      </c>
      <c r="C2083" s="53" t="s">
        <v>4218</v>
      </c>
      <c r="D2083" s="54" t="s">
        <v>9525</v>
      </c>
      <c r="E2083" s="50">
        <f t="shared" si="70"/>
        <v>28.479452049999999</v>
      </c>
      <c r="F2083" s="51">
        <f t="shared" si="70"/>
        <v>4.5484623700000002</v>
      </c>
      <c r="H2083" s="33"/>
      <c r="I2083" s="33"/>
      <c r="J2083" s="33"/>
      <c r="K2083" s="33"/>
      <c r="L2083" s="33"/>
      <c r="M2083" s="33"/>
      <c r="N2083" s="33"/>
      <c r="O2083" s="33"/>
      <c r="P2083" s="33"/>
      <c r="Q2083" s="33"/>
      <c r="R2083" s="33"/>
      <c r="S2083" s="33"/>
      <c r="T2083" s="33"/>
      <c r="U2083" s="33"/>
      <c r="V2083" s="33"/>
      <c r="W2083" s="33"/>
      <c r="X2083" s="33"/>
      <c r="Y2083" s="33"/>
      <c r="Z2083" s="33"/>
      <c r="AA2083" s="33"/>
      <c r="AB2083" s="33"/>
    </row>
    <row r="2084" spans="1:28" x14ac:dyDescent="0.15">
      <c r="A2084" s="46" t="s">
        <v>4219</v>
      </c>
      <c r="B2084" s="52" t="s">
        <v>7361</v>
      </c>
      <c r="C2084" s="53" t="s">
        <v>4220</v>
      </c>
      <c r="D2084" s="54" t="s">
        <v>9526</v>
      </c>
      <c r="E2084" s="50">
        <f t="shared" si="70"/>
        <v>28.493150679999999</v>
      </c>
      <c r="F2084" s="51">
        <f t="shared" si="70"/>
        <v>4.5488751799999996</v>
      </c>
      <c r="H2084" s="33"/>
      <c r="I2084" s="33"/>
      <c r="J2084" s="33"/>
      <c r="K2084" s="33"/>
      <c r="L2084" s="33"/>
      <c r="M2084" s="33"/>
      <c r="N2084" s="33"/>
      <c r="O2084" s="33"/>
      <c r="P2084" s="33"/>
      <c r="Q2084" s="33"/>
      <c r="R2084" s="33"/>
      <c r="S2084" s="33"/>
      <c r="T2084" s="33"/>
      <c r="U2084" s="33"/>
      <c r="V2084" s="33"/>
      <c r="W2084" s="33"/>
      <c r="X2084" s="33"/>
      <c r="Y2084" s="33"/>
      <c r="Z2084" s="33"/>
      <c r="AA2084" s="33"/>
      <c r="AB2084" s="33"/>
    </row>
    <row r="2085" spans="1:28" x14ac:dyDescent="0.15">
      <c r="A2085" s="46" t="s">
        <v>4221</v>
      </c>
      <c r="B2085" s="52" t="s">
        <v>7361</v>
      </c>
      <c r="C2085" s="53" t="s">
        <v>4222</v>
      </c>
      <c r="D2085" s="54" t="s">
        <v>9527</v>
      </c>
      <c r="E2085" s="50">
        <f t="shared" si="70"/>
        <v>28.506849320000001</v>
      </c>
      <c r="F2085" s="51">
        <f t="shared" si="70"/>
        <v>4.5492885699999999</v>
      </c>
      <c r="H2085" s="33"/>
      <c r="I2085" s="33"/>
      <c r="J2085" s="33"/>
      <c r="K2085" s="33"/>
      <c r="L2085" s="33"/>
      <c r="M2085" s="33"/>
      <c r="N2085" s="33"/>
      <c r="O2085" s="33"/>
      <c r="P2085" s="33"/>
      <c r="Q2085" s="33"/>
      <c r="R2085" s="33"/>
      <c r="S2085" s="33"/>
      <c r="T2085" s="33"/>
      <c r="U2085" s="33"/>
      <c r="V2085" s="33"/>
      <c r="W2085" s="33"/>
      <c r="X2085" s="33"/>
      <c r="Y2085" s="33"/>
      <c r="Z2085" s="33"/>
      <c r="AA2085" s="33"/>
      <c r="AB2085" s="33"/>
    </row>
    <row r="2086" spans="1:28" x14ac:dyDescent="0.15">
      <c r="A2086" s="46" t="s">
        <v>4223</v>
      </c>
      <c r="B2086" s="52" t="s">
        <v>7361</v>
      </c>
      <c r="C2086" s="53" t="s">
        <v>4224</v>
      </c>
      <c r="D2086" s="54" t="s">
        <v>9528</v>
      </c>
      <c r="E2086" s="50">
        <f t="shared" si="70"/>
        <v>28.520547950000001</v>
      </c>
      <c r="F2086" s="51">
        <f t="shared" si="70"/>
        <v>4.5496993999999997</v>
      </c>
      <c r="H2086" s="33"/>
      <c r="I2086" s="33"/>
      <c r="J2086" s="33"/>
      <c r="K2086" s="33"/>
      <c r="L2086" s="33"/>
      <c r="M2086" s="33"/>
      <c r="N2086" s="33"/>
      <c r="O2086" s="33"/>
      <c r="P2086" s="33"/>
      <c r="Q2086" s="33"/>
      <c r="R2086" s="33"/>
      <c r="S2086" s="33"/>
      <c r="T2086" s="33"/>
      <c r="U2086" s="33"/>
      <c r="V2086" s="33"/>
      <c r="W2086" s="33"/>
      <c r="X2086" s="33"/>
      <c r="Y2086" s="33"/>
      <c r="Z2086" s="33"/>
      <c r="AA2086" s="33"/>
      <c r="AB2086" s="33"/>
    </row>
    <row r="2087" spans="1:28" x14ac:dyDescent="0.15">
      <c r="A2087" s="46" t="s">
        <v>4225</v>
      </c>
      <c r="B2087" s="52" t="s">
        <v>7361</v>
      </c>
      <c r="C2087" s="53" t="s">
        <v>4226</v>
      </c>
      <c r="D2087" s="54" t="s">
        <v>9529</v>
      </c>
      <c r="E2087" s="50">
        <f t="shared" si="70"/>
        <v>28.534246580000001</v>
      </c>
      <c r="F2087" s="51">
        <f t="shared" si="70"/>
        <v>4.5501072499999999</v>
      </c>
      <c r="H2087" s="33"/>
      <c r="I2087" s="33"/>
      <c r="J2087" s="33"/>
      <c r="K2087" s="33"/>
      <c r="L2087" s="33"/>
      <c r="M2087" s="33"/>
      <c r="N2087" s="33"/>
      <c r="O2087" s="33"/>
      <c r="P2087" s="33"/>
      <c r="Q2087" s="33"/>
      <c r="R2087" s="33"/>
      <c r="S2087" s="33"/>
      <c r="T2087" s="33"/>
      <c r="U2087" s="33"/>
      <c r="V2087" s="33"/>
      <c r="W2087" s="33"/>
      <c r="X2087" s="33"/>
      <c r="Y2087" s="33"/>
      <c r="Z2087" s="33"/>
      <c r="AA2087" s="33"/>
      <c r="AB2087" s="33"/>
    </row>
    <row r="2088" spans="1:28" x14ac:dyDescent="0.15">
      <c r="A2088" s="46" t="s">
        <v>4227</v>
      </c>
      <c r="B2088" s="52" t="s">
        <v>7361</v>
      </c>
      <c r="C2088" s="53" t="s">
        <v>4228</v>
      </c>
      <c r="D2088" s="54" t="s">
        <v>9530</v>
      </c>
      <c r="E2088" s="50">
        <f t="shared" ref="E2088:F2117" si="71">VALUE(C2088)</f>
        <v>28.547945210000002</v>
      </c>
      <c r="F2088" s="51">
        <f t="shared" si="71"/>
        <v>4.5505122699999996</v>
      </c>
      <c r="H2088" s="33"/>
      <c r="I2088" s="33"/>
      <c r="J2088" s="33"/>
      <c r="K2088" s="33"/>
      <c r="L2088" s="33"/>
      <c r="M2088" s="33"/>
      <c r="N2088" s="33"/>
      <c r="O2088" s="33"/>
      <c r="P2088" s="33"/>
      <c r="Q2088" s="33"/>
      <c r="R2088" s="33"/>
      <c r="S2088" s="33"/>
      <c r="T2088" s="33"/>
      <c r="U2088" s="33"/>
      <c r="V2088" s="33"/>
      <c r="W2088" s="33"/>
      <c r="X2088" s="33"/>
      <c r="Y2088" s="33"/>
      <c r="Z2088" s="33"/>
      <c r="AA2088" s="33"/>
      <c r="AB2088" s="33"/>
    </row>
    <row r="2089" spans="1:28" x14ac:dyDescent="0.15">
      <c r="A2089" s="46" t="s">
        <v>4229</v>
      </c>
      <c r="B2089" s="52" t="s">
        <v>7361</v>
      </c>
      <c r="C2089" s="53" t="s">
        <v>4230</v>
      </c>
      <c r="D2089" s="54" t="s">
        <v>9531</v>
      </c>
      <c r="E2089" s="50">
        <f t="shared" si="71"/>
        <v>28.561643839999999</v>
      </c>
      <c r="F2089" s="51">
        <f t="shared" si="71"/>
        <v>4.5509145699999998</v>
      </c>
      <c r="H2089" s="33"/>
      <c r="I2089" s="33"/>
      <c r="J2089" s="33"/>
      <c r="K2089" s="33"/>
      <c r="L2089" s="33"/>
      <c r="M2089" s="33"/>
      <c r="N2089" s="33"/>
      <c r="O2089" s="33"/>
      <c r="P2089" s="33"/>
      <c r="Q2089" s="33"/>
      <c r="R2089" s="33"/>
      <c r="S2089" s="33"/>
      <c r="T2089" s="33"/>
      <c r="U2089" s="33"/>
      <c r="V2089" s="33"/>
      <c r="W2089" s="33"/>
      <c r="X2089" s="33"/>
      <c r="Y2089" s="33"/>
      <c r="Z2089" s="33"/>
      <c r="AA2089" s="33"/>
      <c r="AB2089" s="33"/>
    </row>
    <row r="2090" spans="1:28" x14ac:dyDescent="0.15">
      <c r="A2090" s="46" t="s">
        <v>4231</v>
      </c>
      <c r="B2090" s="52" t="s">
        <v>7361</v>
      </c>
      <c r="C2090" s="53" t="s">
        <v>4232</v>
      </c>
      <c r="D2090" s="54" t="s">
        <v>9532</v>
      </c>
      <c r="E2090" s="50">
        <f t="shared" si="71"/>
        <v>28.575342469999999</v>
      </c>
      <c r="F2090" s="51">
        <f t="shared" si="71"/>
        <v>4.5513142799999997</v>
      </c>
      <c r="H2090" s="33"/>
      <c r="I2090" s="33"/>
      <c r="J2090" s="33"/>
      <c r="K2090" s="33"/>
      <c r="L2090" s="33"/>
      <c r="M2090" s="33"/>
      <c r="N2090" s="33"/>
      <c r="O2090" s="33"/>
      <c r="P2090" s="33"/>
      <c r="Q2090" s="33"/>
      <c r="R2090" s="33"/>
      <c r="S2090" s="33"/>
      <c r="T2090" s="33"/>
      <c r="U2090" s="33"/>
      <c r="V2090" s="33"/>
      <c r="W2090" s="33"/>
      <c r="X2090" s="33"/>
      <c r="Y2090" s="33"/>
      <c r="Z2090" s="33"/>
      <c r="AA2090" s="33"/>
      <c r="AB2090" s="33"/>
    </row>
    <row r="2091" spans="1:28" x14ac:dyDescent="0.15">
      <c r="A2091" s="46" t="s">
        <v>4233</v>
      </c>
      <c r="B2091" s="52" t="s">
        <v>7361</v>
      </c>
      <c r="C2091" s="53" t="s">
        <v>4234</v>
      </c>
      <c r="D2091" s="54" t="s">
        <v>9533</v>
      </c>
      <c r="E2091" s="50">
        <f t="shared" si="71"/>
        <v>28.589041099999999</v>
      </c>
      <c r="F2091" s="51">
        <f t="shared" si="71"/>
        <v>4.5517115500000003</v>
      </c>
      <c r="H2091" s="33"/>
      <c r="I2091" s="33"/>
      <c r="J2091" s="33"/>
      <c r="K2091" s="33"/>
      <c r="L2091" s="33"/>
      <c r="M2091" s="33"/>
      <c r="N2091" s="33"/>
      <c r="O2091" s="33"/>
      <c r="P2091" s="33"/>
      <c r="Q2091" s="33"/>
      <c r="R2091" s="33"/>
      <c r="S2091" s="33"/>
      <c r="T2091" s="33"/>
      <c r="U2091" s="33"/>
      <c r="V2091" s="33"/>
      <c r="W2091" s="33"/>
      <c r="X2091" s="33"/>
      <c r="Y2091" s="33"/>
      <c r="Z2091" s="33"/>
      <c r="AA2091" s="33"/>
      <c r="AB2091" s="33"/>
    </row>
    <row r="2092" spans="1:28" x14ac:dyDescent="0.15">
      <c r="A2092" s="46" t="s">
        <v>4235</v>
      </c>
      <c r="B2092" s="52" t="s">
        <v>7361</v>
      </c>
      <c r="C2092" s="53" t="s">
        <v>4236</v>
      </c>
      <c r="D2092" s="54" t="s">
        <v>9534</v>
      </c>
      <c r="E2092" s="50">
        <f t="shared" si="71"/>
        <v>28.60273973</v>
      </c>
      <c r="F2092" s="51">
        <f t="shared" si="71"/>
        <v>4.5521064899999999</v>
      </c>
      <c r="H2092" s="33"/>
      <c r="I2092" s="33"/>
      <c r="J2092" s="33"/>
      <c r="K2092" s="33"/>
      <c r="L2092" s="33"/>
      <c r="M2092" s="33"/>
      <c r="N2092" s="33"/>
      <c r="O2092" s="33"/>
      <c r="P2092" s="33"/>
      <c r="Q2092" s="33"/>
      <c r="R2092" s="33"/>
      <c r="S2092" s="33"/>
      <c r="T2092" s="33"/>
      <c r="U2092" s="33"/>
      <c r="V2092" s="33"/>
      <c r="W2092" s="33"/>
      <c r="X2092" s="33"/>
      <c r="Y2092" s="33"/>
      <c r="Z2092" s="33"/>
      <c r="AA2092" s="33"/>
      <c r="AB2092" s="33"/>
    </row>
    <row r="2093" spans="1:28" x14ac:dyDescent="0.15">
      <c r="A2093" s="46" t="s">
        <v>4237</v>
      </c>
      <c r="B2093" s="52" t="s">
        <v>7361</v>
      </c>
      <c r="C2093" s="53" t="s">
        <v>4238</v>
      </c>
      <c r="D2093" s="54" t="s">
        <v>9535</v>
      </c>
      <c r="E2093" s="50">
        <f t="shared" si="71"/>
        <v>28.61643836</v>
      </c>
      <c r="F2093" s="51">
        <f t="shared" si="71"/>
        <v>4.5524992400000004</v>
      </c>
      <c r="H2093" s="33"/>
      <c r="I2093" s="33"/>
      <c r="J2093" s="33"/>
      <c r="K2093" s="33"/>
      <c r="L2093" s="33"/>
      <c r="M2093" s="33"/>
      <c r="N2093" s="33"/>
      <c r="O2093" s="33"/>
      <c r="P2093" s="33"/>
      <c r="Q2093" s="33"/>
      <c r="R2093" s="33"/>
      <c r="S2093" s="33"/>
      <c r="T2093" s="33"/>
      <c r="U2093" s="33"/>
      <c r="V2093" s="33"/>
      <c r="W2093" s="33"/>
      <c r="X2093" s="33"/>
      <c r="Y2093" s="33"/>
      <c r="Z2093" s="33"/>
      <c r="AA2093" s="33"/>
      <c r="AB2093" s="33"/>
    </row>
    <row r="2094" spans="1:28" x14ac:dyDescent="0.15">
      <c r="A2094" s="46" t="s">
        <v>4239</v>
      </c>
      <c r="B2094" s="52" t="s">
        <v>7361</v>
      </c>
      <c r="C2094" s="53" t="s">
        <v>4240</v>
      </c>
      <c r="D2094" s="54" t="s">
        <v>9536</v>
      </c>
      <c r="E2094" s="50">
        <f t="shared" si="71"/>
        <v>28.63013699</v>
      </c>
      <c r="F2094" s="51">
        <f t="shared" si="71"/>
        <v>4.5528899300000001</v>
      </c>
      <c r="H2094" s="33"/>
      <c r="I2094" s="33"/>
      <c r="J2094" s="33"/>
      <c r="K2094" s="33"/>
      <c r="L2094" s="33"/>
      <c r="M2094" s="33"/>
      <c r="N2094" s="33"/>
      <c r="O2094" s="33"/>
      <c r="P2094" s="33"/>
      <c r="Q2094" s="33"/>
      <c r="R2094" s="33"/>
      <c r="S2094" s="33"/>
      <c r="T2094" s="33"/>
      <c r="U2094" s="33"/>
      <c r="V2094" s="33"/>
      <c r="W2094" s="33"/>
      <c r="X2094" s="33"/>
      <c r="Y2094" s="33"/>
      <c r="Z2094" s="33"/>
      <c r="AA2094" s="33"/>
      <c r="AB2094" s="33"/>
    </row>
    <row r="2095" spans="1:28" x14ac:dyDescent="0.15">
      <c r="A2095" s="46" t="s">
        <v>4241</v>
      </c>
      <c r="B2095" s="52" t="s">
        <v>7361</v>
      </c>
      <c r="C2095" s="53" t="s">
        <v>4242</v>
      </c>
      <c r="D2095" s="54" t="s">
        <v>9537</v>
      </c>
      <c r="E2095" s="50">
        <f t="shared" si="71"/>
        <v>28.643835620000001</v>
      </c>
      <c r="F2095" s="51">
        <f t="shared" si="71"/>
        <v>4.55327868</v>
      </c>
      <c r="H2095" s="33"/>
      <c r="I2095" s="33"/>
      <c r="J2095" s="33"/>
      <c r="K2095" s="33"/>
      <c r="L2095" s="33"/>
      <c r="M2095" s="33"/>
      <c r="N2095" s="33"/>
      <c r="O2095" s="33"/>
      <c r="P2095" s="33"/>
      <c r="Q2095" s="33"/>
      <c r="R2095" s="33"/>
      <c r="S2095" s="33"/>
      <c r="T2095" s="33"/>
      <c r="U2095" s="33"/>
      <c r="V2095" s="33"/>
      <c r="W2095" s="33"/>
      <c r="X2095" s="33"/>
      <c r="Y2095" s="33"/>
      <c r="Z2095" s="33"/>
      <c r="AA2095" s="33"/>
      <c r="AB2095" s="33"/>
    </row>
    <row r="2096" spans="1:28" x14ac:dyDescent="0.15">
      <c r="A2096" s="46" t="s">
        <v>4243</v>
      </c>
      <c r="B2096" s="52" t="s">
        <v>7361</v>
      </c>
      <c r="C2096" s="53" t="s">
        <v>4244</v>
      </c>
      <c r="D2096" s="54" t="s">
        <v>9538</v>
      </c>
      <c r="E2096" s="50">
        <f t="shared" si="71"/>
        <v>28.657534250000001</v>
      </c>
      <c r="F2096" s="51">
        <f t="shared" si="71"/>
        <v>4.5536656400000002</v>
      </c>
      <c r="H2096" s="33"/>
      <c r="I2096" s="33"/>
      <c r="J2096" s="33"/>
      <c r="K2096" s="33"/>
      <c r="L2096" s="33"/>
      <c r="M2096" s="33"/>
      <c r="N2096" s="33"/>
      <c r="O2096" s="33"/>
      <c r="P2096" s="33"/>
      <c r="Q2096" s="33"/>
      <c r="R2096" s="33"/>
      <c r="S2096" s="33"/>
      <c r="T2096" s="33"/>
      <c r="U2096" s="33"/>
      <c r="V2096" s="33"/>
      <c r="W2096" s="33"/>
      <c r="X2096" s="33"/>
      <c r="Y2096" s="33"/>
      <c r="Z2096" s="33"/>
      <c r="AA2096" s="33"/>
      <c r="AB2096" s="33"/>
    </row>
    <row r="2097" spans="1:28" x14ac:dyDescent="0.15">
      <c r="A2097" s="46" t="s">
        <v>4245</v>
      </c>
      <c r="B2097" s="52" t="s">
        <v>7361</v>
      </c>
      <c r="C2097" s="53" t="s">
        <v>4246</v>
      </c>
      <c r="D2097" s="54" t="s">
        <v>9539</v>
      </c>
      <c r="E2097" s="50">
        <f t="shared" si="71"/>
        <v>28.671232880000002</v>
      </c>
      <c r="F2097" s="51">
        <f t="shared" si="71"/>
        <v>4.5540509199999999</v>
      </c>
      <c r="H2097" s="33"/>
      <c r="I2097" s="33"/>
      <c r="J2097" s="33"/>
      <c r="K2097" s="33"/>
      <c r="L2097" s="33"/>
      <c r="M2097" s="33"/>
      <c r="N2097" s="33"/>
      <c r="O2097" s="33"/>
      <c r="P2097" s="33"/>
      <c r="Q2097" s="33"/>
      <c r="R2097" s="33"/>
      <c r="S2097" s="33"/>
      <c r="T2097" s="33"/>
      <c r="U2097" s="33"/>
      <c r="V2097" s="33"/>
      <c r="W2097" s="33"/>
      <c r="X2097" s="33"/>
      <c r="Y2097" s="33"/>
      <c r="Z2097" s="33"/>
      <c r="AA2097" s="33"/>
      <c r="AB2097" s="33"/>
    </row>
    <row r="2098" spans="1:28" x14ac:dyDescent="0.15">
      <c r="A2098" s="46" t="s">
        <v>4247</v>
      </c>
      <c r="B2098" s="52" t="s">
        <v>7361</v>
      </c>
      <c r="C2098" s="53" t="s">
        <v>4248</v>
      </c>
      <c r="D2098" s="54" t="s">
        <v>9540</v>
      </c>
      <c r="E2098" s="50">
        <f t="shared" si="71"/>
        <v>28.684931509999998</v>
      </c>
      <c r="F2098" s="51">
        <f t="shared" si="71"/>
        <v>4.5544346600000001</v>
      </c>
      <c r="H2098" s="33"/>
      <c r="I2098" s="33"/>
      <c r="J2098" s="33"/>
      <c r="K2098" s="33"/>
      <c r="L2098" s="33"/>
      <c r="M2098" s="33"/>
      <c r="N2098" s="33"/>
      <c r="O2098" s="33"/>
      <c r="P2098" s="33"/>
      <c r="Q2098" s="33"/>
      <c r="R2098" s="33"/>
      <c r="S2098" s="33"/>
      <c r="T2098" s="33"/>
      <c r="U2098" s="33"/>
      <c r="V2098" s="33"/>
      <c r="W2098" s="33"/>
      <c r="X2098" s="33"/>
      <c r="Y2098" s="33"/>
      <c r="Z2098" s="33"/>
      <c r="AA2098" s="33"/>
      <c r="AB2098" s="33"/>
    </row>
    <row r="2099" spans="1:28" x14ac:dyDescent="0.15">
      <c r="A2099" s="46" t="s">
        <v>4249</v>
      </c>
      <c r="B2099" s="52" t="s">
        <v>7361</v>
      </c>
      <c r="C2099" s="53" t="s">
        <v>4250</v>
      </c>
      <c r="D2099" s="54" t="s">
        <v>9541</v>
      </c>
      <c r="E2099" s="50">
        <f t="shared" si="71"/>
        <v>28.698630139999999</v>
      </c>
      <c r="F2099" s="51">
        <f t="shared" si="71"/>
        <v>4.5548169999999999</v>
      </c>
      <c r="H2099" s="33"/>
      <c r="I2099" s="33"/>
      <c r="J2099" s="33"/>
      <c r="K2099" s="33"/>
      <c r="L2099" s="33"/>
      <c r="M2099" s="33"/>
      <c r="N2099" s="33"/>
      <c r="O2099" s="33"/>
      <c r="P2099" s="33"/>
      <c r="Q2099" s="33"/>
      <c r="R2099" s="33"/>
      <c r="S2099" s="33"/>
      <c r="T2099" s="33"/>
      <c r="U2099" s="33"/>
      <c r="V2099" s="33"/>
      <c r="W2099" s="33"/>
      <c r="X2099" s="33"/>
      <c r="Y2099" s="33"/>
      <c r="Z2099" s="33"/>
      <c r="AA2099" s="33"/>
      <c r="AB2099" s="33"/>
    </row>
    <row r="2100" spans="1:28" x14ac:dyDescent="0.15">
      <c r="A2100" s="46" t="s">
        <v>4251</v>
      </c>
      <c r="B2100" s="52" t="s">
        <v>7361</v>
      </c>
      <c r="C2100" s="53" t="s">
        <v>4252</v>
      </c>
      <c r="D2100" s="54" t="s">
        <v>9542</v>
      </c>
      <c r="E2100" s="50">
        <f t="shared" si="71"/>
        <v>28.712328769999999</v>
      </c>
      <c r="F2100" s="51">
        <f t="shared" si="71"/>
        <v>4.5551980500000004</v>
      </c>
      <c r="H2100" s="33"/>
      <c r="I2100" s="33"/>
      <c r="J2100" s="33"/>
      <c r="K2100" s="33"/>
      <c r="L2100" s="33"/>
      <c r="M2100" s="33"/>
      <c r="N2100" s="33"/>
      <c r="O2100" s="33"/>
      <c r="P2100" s="33"/>
      <c r="Q2100" s="33"/>
      <c r="R2100" s="33"/>
      <c r="S2100" s="33"/>
      <c r="T2100" s="33"/>
      <c r="U2100" s="33"/>
      <c r="V2100" s="33"/>
      <c r="W2100" s="33"/>
      <c r="X2100" s="33"/>
      <c r="Y2100" s="33"/>
      <c r="Z2100" s="33"/>
      <c r="AA2100" s="33"/>
      <c r="AB2100" s="33"/>
    </row>
    <row r="2101" spans="1:28" x14ac:dyDescent="0.15">
      <c r="A2101" s="46" t="s">
        <v>4253</v>
      </c>
      <c r="B2101" s="52" t="s">
        <v>7361</v>
      </c>
      <c r="C2101" s="53" t="s">
        <v>4254</v>
      </c>
      <c r="D2101" s="54" t="s">
        <v>9543</v>
      </c>
      <c r="E2101" s="50">
        <f t="shared" si="71"/>
        <v>28.7260274</v>
      </c>
      <c r="F2101" s="51">
        <f t="shared" si="71"/>
        <v>4.55557795</v>
      </c>
      <c r="H2101" s="33"/>
      <c r="I2101" s="33"/>
      <c r="J2101" s="33"/>
      <c r="K2101" s="33"/>
      <c r="L2101" s="33"/>
      <c r="M2101" s="33"/>
      <c r="N2101" s="33"/>
      <c r="O2101" s="33"/>
      <c r="P2101" s="33"/>
      <c r="Q2101" s="33"/>
      <c r="R2101" s="33"/>
      <c r="S2101" s="33"/>
      <c r="T2101" s="33"/>
      <c r="U2101" s="33"/>
      <c r="V2101" s="33"/>
      <c r="W2101" s="33"/>
      <c r="X2101" s="33"/>
      <c r="Y2101" s="33"/>
      <c r="Z2101" s="33"/>
      <c r="AA2101" s="33"/>
      <c r="AB2101" s="33"/>
    </row>
    <row r="2102" spans="1:28" x14ac:dyDescent="0.15">
      <c r="A2102" s="46" t="s">
        <v>4255</v>
      </c>
      <c r="B2102" s="52" t="s">
        <v>7361</v>
      </c>
      <c r="C2102" s="53" t="s">
        <v>4256</v>
      </c>
      <c r="D2102" s="54" t="s">
        <v>9544</v>
      </c>
      <c r="E2102" s="50">
        <f t="shared" si="71"/>
        <v>28.73972603</v>
      </c>
      <c r="F2102" s="51">
        <f t="shared" si="71"/>
        <v>4.5559568300000004</v>
      </c>
      <c r="H2102" s="33"/>
      <c r="I2102" s="33"/>
      <c r="J2102" s="33"/>
      <c r="K2102" s="33"/>
      <c r="L2102" s="33"/>
      <c r="M2102" s="33"/>
      <c r="N2102" s="33"/>
      <c r="O2102" s="33"/>
      <c r="P2102" s="33"/>
      <c r="Q2102" s="33"/>
      <c r="R2102" s="33"/>
      <c r="S2102" s="33"/>
      <c r="T2102" s="33"/>
      <c r="U2102" s="33"/>
      <c r="V2102" s="33"/>
      <c r="W2102" s="33"/>
      <c r="X2102" s="33"/>
      <c r="Y2102" s="33"/>
      <c r="Z2102" s="33"/>
      <c r="AA2102" s="33"/>
      <c r="AB2102" s="33"/>
    </row>
    <row r="2103" spans="1:28" x14ac:dyDescent="0.15">
      <c r="A2103" s="46" t="s">
        <v>4257</v>
      </c>
      <c r="B2103" s="52" t="s">
        <v>7361</v>
      </c>
      <c r="C2103" s="53" t="s">
        <v>4258</v>
      </c>
      <c r="D2103" s="54" t="s">
        <v>9545</v>
      </c>
      <c r="E2103" s="50">
        <f t="shared" si="71"/>
        <v>28.75342466</v>
      </c>
      <c r="F2103" s="51">
        <f t="shared" si="71"/>
        <v>4.55633482</v>
      </c>
      <c r="H2103" s="33"/>
      <c r="I2103" s="33"/>
      <c r="J2103" s="33"/>
      <c r="K2103" s="33"/>
      <c r="L2103" s="33"/>
      <c r="M2103" s="33"/>
      <c r="N2103" s="33"/>
      <c r="O2103" s="33"/>
      <c r="P2103" s="33"/>
      <c r="Q2103" s="33"/>
      <c r="R2103" s="33"/>
      <c r="S2103" s="33"/>
      <c r="T2103" s="33"/>
      <c r="U2103" s="33"/>
      <c r="V2103" s="33"/>
      <c r="W2103" s="33"/>
      <c r="X2103" s="33"/>
      <c r="Y2103" s="33"/>
      <c r="Z2103" s="33"/>
      <c r="AA2103" s="33"/>
      <c r="AB2103" s="33"/>
    </row>
    <row r="2104" spans="1:28" x14ac:dyDescent="0.15">
      <c r="A2104" s="46" t="s">
        <v>4259</v>
      </c>
      <c r="B2104" s="52" t="s">
        <v>7361</v>
      </c>
      <c r="C2104" s="53" t="s">
        <v>4260</v>
      </c>
      <c r="D2104" s="54" t="s">
        <v>9546</v>
      </c>
      <c r="E2104" s="50">
        <f t="shared" si="71"/>
        <v>28.767123290000001</v>
      </c>
      <c r="F2104" s="51">
        <f t="shared" si="71"/>
        <v>4.5567120499999998</v>
      </c>
      <c r="H2104" s="33"/>
      <c r="I2104" s="33"/>
      <c r="J2104" s="33"/>
      <c r="K2104" s="33"/>
      <c r="L2104" s="33"/>
      <c r="M2104" s="33"/>
      <c r="N2104" s="33"/>
      <c r="O2104" s="33"/>
      <c r="P2104" s="33"/>
      <c r="Q2104" s="33"/>
      <c r="R2104" s="33"/>
      <c r="S2104" s="33"/>
      <c r="T2104" s="33"/>
      <c r="U2104" s="33"/>
      <c r="V2104" s="33"/>
      <c r="W2104" s="33"/>
      <c r="X2104" s="33"/>
      <c r="Y2104" s="33"/>
      <c r="Z2104" s="33"/>
      <c r="AA2104" s="33"/>
      <c r="AB2104" s="33"/>
    </row>
    <row r="2105" spans="1:28" x14ac:dyDescent="0.15">
      <c r="A2105" s="46" t="s">
        <v>4261</v>
      </c>
      <c r="B2105" s="52" t="s">
        <v>7361</v>
      </c>
      <c r="C2105" s="53" t="s">
        <v>4262</v>
      </c>
      <c r="D2105" s="54" t="s">
        <v>9547</v>
      </c>
      <c r="E2105" s="50">
        <f t="shared" si="71"/>
        <v>28.780821920000001</v>
      </c>
      <c r="F2105" s="51">
        <f t="shared" si="71"/>
        <v>4.5570886599999998</v>
      </c>
      <c r="H2105" s="33"/>
      <c r="I2105" s="33"/>
      <c r="J2105" s="33"/>
      <c r="K2105" s="33"/>
      <c r="L2105" s="33"/>
      <c r="M2105" s="33"/>
      <c r="N2105" s="33"/>
      <c r="O2105" s="33"/>
      <c r="P2105" s="33"/>
      <c r="Q2105" s="33"/>
      <c r="R2105" s="33"/>
      <c r="S2105" s="33"/>
      <c r="T2105" s="33"/>
      <c r="U2105" s="33"/>
      <c r="V2105" s="33"/>
      <c r="W2105" s="33"/>
      <c r="X2105" s="33"/>
      <c r="Y2105" s="33"/>
      <c r="Z2105" s="33"/>
      <c r="AA2105" s="33"/>
      <c r="AB2105" s="33"/>
    </row>
    <row r="2106" spans="1:28" x14ac:dyDescent="0.15">
      <c r="A2106" s="46" t="s">
        <v>4263</v>
      </c>
      <c r="B2106" s="52" t="s">
        <v>7361</v>
      </c>
      <c r="C2106" s="53" t="s">
        <v>4264</v>
      </c>
      <c r="D2106" s="54" t="s">
        <v>9548</v>
      </c>
      <c r="E2106" s="50">
        <f t="shared" si="71"/>
        <v>28.794520550000001</v>
      </c>
      <c r="F2106" s="51">
        <f t="shared" si="71"/>
        <v>4.5574647600000002</v>
      </c>
      <c r="H2106" s="33"/>
      <c r="I2106" s="33"/>
      <c r="J2106" s="33"/>
      <c r="K2106" s="33"/>
      <c r="L2106" s="33"/>
      <c r="M2106" s="33"/>
      <c r="N2106" s="33"/>
      <c r="O2106" s="33"/>
      <c r="P2106" s="33"/>
      <c r="Q2106" s="33"/>
      <c r="R2106" s="33"/>
      <c r="S2106" s="33"/>
      <c r="T2106" s="33"/>
      <c r="U2106" s="33"/>
      <c r="V2106" s="33"/>
      <c r="W2106" s="33"/>
      <c r="X2106" s="33"/>
      <c r="Y2106" s="33"/>
      <c r="Z2106" s="33"/>
      <c r="AA2106" s="33"/>
      <c r="AB2106" s="33"/>
    </row>
    <row r="2107" spans="1:28" x14ac:dyDescent="0.15">
      <c r="A2107" s="46" t="s">
        <v>4265</v>
      </c>
      <c r="B2107" s="52" t="s">
        <v>7361</v>
      </c>
      <c r="C2107" s="53" t="s">
        <v>4266</v>
      </c>
      <c r="D2107" s="54" t="s">
        <v>9549</v>
      </c>
      <c r="E2107" s="50">
        <f t="shared" si="71"/>
        <v>28.808219179999998</v>
      </c>
      <c r="F2107" s="51">
        <f t="shared" si="71"/>
        <v>4.5578404900000002</v>
      </c>
      <c r="H2107" s="33"/>
      <c r="I2107" s="33"/>
      <c r="J2107" s="33"/>
      <c r="K2107" s="33"/>
      <c r="L2107" s="33"/>
      <c r="M2107" s="33"/>
      <c r="N2107" s="33"/>
      <c r="O2107" s="33"/>
      <c r="P2107" s="33"/>
      <c r="Q2107" s="33"/>
      <c r="R2107" s="33"/>
      <c r="S2107" s="33"/>
      <c r="T2107" s="33"/>
      <c r="U2107" s="33"/>
      <c r="V2107" s="33"/>
      <c r="W2107" s="33"/>
      <c r="X2107" s="33"/>
      <c r="Y2107" s="33"/>
      <c r="Z2107" s="33"/>
      <c r="AA2107" s="33"/>
      <c r="AB2107" s="33"/>
    </row>
    <row r="2108" spans="1:28" x14ac:dyDescent="0.15">
      <c r="A2108" s="46" t="s">
        <v>4267</v>
      </c>
      <c r="B2108" s="52" t="s">
        <v>7361</v>
      </c>
      <c r="C2108" s="53" t="s">
        <v>4268</v>
      </c>
      <c r="D2108" s="54" t="s">
        <v>9550</v>
      </c>
      <c r="E2108" s="50">
        <f t="shared" si="71"/>
        <v>28.821917809999999</v>
      </c>
      <c r="F2108" s="51">
        <f t="shared" si="71"/>
        <v>4.5582159899999999</v>
      </c>
      <c r="H2108" s="33"/>
      <c r="I2108" s="33"/>
      <c r="J2108" s="33"/>
      <c r="K2108" s="33"/>
      <c r="L2108" s="33"/>
      <c r="M2108" s="33"/>
      <c r="N2108" s="33"/>
      <c r="O2108" s="33"/>
      <c r="P2108" s="33"/>
      <c r="Q2108" s="33"/>
      <c r="R2108" s="33"/>
      <c r="S2108" s="33"/>
      <c r="T2108" s="33"/>
      <c r="U2108" s="33"/>
      <c r="V2108" s="33"/>
      <c r="W2108" s="33"/>
      <c r="X2108" s="33"/>
      <c r="Y2108" s="33"/>
      <c r="Z2108" s="33"/>
      <c r="AA2108" s="33"/>
      <c r="AB2108" s="33"/>
    </row>
    <row r="2109" spans="1:28" x14ac:dyDescent="0.15">
      <c r="A2109" s="46" t="s">
        <v>4269</v>
      </c>
      <c r="B2109" s="52" t="s">
        <v>7361</v>
      </c>
      <c r="C2109" s="53" t="s">
        <v>4270</v>
      </c>
      <c r="D2109" s="54" t="s">
        <v>9551</v>
      </c>
      <c r="E2109" s="50">
        <f t="shared" si="71"/>
        <v>28.835616439999999</v>
      </c>
      <c r="F2109" s="51">
        <f t="shared" si="71"/>
        <v>4.5585913800000002</v>
      </c>
      <c r="H2109" s="33"/>
      <c r="I2109" s="33"/>
      <c r="J2109" s="33"/>
      <c r="K2109" s="33"/>
      <c r="L2109" s="33"/>
      <c r="M2109" s="33"/>
      <c r="N2109" s="33"/>
      <c r="O2109" s="33"/>
      <c r="P2109" s="33"/>
      <c r="Q2109" s="33"/>
      <c r="R2109" s="33"/>
      <c r="S2109" s="33"/>
      <c r="T2109" s="33"/>
      <c r="U2109" s="33"/>
      <c r="V2109" s="33"/>
      <c r="W2109" s="33"/>
      <c r="X2109" s="33"/>
      <c r="Y2109" s="33"/>
      <c r="Z2109" s="33"/>
      <c r="AA2109" s="33"/>
      <c r="AB2109" s="33"/>
    </row>
    <row r="2110" spans="1:28" x14ac:dyDescent="0.15">
      <c r="A2110" s="46" t="s">
        <v>4271</v>
      </c>
      <c r="B2110" s="52" t="s">
        <v>7361</v>
      </c>
      <c r="C2110" s="53" t="s">
        <v>4272</v>
      </c>
      <c r="D2110" s="54" t="s">
        <v>9552</v>
      </c>
      <c r="E2110" s="50">
        <f t="shared" si="71"/>
        <v>28.849315069999999</v>
      </c>
      <c r="F2110" s="51">
        <f t="shared" si="71"/>
        <v>4.5589667900000004</v>
      </c>
      <c r="H2110" s="33"/>
      <c r="I2110" s="33"/>
      <c r="J2110" s="33"/>
      <c r="K2110" s="33"/>
      <c r="L2110" s="33"/>
      <c r="M2110" s="33"/>
      <c r="N2110" s="33"/>
      <c r="O2110" s="33"/>
      <c r="P2110" s="33"/>
      <c r="Q2110" s="33"/>
      <c r="R2110" s="33"/>
      <c r="S2110" s="33"/>
      <c r="T2110" s="33"/>
      <c r="U2110" s="33"/>
      <c r="V2110" s="33"/>
      <c r="W2110" s="33"/>
      <c r="X2110" s="33"/>
      <c r="Y2110" s="33"/>
      <c r="Z2110" s="33"/>
      <c r="AA2110" s="33"/>
      <c r="AB2110" s="33"/>
    </row>
    <row r="2111" spans="1:28" x14ac:dyDescent="0.15">
      <c r="A2111" s="46" t="s">
        <v>4273</v>
      </c>
      <c r="B2111" s="52" t="s">
        <v>7361</v>
      </c>
      <c r="C2111" s="53" t="s">
        <v>4274</v>
      </c>
      <c r="D2111" s="54" t="s">
        <v>9553</v>
      </c>
      <c r="E2111" s="50">
        <f t="shared" si="71"/>
        <v>28.8630137</v>
      </c>
      <c r="F2111" s="51">
        <f t="shared" si="71"/>
        <v>4.5593423499999997</v>
      </c>
      <c r="H2111" s="33"/>
      <c r="I2111" s="33"/>
      <c r="J2111" s="33"/>
      <c r="K2111" s="33"/>
      <c r="L2111" s="33"/>
      <c r="M2111" s="33"/>
      <c r="N2111" s="33"/>
      <c r="O2111" s="33"/>
      <c r="P2111" s="33"/>
      <c r="Q2111" s="33"/>
      <c r="R2111" s="33"/>
      <c r="S2111" s="33"/>
      <c r="T2111" s="33"/>
      <c r="U2111" s="33"/>
      <c r="V2111" s="33"/>
      <c r="W2111" s="33"/>
      <c r="X2111" s="33"/>
      <c r="Y2111" s="33"/>
      <c r="Z2111" s="33"/>
      <c r="AA2111" s="33"/>
      <c r="AB2111" s="33"/>
    </row>
    <row r="2112" spans="1:28" x14ac:dyDescent="0.15">
      <c r="A2112" s="46" t="s">
        <v>4275</v>
      </c>
      <c r="B2112" s="52" t="s">
        <v>7361</v>
      </c>
      <c r="C2112" s="53" t="s">
        <v>4276</v>
      </c>
      <c r="D2112" s="54" t="s">
        <v>9554</v>
      </c>
      <c r="E2112" s="50">
        <f t="shared" si="71"/>
        <v>28.87671233</v>
      </c>
      <c r="F2112" s="51">
        <f t="shared" si="71"/>
        <v>4.5597181899999999</v>
      </c>
      <c r="H2112" s="33"/>
      <c r="I2112" s="33"/>
      <c r="J2112" s="33"/>
      <c r="K2112" s="33"/>
      <c r="L2112" s="33"/>
      <c r="M2112" s="33"/>
      <c r="N2112" s="33"/>
      <c r="O2112" s="33"/>
      <c r="P2112" s="33"/>
      <c r="Q2112" s="33"/>
      <c r="R2112" s="33"/>
      <c r="S2112" s="33"/>
      <c r="T2112" s="33"/>
      <c r="U2112" s="33"/>
      <c r="V2112" s="33"/>
      <c r="W2112" s="33"/>
      <c r="X2112" s="33"/>
      <c r="Y2112" s="33"/>
      <c r="Z2112" s="33"/>
      <c r="AA2112" s="33"/>
      <c r="AB2112" s="33"/>
    </row>
    <row r="2113" spans="1:28" x14ac:dyDescent="0.15">
      <c r="A2113" s="46" t="s">
        <v>4277</v>
      </c>
      <c r="B2113" s="52" t="s">
        <v>7361</v>
      </c>
      <c r="C2113" s="53" t="s">
        <v>4278</v>
      </c>
      <c r="D2113" s="54" t="s">
        <v>9555</v>
      </c>
      <c r="E2113" s="50">
        <f t="shared" si="71"/>
        <v>28.890410960000001</v>
      </c>
      <c r="F2113" s="51">
        <f t="shared" si="71"/>
        <v>4.5600944500000002</v>
      </c>
      <c r="H2113" s="33"/>
      <c r="I2113" s="33"/>
      <c r="J2113" s="33"/>
      <c r="K2113" s="33"/>
      <c r="L2113" s="33"/>
      <c r="M2113" s="33"/>
      <c r="N2113" s="33"/>
      <c r="O2113" s="33"/>
      <c r="P2113" s="33"/>
      <c r="Q2113" s="33"/>
      <c r="R2113" s="33"/>
      <c r="S2113" s="33"/>
      <c r="T2113" s="33"/>
      <c r="U2113" s="33"/>
      <c r="V2113" s="33"/>
      <c r="W2113" s="33"/>
      <c r="X2113" s="33"/>
      <c r="Y2113" s="33"/>
      <c r="Z2113" s="33"/>
      <c r="AA2113" s="33"/>
      <c r="AB2113" s="33"/>
    </row>
    <row r="2114" spans="1:28" x14ac:dyDescent="0.15">
      <c r="A2114" s="46" t="s">
        <v>4279</v>
      </c>
      <c r="B2114" s="52" t="s">
        <v>7361</v>
      </c>
      <c r="C2114" s="53" t="s">
        <v>4280</v>
      </c>
      <c r="D2114" s="54" t="s">
        <v>9556</v>
      </c>
      <c r="E2114" s="50">
        <f t="shared" si="71"/>
        <v>28.904109590000001</v>
      </c>
      <c r="F2114" s="51">
        <f t="shared" si="71"/>
        <v>4.56047124</v>
      </c>
      <c r="H2114" s="33"/>
      <c r="I2114" s="33"/>
      <c r="J2114" s="33"/>
      <c r="K2114" s="33"/>
      <c r="L2114" s="33"/>
      <c r="M2114" s="33"/>
      <c r="N2114" s="33"/>
      <c r="O2114" s="33"/>
      <c r="P2114" s="33"/>
      <c r="Q2114" s="33"/>
      <c r="R2114" s="33"/>
      <c r="S2114" s="33"/>
      <c r="T2114" s="33"/>
      <c r="U2114" s="33"/>
      <c r="V2114" s="33"/>
      <c r="W2114" s="33"/>
      <c r="X2114" s="33"/>
      <c r="Y2114" s="33"/>
      <c r="Z2114" s="33"/>
      <c r="AA2114" s="33"/>
      <c r="AB2114" s="33"/>
    </row>
    <row r="2115" spans="1:28" x14ac:dyDescent="0.15">
      <c r="A2115" s="46" t="s">
        <v>4281</v>
      </c>
      <c r="B2115" s="52" t="s">
        <v>7361</v>
      </c>
      <c r="C2115" s="53" t="s">
        <v>4282</v>
      </c>
      <c r="D2115" s="54" t="s">
        <v>9557</v>
      </c>
      <c r="E2115" s="50">
        <f t="shared" si="71"/>
        <v>28.917808220000001</v>
      </c>
      <c r="F2115" s="51">
        <f t="shared" si="71"/>
        <v>4.5608487100000001</v>
      </c>
      <c r="H2115" s="33"/>
      <c r="I2115" s="33"/>
      <c r="J2115" s="33"/>
      <c r="K2115" s="33"/>
      <c r="L2115" s="33"/>
      <c r="M2115" s="33"/>
      <c r="N2115" s="33"/>
      <c r="O2115" s="33"/>
      <c r="P2115" s="33"/>
      <c r="Q2115" s="33"/>
      <c r="R2115" s="33"/>
      <c r="S2115" s="33"/>
      <c r="T2115" s="33"/>
      <c r="U2115" s="33"/>
      <c r="V2115" s="33"/>
      <c r="W2115" s="33"/>
      <c r="X2115" s="33"/>
      <c r="Y2115" s="33"/>
      <c r="Z2115" s="33"/>
      <c r="AA2115" s="33"/>
      <c r="AB2115" s="33"/>
    </row>
    <row r="2116" spans="1:28" x14ac:dyDescent="0.15">
      <c r="A2116" s="46" t="s">
        <v>4283</v>
      </c>
      <c r="B2116" s="52" t="s">
        <v>7361</v>
      </c>
      <c r="C2116" s="53" t="s">
        <v>4284</v>
      </c>
      <c r="D2116" s="54" t="s">
        <v>9558</v>
      </c>
      <c r="E2116" s="50">
        <f t="shared" si="71"/>
        <v>28.931506850000002</v>
      </c>
      <c r="F2116" s="51">
        <f t="shared" si="71"/>
        <v>4.5612269899999998</v>
      </c>
      <c r="H2116" s="33"/>
      <c r="I2116" s="33"/>
      <c r="J2116" s="33"/>
      <c r="K2116" s="33"/>
      <c r="L2116" s="33"/>
      <c r="M2116" s="33"/>
      <c r="N2116" s="33"/>
      <c r="O2116" s="33"/>
      <c r="P2116" s="33"/>
      <c r="Q2116" s="33"/>
      <c r="R2116" s="33"/>
      <c r="S2116" s="33"/>
      <c r="T2116" s="33"/>
      <c r="U2116" s="33"/>
      <c r="V2116" s="33"/>
      <c r="W2116" s="33"/>
      <c r="X2116" s="33"/>
      <c r="Y2116" s="33"/>
      <c r="Z2116" s="33"/>
      <c r="AA2116" s="33"/>
      <c r="AB2116" s="33"/>
    </row>
    <row r="2117" spans="1:28" x14ac:dyDescent="0.15">
      <c r="A2117" s="46" t="s">
        <v>4285</v>
      </c>
      <c r="B2117" s="52" t="s">
        <v>7361</v>
      </c>
      <c r="C2117" s="53" t="s">
        <v>4286</v>
      </c>
      <c r="D2117" s="54" t="s">
        <v>9559</v>
      </c>
      <c r="E2117" s="50">
        <f t="shared" si="71"/>
        <v>28.945205479999998</v>
      </c>
      <c r="F2117" s="51">
        <f t="shared" si="71"/>
        <v>4.56160619</v>
      </c>
      <c r="H2117" s="33"/>
      <c r="I2117" s="33"/>
      <c r="J2117" s="33"/>
      <c r="K2117" s="33"/>
      <c r="L2117" s="33"/>
      <c r="M2117" s="33"/>
      <c r="N2117" s="33"/>
      <c r="O2117" s="33"/>
      <c r="P2117" s="33"/>
      <c r="Q2117" s="33"/>
      <c r="R2117" s="33"/>
      <c r="S2117" s="33"/>
      <c r="T2117" s="33"/>
      <c r="U2117" s="33"/>
      <c r="V2117" s="33"/>
      <c r="W2117" s="33"/>
      <c r="X2117" s="33"/>
      <c r="Y2117" s="33"/>
      <c r="Z2117" s="33"/>
      <c r="AA2117" s="33"/>
      <c r="AB2117" s="33"/>
    </row>
    <row r="2118" spans="1:28" x14ac:dyDescent="0.15">
      <c r="A2118" s="46" t="s">
        <v>4287</v>
      </c>
      <c r="B2118" s="52" t="s">
        <v>7361</v>
      </c>
      <c r="C2118" s="53" t="s">
        <v>4288</v>
      </c>
      <c r="D2118" s="54" t="s">
        <v>9560</v>
      </c>
      <c r="E2118" s="50">
        <f t="shared" ref="E2118:F2133" si="72">VALUE(C2118)</f>
        <v>28.958904109999999</v>
      </c>
      <c r="F2118" s="51">
        <f t="shared" si="72"/>
        <v>4.5619864699999999</v>
      </c>
      <c r="H2118" s="33"/>
      <c r="I2118" s="33"/>
      <c r="J2118" s="33"/>
      <c r="K2118" s="33"/>
      <c r="L2118" s="33"/>
      <c r="M2118" s="33"/>
      <c r="N2118" s="33"/>
      <c r="O2118" s="33"/>
      <c r="P2118" s="33"/>
      <c r="Q2118" s="33"/>
      <c r="R2118" s="33"/>
      <c r="S2118" s="33"/>
      <c r="T2118" s="33"/>
      <c r="U2118" s="33"/>
      <c r="V2118" s="33"/>
      <c r="W2118" s="33"/>
      <c r="X2118" s="33"/>
      <c r="Y2118" s="33"/>
      <c r="Z2118" s="33"/>
      <c r="AA2118" s="33"/>
      <c r="AB2118" s="33"/>
    </row>
    <row r="2119" spans="1:28" x14ac:dyDescent="0.15">
      <c r="A2119" s="46" t="s">
        <v>4289</v>
      </c>
      <c r="B2119" s="52" t="s">
        <v>7361</v>
      </c>
      <c r="C2119" s="53" t="s">
        <v>4290</v>
      </c>
      <c r="D2119" s="54" t="s">
        <v>9561</v>
      </c>
      <c r="E2119" s="50">
        <f t="shared" si="72"/>
        <v>28.972602739999999</v>
      </c>
      <c r="F2119" s="51">
        <f t="shared" si="72"/>
        <v>4.5623679299999997</v>
      </c>
      <c r="H2119" s="33"/>
      <c r="I2119" s="33"/>
      <c r="J2119" s="33"/>
      <c r="K2119" s="33"/>
      <c r="L2119" s="33"/>
      <c r="M2119" s="33"/>
      <c r="N2119" s="33"/>
      <c r="O2119" s="33"/>
      <c r="P2119" s="33"/>
      <c r="Q2119" s="33"/>
      <c r="R2119" s="33"/>
      <c r="S2119" s="33"/>
      <c r="T2119" s="33"/>
      <c r="U2119" s="33"/>
      <c r="V2119" s="33"/>
      <c r="W2119" s="33"/>
      <c r="X2119" s="33"/>
      <c r="Y2119" s="33"/>
      <c r="Z2119" s="33"/>
      <c r="AA2119" s="33"/>
      <c r="AB2119" s="33"/>
    </row>
    <row r="2120" spans="1:28" x14ac:dyDescent="0.15">
      <c r="A2120" s="46" t="s">
        <v>4291</v>
      </c>
      <c r="B2120" s="52" t="s">
        <v>7361</v>
      </c>
      <c r="C2120" s="53" t="s">
        <v>4292</v>
      </c>
      <c r="D2120" s="54" t="s">
        <v>9562</v>
      </c>
      <c r="E2120" s="50">
        <f t="shared" si="72"/>
        <v>28.98630137</v>
      </c>
      <c r="F2120" s="51">
        <f t="shared" si="72"/>
        <v>4.5627507200000004</v>
      </c>
      <c r="H2120" s="33"/>
      <c r="I2120" s="33"/>
      <c r="J2120" s="33"/>
      <c r="K2120" s="33"/>
      <c r="L2120" s="33"/>
      <c r="M2120" s="33"/>
      <c r="N2120" s="33"/>
      <c r="O2120" s="33"/>
      <c r="P2120" s="33"/>
      <c r="Q2120" s="33"/>
      <c r="R2120" s="33"/>
      <c r="S2120" s="33"/>
      <c r="T2120" s="33"/>
      <c r="U2120" s="33"/>
      <c r="V2120" s="33"/>
      <c r="W2120" s="33"/>
      <c r="X2120" s="33"/>
      <c r="Y2120" s="33"/>
      <c r="Z2120" s="33"/>
      <c r="AA2120" s="33"/>
      <c r="AB2120" s="33"/>
    </row>
    <row r="2121" spans="1:28" x14ac:dyDescent="0.15">
      <c r="A2121" s="46" t="s">
        <v>4293</v>
      </c>
      <c r="B2121" s="52" t="s">
        <v>7361</v>
      </c>
      <c r="C2121" s="53" t="s">
        <v>4294</v>
      </c>
      <c r="D2121" s="54" t="s">
        <v>9563</v>
      </c>
      <c r="E2121" s="50">
        <f t="shared" si="72"/>
        <v>29</v>
      </c>
      <c r="F2121" s="51">
        <f t="shared" si="72"/>
        <v>4.5631349600000002</v>
      </c>
      <c r="H2121" s="33"/>
      <c r="I2121" s="33"/>
      <c r="J2121" s="33"/>
      <c r="K2121" s="33"/>
      <c r="L2121" s="33"/>
      <c r="M2121" s="33"/>
      <c r="N2121" s="33"/>
      <c r="O2121" s="33"/>
      <c r="P2121" s="33"/>
      <c r="Q2121" s="33"/>
      <c r="R2121" s="33"/>
      <c r="S2121" s="33"/>
      <c r="T2121" s="33"/>
      <c r="U2121" s="33"/>
      <c r="V2121" s="33"/>
      <c r="W2121" s="33"/>
      <c r="X2121" s="33"/>
      <c r="Y2121" s="33"/>
      <c r="Z2121" s="33"/>
      <c r="AA2121" s="33"/>
      <c r="AB2121" s="33"/>
    </row>
    <row r="2122" spans="1:28" x14ac:dyDescent="0.15">
      <c r="A2122" s="46" t="s">
        <v>4295</v>
      </c>
      <c r="B2122" s="52" t="s">
        <v>7361</v>
      </c>
      <c r="C2122" s="53" t="s">
        <v>4296</v>
      </c>
      <c r="D2122" s="54" t="s">
        <v>9564</v>
      </c>
      <c r="E2122" s="50">
        <f t="shared" si="72"/>
        <v>29.01369863</v>
      </c>
      <c r="F2122" s="51">
        <f t="shared" si="72"/>
        <v>4.5635179800000003</v>
      </c>
      <c r="H2122" s="33"/>
      <c r="I2122" s="33"/>
      <c r="J2122" s="33"/>
      <c r="K2122" s="33"/>
      <c r="L2122" s="33"/>
      <c r="M2122" s="33"/>
      <c r="N2122" s="33"/>
      <c r="O2122" s="33"/>
      <c r="P2122" s="33"/>
      <c r="Q2122" s="33"/>
      <c r="R2122" s="33"/>
      <c r="S2122" s="33"/>
      <c r="T2122" s="33"/>
      <c r="U2122" s="33"/>
      <c r="V2122" s="33"/>
      <c r="W2122" s="33"/>
      <c r="X2122" s="33"/>
      <c r="Y2122" s="33"/>
      <c r="Z2122" s="33"/>
      <c r="AA2122" s="33"/>
      <c r="AB2122" s="33"/>
    </row>
    <row r="2123" spans="1:28" x14ac:dyDescent="0.15">
      <c r="A2123" s="46" t="s">
        <v>4297</v>
      </c>
      <c r="B2123" s="52" t="s">
        <v>7361</v>
      </c>
      <c r="C2123" s="53" t="s">
        <v>4298</v>
      </c>
      <c r="D2123" s="54" t="s">
        <v>9565</v>
      </c>
      <c r="E2123" s="50">
        <f t="shared" si="72"/>
        <v>29.027397260000001</v>
      </c>
      <c r="F2123" s="51">
        <f t="shared" si="72"/>
        <v>4.5638971399999999</v>
      </c>
      <c r="H2123" s="33"/>
      <c r="I2123" s="33"/>
      <c r="J2123" s="33"/>
      <c r="K2123" s="33"/>
      <c r="L2123" s="33"/>
      <c r="M2123" s="33"/>
      <c r="N2123" s="33"/>
      <c r="O2123" s="33"/>
      <c r="P2123" s="33"/>
      <c r="Q2123" s="33"/>
      <c r="R2123" s="33"/>
      <c r="S2123" s="33"/>
      <c r="T2123" s="33"/>
      <c r="U2123" s="33"/>
      <c r="V2123" s="33"/>
      <c r="W2123" s="33"/>
      <c r="X2123" s="33"/>
      <c r="Y2123" s="33"/>
      <c r="Z2123" s="33"/>
      <c r="AA2123" s="33"/>
      <c r="AB2123" s="33"/>
    </row>
    <row r="2124" spans="1:28" x14ac:dyDescent="0.15">
      <c r="A2124" s="46" t="s">
        <v>4299</v>
      </c>
      <c r="B2124" s="52" t="s">
        <v>7361</v>
      </c>
      <c r="C2124" s="53" t="s">
        <v>4300</v>
      </c>
      <c r="D2124" s="54" t="s">
        <v>9566</v>
      </c>
      <c r="E2124" s="50">
        <f t="shared" si="72"/>
        <v>29.041095890000001</v>
      </c>
      <c r="F2124" s="51">
        <f t="shared" si="72"/>
        <v>4.5642725999999998</v>
      </c>
      <c r="H2124" s="33"/>
      <c r="I2124" s="33"/>
      <c r="J2124" s="33"/>
      <c r="K2124" s="33"/>
      <c r="L2124" s="33"/>
      <c r="M2124" s="33"/>
      <c r="N2124" s="33"/>
      <c r="O2124" s="33"/>
      <c r="P2124" s="33"/>
      <c r="Q2124" s="33"/>
      <c r="R2124" s="33"/>
      <c r="S2124" s="33"/>
      <c r="T2124" s="33"/>
      <c r="U2124" s="33"/>
      <c r="V2124" s="33"/>
      <c r="W2124" s="33"/>
      <c r="X2124" s="33"/>
      <c r="Y2124" s="33"/>
      <c r="Z2124" s="33"/>
      <c r="AA2124" s="33"/>
      <c r="AB2124" s="33"/>
    </row>
    <row r="2125" spans="1:28" x14ac:dyDescent="0.15">
      <c r="A2125" s="46" t="s">
        <v>4301</v>
      </c>
      <c r="B2125" s="52" t="s">
        <v>7361</v>
      </c>
      <c r="C2125" s="53" t="s">
        <v>4302</v>
      </c>
      <c r="D2125" s="54" t="s">
        <v>9567</v>
      </c>
      <c r="E2125" s="50">
        <f t="shared" si="72"/>
        <v>29.054794520000002</v>
      </c>
      <c r="F2125" s="51">
        <f t="shared" si="72"/>
        <v>4.5646445099999999</v>
      </c>
      <c r="H2125" s="33"/>
      <c r="I2125" s="33"/>
      <c r="J2125" s="33"/>
      <c r="K2125" s="33"/>
      <c r="L2125" s="33"/>
      <c r="M2125" s="33"/>
      <c r="N2125" s="33"/>
      <c r="O2125" s="33"/>
      <c r="P2125" s="33"/>
      <c r="Q2125" s="33"/>
      <c r="R2125" s="33"/>
      <c r="S2125" s="33"/>
      <c r="T2125" s="33"/>
      <c r="U2125" s="33"/>
      <c r="V2125" s="33"/>
      <c r="W2125" s="33"/>
      <c r="X2125" s="33"/>
      <c r="Y2125" s="33"/>
      <c r="Z2125" s="33"/>
      <c r="AA2125" s="33"/>
      <c r="AB2125" s="33"/>
    </row>
    <row r="2126" spans="1:28" x14ac:dyDescent="0.15">
      <c r="A2126" s="46" t="s">
        <v>4303</v>
      </c>
      <c r="B2126" s="52" t="s">
        <v>7361</v>
      </c>
      <c r="C2126" s="53" t="s">
        <v>4304</v>
      </c>
      <c r="D2126" s="54" t="s">
        <v>9568</v>
      </c>
      <c r="E2126" s="50">
        <f t="shared" si="72"/>
        <v>29.068493149999998</v>
      </c>
      <c r="F2126" s="51">
        <f t="shared" si="72"/>
        <v>4.5650130600000001</v>
      </c>
      <c r="H2126" s="33"/>
      <c r="I2126" s="33"/>
      <c r="J2126" s="33"/>
      <c r="K2126" s="33"/>
      <c r="L2126" s="33"/>
      <c r="M2126" s="33"/>
      <c r="N2126" s="33"/>
      <c r="O2126" s="33"/>
      <c r="P2126" s="33"/>
      <c r="Q2126" s="33"/>
      <c r="R2126" s="33"/>
      <c r="S2126" s="33"/>
      <c r="T2126" s="33"/>
      <c r="U2126" s="33"/>
      <c r="V2126" s="33"/>
      <c r="W2126" s="33"/>
      <c r="X2126" s="33"/>
      <c r="Y2126" s="33"/>
      <c r="Z2126" s="33"/>
      <c r="AA2126" s="33"/>
      <c r="AB2126" s="33"/>
    </row>
    <row r="2127" spans="1:28" x14ac:dyDescent="0.15">
      <c r="A2127" s="46" t="s">
        <v>4305</v>
      </c>
      <c r="B2127" s="52" t="s">
        <v>7361</v>
      </c>
      <c r="C2127" s="53" t="s">
        <v>4306</v>
      </c>
      <c r="D2127" s="54" t="s">
        <v>9569</v>
      </c>
      <c r="E2127" s="50">
        <f t="shared" si="72"/>
        <v>29.082191779999999</v>
      </c>
      <c r="F2127" s="51">
        <f t="shared" si="72"/>
        <v>4.5653784100000001</v>
      </c>
      <c r="H2127" s="33"/>
      <c r="I2127" s="33"/>
      <c r="J2127" s="33"/>
      <c r="K2127" s="33"/>
      <c r="L2127" s="33"/>
      <c r="M2127" s="33"/>
      <c r="N2127" s="33"/>
      <c r="O2127" s="33"/>
      <c r="P2127" s="33"/>
      <c r="Q2127" s="33"/>
      <c r="R2127" s="33"/>
      <c r="S2127" s="33"/>
      <c r="T2127" s="33"/>
      <c r="U2127" s="33"/>
      <c r="V2127" s="33"/>
      <c r="W2127" s="33"/>
      <c r="X2127" s="33"/>
      <c r="Y2127" s="33"/>
      <c r="Z2127" s="33"/>
      <c r="AA2127" s="33"/>
      <c r="AB2127" s="33"/>
    </row>
    <row r="2128" spans="1:28" x14ac:dyDescent="0.15">
      <c r="A2128" s="46" t="s">
        <v>4307</v>
      </c>
      <c r="B2128" s="52" t="s">
        <v>7361</v>
      </c>
      <c r="C2128" s="53" t="s">
        <v>4308</v>
      </c>
      <c r="D2128" s="54" t="s">
        <v>9570</v>
      </c>
      <c r="E2128" s="50">
        <f t="shared" si="72"/>
        <v>29.095890409999999</v>
      </c>
      <c r="F2128" s="51">
        <f t="shared" si="72"/>
        <v>4.56574071</v>
      </c>
      <c r="H2128" s="33"/>
      <c r="I2128" s="33"/>
      <c r="J2128" s="33"/>
      <c r="K2128" s="33"/>
      <c r="L2128" s="33"/>
      <c r="M2128" s="33"/>
      <c r="N2128" s="33"/>
      <c r="O2128" s="33"/>
      <c r="P2128" s="33"/>
      <c r="Q2128" s="33"/>
      <c r="R2128" s="33"/>
      <c r="S2128" s="33"/>
      <c r="T2128" s="33"/>
      <c r="U2128" s="33"/>
      <c r="V2128" s="33"/>
      <c r="W2128" s="33"/>
      <c r="X2128" s="33"/>
      <c r="Y2128" s="33"/>
      <c r="Z2128" s="33"/>
      <c r="AA2128" s="33"/>
      <c r="AB2128" s="33"/>
    </row>
    <row r="2129" spans="1:28" x14ac:dyDescent="0.15">
      <c r="A2129" s="46" t="s">
        <v>4309</v>
      </c>
      <c r="B2129" s="52" t="s">
        <v>7361</v>
      </c>
      <c r="C2129" s="53" t="s">
        <v>4310</v>
      </c>
      <c r="D2129" s="54" t="s">
        <v>9571</v>
      </c>
      <c r="E2129" s="50">
        <f t="shared" si="72"/>
        <v>29.109589039999999</v>
      </c>
      <c r="F2129" s="51">
        <f t="shared" si="72"/>
        <v>4.5661001499999996</v>
      </c>
      <c r="H2129" s="33"/>
      <c r="I2129" s="33"/>
      <c r="J2129" s="33"/>
      <c r="K2129" s="33"/>
      <c r="L2129" s="33"/>
      <c r="M2129" s="33"/>
      <c r="N2129" s="33"/>
      <c r="O2129" s="33"/>
      <c r="P2129" s="33"/>
      <c r="Q2129" s="33"/>
      <c r="R2129" s="33"/>
      <c r="S2129" s="33"/>
      <c r="T2129" s="33"/>
      <c r="U2129" s="33"/>
      <c r="V2129" s="33"/>
      <c r="W2129" s="33"/>
      <c r="X2129" s="33"/>
      <c r="Y2129" s="33"/>
      <c r="Z2129" s="33"/>
      <c r="AA2129" s="33"/>
      <c r="AB2129" s="33"/>
    </row>
    <row r="2130" spans="1:28" x14ac:dyDescent="0.15">
      <c r="A2130" s="46" t="s">
        <v>4311</v>
      </c>
      <c r="B2130" s="52" t="s">
        <v>7361</v>
      </c>
      <c r="C2130" s="53" t="s">
        <v>4312</v>
      </c>
      <c r="D2130" s="54" t="s">
        <v>9572</v>
      </c>
      <c r="E2130" s="50">
        <f t="shared" si="72"/>
        <v>29.12328767</v>
      </c>
      <c r="F2130" s="51">
        <f t="shared" si="72"/>
        <v>4.5664568699999997</v>
      </c>
      <c r="H2130" s="33"/>
      <c r="I2130" s="33"/>
      <c r="J2130" s="33"/>
      <c r="K2130" s="33"/>
      <c r="L2130" s="33"/>
      <c r="M2130" s="33"/>
      <c r="N2130" s="33"/>
      <c r="O2130" s="33"/>
      <c r="P2130" s="33"/>
      <c r="Q2130" s="33"/>
      <c r="R2130" s="33"/>
      <c r="S2130" s="33"/>
      <c r="T2130" s="33"/>
      <c r="U2130" s="33"/>
      <c r="V2130" s="33"/>
      <c r="W2130" s="33"/>
      <c r="X2130" s="33"/>
      <c r="Y2130" s="33"/>
      <c r="Z2130" s="33"/>
      <c r="AA2130" s="33"/>
      <c r="AB2130" s="33"/>
    </row>
    <row r="2131" spans="1:28" x14ac:dyDescent="0.15">
      <c r="A2131" s="46" t="s">
        <v>4313</v>
      </c>
      <c r="B2131" s="52" t="s">
        <v>7361</v>
      </c>
      <c r="C2131" s="53" t="s">
        <v>4314</v>
      </c>
      <c r="D2131" s="54" t="s">
        <v>9573</v>
      </c>
      <c r="E2131" s="50">
        <f t="shared" si="72"/>
        <v>29.1369863</v>
      </c>
      <c r="F2131" s="51">
        <f t="shared" si="72"/>
        <v>4.56681106</v>
      </c>
      <c r="H2131" s="33"/>
      <c r="I2131" s="33"/>
      <c r="J2131" s="33"/>
      <c r="K2131" s="33"/>
      <c r="L2131" s="33"/>
      <c r="M2131" s="33"/>
      <c r="N2131" s="33"/>
      <c r="O2131" s="33"/>
      <c r="P2131" s="33"/>
      <c r="Q2131" s="33"/>
      <c r="R2131" s="33"/>
      <c r="S2131" s="33"/>
      <c r="T2131" s="33"/>
      <c r="U2131" s="33"/>
      <c r="V2131" s="33"/>
      <c r="W2131" s="33"/>
      <c r="X2131" s="33"/>
      <c r="Y2131" s="33"/>
      <c r="Z2131" s="33"/>
      <c r="AA2131" s="33"/>
      <c r="AB2131" s="33"/>
    </row>
    <row r="2132" spans="1:28" x14ac:dyDescent="0.15">
      <c r="A2132" s="46" t="s">
        <v>4315</v>
      </c>
      <c r="B2132" s="52" t="s">
        <v>7361</v>
      </c>
      <c r="C2132" s="53" t="s">
        <v>4316</v>
      </c>
      <c r="D2132" s="54" t="s">
        <v>9574</v>
      </c>
      <c r="E2132" s="50">
        <f t="shared" si="72"/>
        <v>29.150684930000001</v>
      </c>
      <c r="F2132" s="51">
        <f t="shared" si="72"/>
        <v>4.5671628699999998</v>
      </c>
      <c r="H2132" s="33"/>
      <c r="I2132" s="33"/>
      <c r="J2132" s="33"/>
      <c r="K2132" s="33"/>
      <c r="L2132" s="33"/>
      <c r="M2132" s="33"/>
      <c r="N2132" s="33"/>
      <c r="O2132" s="33"/>
      <c r="P2132" s="33"/>
      <c r="Q2132" s="33"/>
      <c r="R2132" s="33"/>
      <c r="S2132" s="33"/>
      <c r="T2132" s="33"/>
      <c r="U2132" s="33"/>
      <c r="V2132" s="33"/>
      <c r="W2132" s="33"/>
      <c r="X2132" s="33"/>
      <c r="Y2132" s="33"/>
      <c r="Z2132" s="33"/>
      <c r="AA2132" s="33"/>
      <c r="AB2132" s="33"/>
    </row>
    <row r="2133" spans="1:28" x14ac:dyDescent="0.15">
      <c r="A2133" s="46" t="s">
        <v>4317</v>
      </c>
      <c r="B2133" s="52" t="s">
        <v>7361</v>
      </c>
      <c r="C2133" s="53" t="s">
        <v>4318</v>
      </c>
      <c r="D2133" s="54" t="s">
        <v>9575</v>
      </c>
      <c r="E2133" s="50">
        <f t="shared" si="72"/>
        <v>29.164383560000001</v>
      </c>
      <c r="F2133" s="51">
        <f t="shared" si="72"/>
        <v>4.5675124599999997</v>
      </c>
      <c r="H2133" s="33"/>
      <c r="I2133" s="33"/>
      <c r="J2133" s="33"/>
      <c r="K2133" s="33"/>
      <c r="L2133" s="33"/>
      <c r="M2133" s="33"/>
      <c r="N2133" s="33"/>
      <c r="O2133" s="33"/>
      <c r="P2133" s="33"/>
      <c r="Q2133" s="33"/>
      <c r="R2133" s="33"/>
      <c r="S2133" s="33"/>
      <c r="T2133" s="33"/>
      <c r="U2133" s="33"/>
      <c r="V2133" s="33"/>
      <c r="W2133" s="33"/>
      <c r="X2133" s="33"/>
      <c r="Y2133" s="33"/>
      <c r="Z2133" s="33"/>
      <c r="AA2133" s="33"/>
      <c r="AB2133" s="33"/>
    </row>
    <row r="2134" spans="1:28" x14ac:dyDescent="0.15">
      <c r="A2134" s="46" t="s">
        <v>4319</v>
      </c>
      <c r="B2134" s="52" t="s">
        <v>7361</v>
      </c>
      <c r="C2134" s="53" t="s">
        <v>4320</v>
      </c>
      <c r="D2134" s="54" t="s">
        <v>9576</v>
      </c>
      <c r="E2134" s="50">
        <f t="shared" ref="E2134:F2164" si="73">VALUE(C2134)</f>
        <v>29.178082190000001</v>
      </c>
      <c r="F2134" s="51">
        <f t="shared" si="73"/>
        <v>4.5678600200000004</v>
      </c>
      <c r="H2134" s="33"/>
      <c r="I2134" s="33"/>
      <c r="J2134" s="33"/>
      <c r="K2134" s="33"/>
      <c r="L2134" s="33"/>
      <c r="M2134" s="33"/>
      <c r="N2134" s="33"/>
      <c r="O2134" s="33"/>
      <c r="P2134" s="33"/>
      <c r="Q2134" s="33"/>
      <c r="R2134" s="33"/>
      <c r="S2134" s="33"/>
      <c r="T2134" s="33"/>
      <c r="U2134" s="33"/>
      <c r="V2134" s="33"/>
      <c r="W2134" s="33"/>
      <c r="X2134" s="33"/>
      <c r="Y2134" s="33"/>
      <c r="Z2134" s="33"/>
      <c r="AA2134" s="33"/>
      <c r="AB2134" s="33"/>
    </row>
    <row r="2135" spans="1:28" x14ac:dyDescent="0.15">
      <c r="A2135" s="46" t="s">
        <v>4321</v>
      </c>
      <c r="B2135" s="52" t="s">
        <v>7361</v>
      </c>
      <c r="C2135" s="53" t="s">
        <v>4322</v>
      </c>
      <c r="D2135" s="54" t="s">
        <v>9577</v>
      </c>
      <c r="E2135" s="50">
        <f t="shared" si="73"/>
        <v>29.191780820000002</v>
      </c>
      <c r="F2135" s="51">
        <f t="shared" si="73"/>
        <v>4.5682057</v>
      </c>
      <c r="H2135" s="33"/>
      <c r="I2135" s="33"/>
      <c r="J2135" s="33"/>
      <c r="K2135" s="33"/>
      <c r="L2135" s="33"/>
      <c r="M2135" s="33"/>
      <c r="N2135" s="33"/>
      <c r="O2135" s="33"/>
      <c r="P2135" s="33"/>
      <c r="Q2135" s="33"/>
      <c r="R2135" s="33"/>
      <c r="S2135" s="33"/>
      <c r="T2135" s="33"/>
      <c r="U2135" s="33"/>
      <c r="V2135" s="33"/>
      <c r="W2135" s="33"/>
      <c r="X2135" s="33"/>
      <c r="Y2135" s="33"/>
      <c r="Z2135" s="33"/>
      <c r="AA2135" s="33"/>
      <c r="AB2135" s="33"/>
    </row>
    <row r="2136" spans="1:28" x14ac:dyDescent="0.15">
      <c r="A2136" s="46" t="s">
        <v>4323</v>
      </c>
      <c r="B2136" s="52" t="s">
        <v>7361</v>
      </c>
      <c r="C2136" s="53" t="s">
        <v>4324</v>
      </c>
      <c r="D2136" s="54" t="s">
        <v>9578</v>
      </c>
      <c r="E2136" s="50">
        <f t="shared" si="73"/>
        <v>29.205479449999999</v>
      </c>
      <c r="F2136" s="51">
        <f t="shared" si="73"/>
        <v>4.5685496600000004</v>
      </c>
      <c r="H2136" s="33"/>
      <c r="I2136" s="33"/>
      <c r="J2136" s="33"/>
      <c r="K2136" s="33"/>
      <c r="L2136" s="33"/>
      <c r="M2136" s="33"/>
      <c r="N2136" s="33"/>
      <c r="O2136" s="33"/>
      <c r="P2136" s="33"/>
      <c r="Q2136" s="33"/>
      <c r="R2136" s="33"/>
      <c r="S2136" s="33"/>
      <c r="T2136" s="33"/>
      <c r="U2136" s="33"/>
      <c r="V2136" s="33"/>
      <c r="W2136" s="33"/>
      <c r="X2136" s="33"/>
      <c r="Y2136" s="33"/>
      <c r="Z2136" s="33"/>
      <c r="AA2136" s="33"/>
      <c r="AB2136" s="33"/>
    </row>
    <row r="2137" spans="1:28" x14ac:dyDescent="0.15">
      <c r="A2137" s="46" t="s">
        <v>4325</v>
      </c>
      <c r="B2137" s="52" t="s">
        <v>7361</v>
      </c>
      <c r="C2137" s="53" t="s">
        <v>4326</v>
      </c>
      <c r="D2137" s="54" t="s">
        <v>9579</v>
      </c>
      <c r="E2137" s="50">
        <f t="shared" si="73"/>
        <v>29.219178079999999</v>
      </c>
      <c r="F2137" s="51">
        <f t="shared" si="73"/>
        <v>4.5688920800000004</v>
      </c>
      <c r="H2137" s="33"/>
      <c r="I2137" s="33"/>
      <c r="J2137" s="33"/>
      <c r="K2137" s="33"/>
      <c r="L2137" s="33"/>
      <c r="M2137" s="33"/>
      <c r="N2137" s="33"/>
      <c r="O2137" s="33"/>
      <c r="P2137" s="33"/>
      <c r="Q2137" s="33"/>
      <c r="R2137" s="33"/>
      <c r="S2137" s="33"/>
      <c r="T2137" s="33"/>
      <c r="U2137" s="33"/>
      <c r="V2137" s="33"/>
      <c r="W2137" s="33"/>
      <c r="X2137" s="33"/>
      <c r="Y2137" s="33"/>
      <c r="Z2137" s="33"/>
      <c r="AA2137" s="33"/>
      <c r="AB2137" s="33"/>
    </row>
    <row r="2138" spans="1:28" x14ac:dyDescent="0.15">
      <c r="A2138" s="46" t="s">
        <v>4327</v>
      </c>
      <c r="B2138" s="52" t="s">
        <v>7361</v>
      </c>
      <c r="C2138" s="53" t="s">
        <v>4328</v>
      </c>
      <c r="D2138" s="54" t="s">
        <v>9580</v>
      </c>
      <c r="E2138" s="50">
        <f t="shared" si="73"/>
        <v>29.232876709999999</v>
      </c>
      <c r="F2138" s="51">
        <f t="shared" si="73"/>
        <v>4.5692331099999999</v>
      </c>
      <c r="H2138" s="33"/>
      <c r="I2138" s="33"/>
      <c r="J2138" s="33"/>
      <c r="K2138" s="33"/>
      <c r="L2138" s="33"/>
      <c r="M2138" s="33"/>
      <c r="N2138" s="33"/>
      <c r="O2138" s="33"/>
      <c r="P2138" s="33"/>
      <c r="Q2138" s="33"/>
      <c r="R2138" s="33"/>
      <c r="S2138" s="33"/>
      <c r="T2138" s="33"/>
      <c r="U2138" s="33"/>
      <c r="V2138" s="33"/>
      <c r="W2138" s="33"/>
      <c r="X2138" s="33"/>
      <c r="Y2138" s="33"/>
      <c r="Z2138" s="33"/>
      <c r="AA2138" s="33"/>
      <c r="AB2138" s="33"/>
    </row>
    <row r="2139" spans="1:28" x14ac:dyDescent="0.15">
      <c r="A2139" s="46" t="s">
        <v>4329</v>
      </c>
      <c r="B2139" s="52" t="s">
        <v>7361</v>
      </c>
      <c r="C2139" s="53" t="s">
        <v>4330</v>
      </c>
      <c r="D2139" s="54" t="s">
        <v>9581</v>
      </c>
      <c r="E2139" s="50">
        <f t="shared" si="73"/>
        <v>29.24657534</v>
      </c>
      <c r="F2139" s="51">
        <f t="shared" si="73"/>
        <v>4.5695729299999996</v>
      </c>
      <c r="H2139" s="33"/>
      <c r="I2139" s="33"/>
      <c r="J2139" s="33"/>
      <c r="K2139" s="33"/>
      <c r="L2139" s="33"/>
      <c r="M2139" s="33"/>
      <c r="N2139" s="33"/>
      <c r="O2139" s="33"/>
      <c r="P2139" s="33"/>
      <c r="Q2139" s="33"/>
      <c r="R2139" s="33"/>
      <c r="S2139" s="33"/>
      <c r="T2139" s="33"/>
      <c r="U2139" s="33"/>
      <c r="V2139" s="33"/>
      <c r="W2139" s="33"/>
      <c r="X2139" s="33"/>
      <c r="Y2139" s="33"/>
      <c r="Z2139" s="33"/>
      <c r="AA2139" s="33"/>
      <c r="AB2139" s="33"/>
    </row>
    <row r="2140" spans="1:28" x14ac:dyDescent="0.15">
      <c r="A2140" s="46" t="s">
        <v>4331</v>
      </c>
      <c r="B2140" s="52" t="s">
        <v>7361</v>
      </c>
      <c r="C2140" s="53" t="s">
        <v>4332</v>
      </c>
      <c r="D2140" s="54" t="s">
        <v>9582</v>
      </c>
      <c r="E2140" s="50">
        <f t="shared" si="73"/>
        <v>29.26027397</v>
      </c>
      <c r="F2140" s="51">
        <f t="shared" si="73"/>
        <v>4.5699116999999996</v>
      </c>
      <c r="H2140" s="33"/>
      <c r="I2140" s="33"/>
      <c r="J2140" s="33"/>
      <c r="K2140" s="33"/>
      <c r="L2140" s="33"/>
      <c r="M2140" s="33"/>
      <c r="N2140" s="33"/>
      <c r="O2140" s="33"/>
      <c r="P2140" s="33"/>
      <c r="Q2140" s="33"/>
      <c r="R2140" s="33"/>
      <c r="S2140" s="33"/>
      <c r="T2140" s="33"/>
      <c r="U2140" s="33"/>
      <c r="V2140" s="33"/>
      <c r="W2140" s="33"/>
      <c r="X2140" s="33"/>
      <c r="Y2140" s="33"/>
      <c r="Z2140" s="33"/>
      <c r="AA2140" s="33"/>
      <c r="AB2140" s="33"/>
    </row>
    <row r="2141" spans="1:28" x14ac:dyDescent="0.15">
      <c r="A2141" s="46" t="s">
        <v>4333</v>
      </c>
      <c r="B2141" s="52" t="s">
        <v>7361</v>
      </c>
      <c r="C2141" s="53" t="s">
        <v>4334</v>
      </c>
      <c r="D2141" s="54" t="s">
        <v>9583</v>
      </c>
      <c r="E2141" s="50">
        <f t="shared" si="73"/>
        <v>29.2739726</v>
      </c>
      <c r="F2141" s="51">
        <f t="shared" si="73"/>
        <v>4.5702495900000004</v>
      </c>
      <c r="H2141" s="33"/>
      <c r="I2141" s="33"/>
      <c r="J2141" s="33"/>
      <c r="K2141" s="33"/>
      <c r="L2141" s="33"/>
      <c r="M2141" s="33"/>
      <c r="N2141" s="33"/>
      <c r="O2141" s="33"/>
      <c r="P2141" s="33"/>
      <c r="Q2141" s="33"/>
      <c r="R2141" s="33"/>
      <c r="S2141" s="33"/>
      <c r="T2141" s="33"/>
      <c r="U2141" s="33"/>
      <c r="V2141" s="33"/>
      <c r="W2141" s="33"/>
      <c r="X2141" s="33"/>
      <c r="Y2141" s="33"/>
      <c r="Z2141" s="33"/>
      <c r="AA2141" s="33"/>
      <c r="AB2141" s="33"/>
    </row>
    <row r="2142" spans="1:28" x14ac:dyDescent="0.15">
      <c r="A2142" s="46" t="s">
        <v>4335</v>
      </c>
      <c r="B2142" s="52" t="s">
        <v>7361</v>
      </c>
      <c r="C2142" s="53" t="s">
        <v>4336</v>
      </c>
      <c r="D2142" s="54" t="s">
        <v>9584</v>
      </c>
      <c r="E2142" s="50">
        <f t="shared" si="73"/>
        <v>29.287671230000001</v>
      </c>
      <c r="F2142" s="51">
        <f t="shared" si="73"/>
        <v>4.5705867500000004</v>
      </c>
      <c r="H2142" s="33"/>
      <c r="I2142" s="33"/>
      <c r="J2142" s="33"/>
      <c r="K2142" s="33"/>
      <c r="L2142" s="33"/>
      <c r="M2142" s="33"/>
      <c r="N2142" s="33"/>
      <c r="O2142" s="33"/>
      <c r="P2142" s="33"/>
      <c r="Q2142" s="33"/>
      <c r="R2142" s="33"/>
      <c r="S2142" s="33"/>
      <c r="T2142" s="33"/>
      <c r="U2142" s="33"/>
      <c r="V2142" s="33"/>
      <c r="W2142" s="33"/>
      <c r="X2142" s="33"/>
      <c r="Y2142" s="33"/>
      <c r="Z2142" s="33"/>
      <c r="AA2142" s="33"/>
      <c r="AB2142" s="33"/>
    </row>
    <row r="2143" spans="1:28" x14ac:dyDescent="0.15">
      <c r="A2143" s="46" t="s">
        <v>4337</v>
      </c>
      <c r="B2143" s="52" t="s">
        <v>7361</v>
      </c>
      <c r="C2143" s="53" t="s">
        <v>4338</v>
      </c>
      <c r="D2143" s="54" t="s">
        <v>9585</v>
      </c>
      <c r="E2143" s="50">
        <f t="shared" si="73"/>
        <v>29.301369860000001</v>
      </c>
      <c r="F2143" s="51">
        <f t="shared" si="73"/>
        <v>4.57092337</v>
      </c>
      <c r="H2143" s="33"/>
      <c r="I2143" s="33"/>
      <c r="J2143" s="33"/>
      <c r="K2143" s="33"/>
      <c r="L2143" s="33"/>
      <c r="M2143" s="33"/>
      <c r="N2143" s="33"/>
      <c r="O2143" s="33"/>
      <c r="P2143" s="33"/>
      <c r="Q2143" s="33"/>
      <c r="R2143" s="33"/>
      <c r="S2143" s="33"/>
      <c r="T2143" s="33"/>
      <c r="U2143" s="33"/>
      <c r="V2143" s="33"/>
      <c r="W2143" s="33"/>
      <c r="X2143" s="33"/>
      <c r="Y2143" s="33"/>
      <c r="Z2143" s="33"/>
      <c r="AA2143" s="33"/>
      <c r="AB2143" s="33"/>
    </row>
    <row r="2144" spans="1:28" x14ac:dyDescent="0.15">
      <c r="A2144" s="46" t="s">
        <v>4339</v>
      </c>
      <c r="B2144" s="52" t="s">
        <v>7361</v>
      </c>
      <c r="C2144" s="53" t="s">
        <v>4340</v>
      </c>
      <c r="D2144" s="54" t="s">
        <v>9586</v>
      </c>
      <c r="E2144" s="50">
        <f t="shared" si="73"/>
        <v>29.315068490000002</v>
      </c>
      <c r="F2144" s="51">
        <f t="shared" si="73"/>
        <v>4.5712596000000003</v>
      </c>
      <c r="H2144" s="33"/>
      <c r="I2144" s="33"/>
      <c r="J2144" s="33"/>
      <c r="K2144" s="33"/>
      <c r="L2144" s="33"/>
      <c r="M2144" s="33"/>
      <c r="N2144" s="33"/>
      <c r="O2144" s="33"/>
      <c r="P2144" s="33"/>
      <c r="Q2144" s="33"/>
      <c r="R2144" s="33"/>
      <c r="S2144" s="33"/>
      <c r="T2144" s="33"/>
      <c r="U2144" s="33"/>
      <c r="V2144" s="33"/>
      <c r="W2144" s="33"/>
      <c r="X2144" s="33"/>
      <c r="Y2144" s="33"/>
      <c r="Z2144" s="33"/>
      <c r="AA2144" s="33"/>
      <c r="AB2144" s="33"/>
    </row>
    <row r="2145" spans="1:28" x14ac:dyDescent="0.15">
      <c r="A2145" s="46" t="s">
        <v>4341</v>
      </c>
      <c r="B2145" s="52" t="s">
        <v>7361</v>
      </c>
      <c r="C2145" s="53" t="s">
        <v>4342</v>
      </c>
      <c r="D2145" s="54" t="s">
        <v>9587</v>
      </c>
      <c r="E2145" s="50">
        <f t="shared" si="73"/>
        <v>29.328767119999998</v>
      </c>
      <c r="F2145" s="51">
        <f t="shared" si="73"/>
        <v>4.5715956100000001</v>
      </c>
      <c r="H2145" s="33"/>
      <c r="I2145" s="33"/>
      <c r="J2145" s="33"/>
      <c r="K2145" s="33"/>
      <c r="L2145" s="33"/>
      <c r="M2145" s="33"/>
      <c r="N2145" s="33"/>
      <c r="O2145" s="33"/>
      <c r="P2145" s="33"/>
      <c r="Q2145" s="33"/>
      <c r="R2145" s="33"/>
      <c r="S2145" s="33"/>
      <c r="T2145" s="33"/>
      <c r="U2145" s="33"/>
      <c r="V2145" s="33"/>
      <c r="W2145" s="33"/>
      <c r="X2145" s="33"/>
      <c r="Y2145" s="33"/>
      <c r="Z2145" s="33"/>
      <c r="AA2145" s="33"/>
      <c r="AB2145" s="33"/>
    </row>
    <row r="2146" spans="1:28" x14ac:dyDescent="0.15">
      <c r="A2146" s="46" t="s">
        <v>4343</v>
      </c>
      <c r="B2146" s="52" t="s">
        <v>7361</v>
      </c>
      <c r="C2146" s="53" t="s">
        <v>4344</v>
      </c>
      <c r="D2146" s="54" t="s">
        <v>9588</v>
      </c>
      <c r="E2146" s="50">
        <f t="shared" si="73"/>
        <v>29.342465749999999</v>
      </c>
      <c r="F2146" s="51">
        <f t="shared" si="73"/>
        <v>4.5719315600000003</v>
      </c>
      <c r="H2146" s="33"/>
      <c r="I2146" s="33"/>
      <c r="J2146" s="33"/>
      <c r="K2146" s="33"/>
      <c r="L2146" s="33"/>
      <c r="M2146" s="33"/>
      <c r="N2146" s="33"/>
      <c r="O2146" s="33"/>
      <c r="P2146" s="33"/>
      <c r="Q2146" s="33"/>
      <c r="R2146" s="33"/>
      <c r="S2146" s="33"/>
      <c r="T2146" s="33"/>
      <c r="U2146" s="33"/>
      <c r="V2146" s="33"/>
      <c r="W2146" s="33"/>
      <c r="X2146" s="33"/>
      <c r="Y2146" s="33"/>
      <c r="Z2146" s="33"/>
      <c r="AA2146" s="33"/>
      <c r="AB2146" s="33"/>
    </row>
    <row r="2147" spans="1:28" x14ac:dyDescent="0.15">
      <c r="A2147" s="46" t="s">
        <v>4345</v>
      </c>
      <c r="B2147" s="52" t="s">
        <v>7361</v>
      </c>
      <c r="C2147" s="53" t="s">
        <v>4346</v>
      </c>
      <c r="D2147" s="54" t="s">
        <v>9589</v>
      </c>
      <c r="E2147" s="50">
        <f t="shared" si="73"/>
        <v>29.356164379999999</v>
      </c>
      <c r="F2147" s="51">
        <f t="shared" si="73"/>
        <v>4.5722676199999999</v>
      </c>
      <c r="H2147" s="33"/>
      <c r="I2147" s="33"/>
      <c r="J2147" s="33"/>
      <c r="K2147" s="33"/>
      <c r="L2147" s="33"/>
      <c r="M2147" s="33"/>
      <c r="N2147" s="33"/>
      <c r="O2147" s="33"/>
      <c r="P2147" s="33"/>
      <c r="Q2147" s="33"/>
      <c r="R2147" s="33"/>
      <c r="S2147" s="33"/>
      <c r="T2147" s="33"/>
      <c r="U2147" s="33"/>
      <c r="V2147" s="33"/>
      <c r="W2147" s="33"/>
      <c r="X2147" s="33"/>
      <c r="Y2147" s="33"/>
      <c r="Z2147" s="33"/>
      <c r="AA2147" s="33"/>
      <c r="AB2147" s="33"/>
    </row>
    <row r="2148" spans="1:28" x14ac:dyDescent="0.15">
      <c r="A2148" s="46" t="s">
        <v>4347</v>
      </c>
      <c r="B2148" s="52" t="s">
        <v>7361</v>
      </c>
      <c r="C2148" s="53" t="s">
        <v>4348</v>
      </c>
      <c r="D2148" s="54" t="s">
        <v>9590</v>
      </c>
      <c r="E2148" s="50">
        <f t="shared" si="73"/>
        <v>29.36986301</v>
      </c>
      <c r="F2148" s="51">
        <f t="shared" si="73"/>
        <v>4.5726039600000004</v>
      </c>
      <c r="H2148" s="33"/>
      <c r="I2148" s="33"/>
      <c r="J2148" s="33"/>
      <c r="K2148" s="33"/>
      <c r="L2148" s="33"/>
      <c r="M2148" s="33"/>
      <c r="N2148" s="33"/>
      <c r="O2148" s="33"/>
      <c r="P2148" s="33"/>
      <c r="Q2148" s="33"/>
      <c r="R2148" s="33"/>
      <c r="S2148" s="33"/>
      <c r="T2148" s="33"/>
      <c r="U2148" s="33"/>
      <c r="V2148" s="33"/>
      <c r="W2148" s="33"/>
      <c r="X2148" s="33"/>
      <c r="Y2148" s="33"/>
      <c r="Z2148" s="33"/>
      <c r="AA2148" s="33"/>
      <c r="AB2148" s="33"/>
    </row>
    <row r="2149" spans="1:28" x14ac:dyDescent="0.15">
      <c r="A2149" s="46" t="s">
        <v>4349</v>
      </c>
      <c r="B2149" s="52" t="s">
        <v>7361</v>
      </c>
      <c r="C2149" s="53" t="s">
        <v>4350</v>
      </c>
      <c r="D2149" s="54" t="s">
        <v>9591</v>
      </c>
      <c r="E2149" s="50">
        <f t="shared" si="73"/>
        <v>29.38356164</v>
      </c>
      <c r="F2149" s="51">
        <f t="shared" si="73"/>
        <v>4.5729407399999999</v>
      </c>
      <c r="H2149" s="33"/>
      <c r="I2149" s="33"/>
      <c r="J2149" s="33"/>
      <c r="K2149" s="33"/>
      <c r="L2149" s="33"/>
      <c r="M2149" s="33"/>
      <c r="N2149" s="33"/>
      <c r="O2149" s="33"/>
      <c r="P2149" s="33"/>
      <c r="Q2149" s="33"/>
      <c r="R2149" s="33"/>
      <c r="S2149" s="33"/>
      <c r="T2149" s="33"/>
      <c r="U2149" s="33"/>
      <c r="V2149" s="33"/>
      <c r="W2149" s="33"/>
      <c r="X2149" s="33"/>
      <c r="Y2149" s="33"/>
      <c r="Z2149" s="33"/>
      <c r="AA2149" s="33"/>
      <c r="AB2149" s="33"/>
    </row>
    <row r="2150" spans="1:28" x14ac:dyDescent="0.15">
      <c r="A2150" s="46" t="s">
        <v>4351</v>
      </c>
      <c r="B2150" s="52" t="s">
        <v>7361</v>
      </c>
      <c r="C2150" s="53" t="s">
        <v>4352</v>
      </c>
      <c r="D2150" s="54" t="s">
        <v>9592</v>
      </c>
      <c r="E2150" s="50">
        <f t="shared" si="73"/>
        <v>29.39726027</v>
      </c>
      <c r="F2150" s="51">
        <f t="shared" si="73"/>
        <v>4.5732781300000003</v>
      </c>
      <c r="H2150" s="33"/>
      <c r="I2150" s="33"/>
      <c r="J2150" s="33"/>
      <c r="K2150" s="33"/>
      <c r="L2150" s="33"/>
      <c r="M2150" s="33"/>
      <c r="N2150" s="33"/>
      <c r="O2150" s="33"/>
      <c r="P2150" s="33"/>
      <c r="Q2150" s="33"/>
      <c r="R2150" s="33"/>
      <c r="S2150" s="33"/>
      <c r="T2150" s="33"/>
      <c r="U2150" s="33"/>
      <c r="V2150" s="33"/>
      <c r="W2150" s="33"/>
      <c r="X2150" s="33"/>
      <c r="Y2150" s="33"/>
      <c r="Z2150" s="33"/>
      <c r="AA2150" s="33"/>
      <c r="AB2150" s="33"/>
    </row>
    <row r="2151" spans="1:28" x14ac:dyDescent="0.15">
      <c r="A2151" s="46" t="s">
        <v>4353</v>
      </c>
      <c r="B2151" s="52" t="s">
        <v>7361</v>
      </c>
      <c r="C2151" s="53" t="s">
        <v>4354</v>
      </c>
      <c r="D2151" s="54" t="s">
        <v>9593</v>
      </c>
      <c r="E2151" s="50">
        <f t="shared" si="73"/>
        <v>29.410958900000001</v>
      </c>
      <c r="F2151" s="51">
        <f t="shared" si="73"/>
        <v>4.5736162900000004</v>
      </c>
      <c r="H2151" s="33"/>
      <c r="I2151" s="33"/>
      <c r="J2151" s="33"/>
      <c r="K2151" s="33"/>
      <c r="L2151" s="33"/>
      <c r="M2151" s="33"/>
      <c r="N2151" s="33"/>
      <c r="O2151" s="33"/>
      <c r="P2151" s="33"/>
      <c r="Q2151" s="33"/>
      <c r="R2151" s="33"/>
      <c r="S2151" s="33"/>
      <c r="T2151" s="33"/>
      <c r="U2151" s="33"/>
      <c r="V2151" s="33"/>
      <c r="W2151" s="33"/>
      <c r="X2151" s="33"/>
      <c r="Y2151" s="33"/>
      <c r="Z2151" s="33"/>
      <c r="AA2151" s="33"/>
      <c r="AB2151" s="33"/>
    </row>
    <row r="2152" spans="1:28" x14ac:dyDescent="0.15">
      <c r="A2152" s="46" t="s">
        <v>4355</v>
      </c>
      <c r="B2152" s="52" t="s">
        <v>7361</v>
      </c>
      <c r="C2152" s="53" t="s">
        <v>4356</v>
      </c>
      <c r="D2152" s="54" t="s">
        <v>9594</v>
      </c>
      <c r="E2152" s="50">
        <f t="shared" si="73"/>
        <v>29.424657530000001</v>
      </c>
      <c r="F2152" s="51">
        <f t="shared" si="73"/>
        <v>4.5739554</v>
      </c>
      <c r="H2152" s="33"/>
      <c r="I2152" s="33"/>
      <c r="J2152" s="33"/>
      <c r="K2152" s="33"/>
      <c r="L2152" s="33"/>
      <c r="M2152" s="33"/>
      <c r="N2152" s="33"/>
      <c r="O2152" s="33"/>
      <c r="P2152" s="33"/>
      <c r="Q2152" s="33"/>
      <c r="R2152" s="33"/>
      <c r="S2152" s="33"/>
      <c r="T2152" s="33"/>
      <c r="U2152" s="33"/>
      <c r="V2152" s="33"/>
      <c r="W2152" s="33"/>
      <c r="X2152" s="33"/>
      <c r="Y2152" s="33"/>
      <c r="Z2152" s="33"/>
      <c r="AA2152" s="33"/>
      <c r="AB2152" s="33"/>
    </row>
    <row r="2153" spans="1:28" x14ac:dyDescent="0.15">
      <c r="A2153" s="46" t="s">
        <v>4357</v>
      </c>
      <c r="B2153" s="52" t="s">
        <v>7361</v>
      </c>
      <c r="C2153" s="53" t="s">
        <v>4358</v>
      </c>
      <c r="D2153" s="54" t="s">
        <v>9595</v>
      </c>
      <c r="E2153" s="50">
        <f t="shared" si="73"/>
        <v>29.438356160000001</v>
      </c>
      <c r="F2153" s="51">
        <f t="shared" si="73"/>
        <v>4.5742956000000001</v>
      </c>
      <c r="H2153" s="33"/>
      <c r="I2153" s="33"/>
      <c r="J2153" s="33"/>
      <c r="K2153" s="33"/>
      <c r="L2153" s="33"/>
      <c r="M2153" s="33"/>
      <c r="N2153" s="33"/>
      <c r="O2153" s="33"/>
      <c r="P2153" s="33"/>
      <c r="Q2153" s="33"/>
      <c r="R2153" s="33"/>
      <c r="S2153" s="33"/>
      <c r="T2153" s="33"/>
      <c r="U2153" s="33"/>
      <c r="V2153" s="33"/>
      <c r="W2153" s="33"/>
      <c r="X2153" s="33"/>
      <c r="Y2153" s="33"/>
      <c r="Z2153" s="33"/>
      <c r="AA2153" s="33"/>
      <c r="AB2153" s="33"/>
    </row>
    <row r="2154" spans="1:28" x14ac:dyDescent="0.15">
      <c r="A2154" s="46" t="s">
        <v>4359</v>
      </c>
      <c r="B2154" s="52" t="s">
        <v>7361</v>
      </c>
      <c r="C2154" s="53" t="s">
        <v>4360</v>
      </c>
      <c r="D2154" s="54" t="s">
        <v>9596</v>
      </c>
      <c r="E2154" s="50">
        <f t="shared" si="73"/>
        <v>29.452054789999998</v>
      </c>
      <c r="F2154" s="51">
        <f t="shared" si="73"/>
        <v>4.5746370799999996</v>
      </c>
      <c r="H2154" s="33"/>
      <c r="I2154" s="33"/>
      <c r="J2154" s="33"/>
      <c r="K2154" s="33"/>
      <c r="L2154" s="33"/>
      <c r="M2154" s="33"/>
      <c r="N2154" s="33"/>
      <c r="O2154" s="33"/>
      <c r="P2154" s="33"/>
      <c r="Q2154" s="33"/>
      <c r="R2154" s="33"/>
      <c r="S2154" s="33"/>
      <c r="T2154" s="33"/>
      <c r="U2154" s="33"/>
      <c r="V2154" s="33"/>
      <c r="W2154" s="33"/>
      <c r="X2154" s="33"/>
      <c r="Y2154" s="33"/>
      <c r="Z2154" s="33"/>
      <c r="AA2154" s="33"/>
      <c r="AB2154" s="33"/>
    </row>
    <row r="2155" spans="1:28" x14ac:dyDescent="0.15">
      <c r="A2155" s="46" t="s">
        <v>4361</v>
      </c>
      <c r="B2155" s="52" t="s">
        <v>7361</v>
      </c>
      <c r="C2155" s="53" t="s">
        <v>4362</v>
      </c>
      <c r="D2155" s="54" t="s">
        <v>9597</v>
      </c>
      <c r="E2155" s="50">
        <f t="shared" si="73"/>
        <v>29.465753419999999</v>
      </c>
      <c r="F2155" s="51">
        <f t="shared" si="73"/>
        <v>4.5749799900000001</v>
      </c>
      <c r="H2155" s="33"/>
      <c r="I2155" s="33"/>
      <c r="J2155" s="33"/>
      <c r="K2155" s="33"/>
      <c r="L2155" s="33"/>
      <c r="M2155" s="33"/>
      <c r="N2155" s="33"/>
      <c r="O2155" s="33"/>
      <c r="P2155" s="33"/>
      <c r="Q2155" s="33"/>
      <c r="R2155" s="33"/>
      <c r="S2155" s="33"/>
      <c r="T2155" s="33"/>
      <c r="U2155" s="33"/>
      <c r="V2155" s="33"/>
      <c r="W2155" s="33"/>
      <c r="X2155" s="33"/>
      <c r="Y2155" s="33"/>
      <c r="Z2155" s="33"/>
      <c r="AA2155" s="33"/>
      <c r="AB2155" s="33"/>
    </row>
    <row r="2156" spans="1:28" x14ac:dyDescent="0.15">
      <c r="A2156" s="46" t="s">
        <v>4363</v>
      </c>
      <c r="B2156" s="52" t="s">
        <v>7361</v>
      </c>
      <c r="C2156" s="53" t="s">
        <v>4364</v>
      </c>
      <c r="D2156" s="54" t="s">
        <v>9598</v>
      </c>
      <c r="E2156" s="50">
        <f t="shared" si="73"/>
        <v>29.479452049999999</v>
      </c>
      <c r="F2156" s="51">
        <f t="shared" si="73"/>
        <v>4.5753245099999997</v>
      </c>
      <c r="H2156" s="33"/>
      <c r="I2156" s="33"/>
      <c r="J2156" s="33"/>
      <c r="K2156" s="33"/>
      <c r="L2156" s="33"/>
      <c r="M2156" s="33"/>
      <c r="N2156" s="33"/>
      <c r="O2156" s="33"/>
      <c r="P2156" s="33"/>
      <c r="Q2156" s="33"/>
      <c r="R2156" s="33"/>
      <c r="S2156" s="33"/>
      <c r="T2156" s="33"/>
      <c r="U2156" s="33"/>
      <c r="V2156" s="33"/>
      <c r="W2156" s="33"/>
      <c r="X2156" s="33"/>
      <c r="Y2156" s="33"/>
      <c r="Z2156" s="33"/>
      <c r="AA2156" s="33"/>
      <c r="AB2156" s="33"/>
    </row>
    <row r="2157" spans="1:28" x14ac:dyDescent="0.15">
      <c r="A2157" s="46" t="s">
        <v>4365</v>
      </c>
      <c r="B2157" s="52" t="s">
        <v>7361</v>
      </c>
      <c r="C2157" s="53" t="s">
        <v>4366</v>
      </c>
      <c r="D2157" s="54" t="s">
        <v>9599</v>
      </c>
      <c r="E2157" s="50">
        <f t="shared" si="73"/>
        <v>29.493150679999999</v>
      </c>
      <c r="F2157" s="51">
        <f t="shared" si="73"/>
        <v>4.5756707900000002</v>
      </c>
      <c r="H2157" s="33"/>
      <c r="I2157" s="33"/>
      <c r="J2157" s="33"/>
      <c r="K2157" s="33"/>
      <c r="L2157" s="33"/>
      <c r="M2157" s="33"/>
      <c r="N2157" s="33"/>
      <c r="O2157" s="33"/>
      <c r="P2157" s="33"/>
      <c r="Q2157" s="33"/>
      <c r="R2157" s="33"/>
      <c r="S2157" s="33"/>
      <c r="T2157" s="33"/>
      <c r="U2157" s="33"/>
      <c r="V2157" s="33"/>
      <c r="W2157" s="33"/>
      <c r="X2157" s="33"/>
      <c r="Y2157" s="33"/>
      <c r="Z2157" s="33"/>
      <c r="AA2157" s="33"/>
      <c r="AB2157" s="33"/>
    </row>
    <row r="2158" spans="1:28" x14ac:dyDescent="0.15">
      <c r="A2158" s="46" t="s">
        <v>4367</v>
      </c>
      <c r="B2158" s="52" t="s">
        <v>7361</v>
      </c>
      <c r="C2158" s="53" t="s">
        <v>4368</v>
      </c>
      <c r="D2158" s="54" t="s">
        <v>9600</v>
      </c>
      <c r="E2158" s="50">
        <f t="shared" si="73"/>
        <v>29.506849320000001</v>
      </c>
      <c r="F2158" s="51">
        <f t="shared" si="73"/>
        <v>4.5760181400000004</v>
      </c>
      <c r="H2158" s="33"/>
      <c r="I2158" s="33"/>
      <c r="J2158" s="33"/>
      <c r="K2158" s="33"/>
      <c r="L2158" s="33"/>
      <c r="M2158" s="33"/>
      <c r="N2158" s="33"/>
      <c r="O2158" s="33"/>
      <c r="P2158" s="33"/>
      <c r="Q2158" s="33"/>
      <c r="R2158" s="33"/>
      <c r="S2158" s="33"/>
      <c r="T2158" s="33"/>
      <c r="U2158" s="33"/>
      <c r="V2158" s="33"/>
      <c r="W2158" s="33"/>
      <c r="X2158" s="33"/>
      <c r="Y2158" s="33"/>
      <c r="Z2158" s="33"/>
      <c r="AA2158" s="33"/>
      <c r="AB2158" s="33"/>
    </row>
    <row r="2159" spans="1:28" x14ac:dyDescent="0.15">
      <c r="A2159" s="46" t="s">
        <v>4369</v>
      </c>
      <c r="B2159" s="52" t="s">
        <v>7361</v>
      </c>
      <c r="C2159" s="53" t="s">
        <v>4370</v>
      </c>
      <c r="D2159" s="54" t="s">
        <v>9601</v>
      </c>
      <c r="E2159" s="50">
        <f t="shared" si="73"/>
        <v>29.520547950000001</v>
      </c>
      <c r="F2159" s="51">
        <f t="shared" si="73"/>
        <v>4.5763615299999998</v>
      </c>
      <c r="H2159" s="33"/>
      <c r="I2159" s="33"/>
      <c r="J2159" s="33"/>
      <c r="K2159" s="33"/>
      <c r="L2159" s="33"/>
      <c r="M2159" s="33"/>
      <c r="N2159" s="33"/>
      <c r="O2159" s="33"/>
      <c r="P2159" s="33"/>
      <c r="Q2159" s="33"/>
      <c r="R2159" s="33"/>
      <c r="S2159" s="33"/>
      <c r="T2159" s="33"/>
      <c r="U2159" s="33"/>
      <c r="V2159" s="33"/>
      <c r="W2159" s="33"/>
      <c r="X2159" s="33"/>
      <c r="Y2159" s="33"/>
      <c r="Z2159" s="33"/>
      <c r="AA2159" s="33"/>
      <c r="AB2159" s="33"/>
    </row>
    <row r="2160" spans="1:28" x14ac:dyDescent="0.15">
      <c r="A2160" s="46" t="s">
        <v>4371</v>
      </c>
      <c r="B2160" s="52" t="s">
        <v>7361</v>
      </c>
      <c r="C2160" s="53" t="s">
        <v>4372</v>
      </c>
      <c r="D2160" s="54" t="s">
        <v>9602</v>
      </c>
      <c r="E2160" s="50">
        <f t="shared" si="73"/>
        <v>29.534246580000001</v>
      </c>
      <c r="F2160" s="51">
        <f t="shared" si="73"/>
        <v>4.5767002799999998</v>
      </c>
      <c r="H2160" s="33"/>
      <c r="I2160" s="33"/>
      <c r="J2160" s="33"/>
      <c r="K2160" s="33"/>
      <c r="L2160" s="33"/>
      <c r="M2160" s="33"/>
      <c r="N2160" s="33"/>
      <c r="O2160" s="33"/>
      <c r="P2160" s="33"/>
      <c r="Q2160" s="33"/>
      <c r="R2160" s="33"/>
      <c r="S2160" s="33"/>
      <c r="T2160" s="33"/>
      <c r="U2160" s="33"/>
      <c r="V2160" s="33"/>
      <c r="W2160" s="33"/>
      <c r="X2160" s="33"/>
      <c r="Y2160" s="33"/>
      <c r="Z2160" s="33"/>
      <c r="AA2160" s="33"/>
      <c r="AB2160" s="33"/>
    </row>
    <row r="2161" spans="1:28" x14ac:dyDescent="0.15">
      <c r="A2161" s="46" t="s">
        <v>4373</v>
      </c>
      <c r="B2161" s="52" t="s">
        <v>7361</v>
      </c>
      <c r="C2161" s="53" t="s">
        <v>4374</v>
      </c>
      <c r="D2161" s="54" t="s">
        <v>9603</v>
      </c>
      <c r="E2161" s="50">
        <f t="shared" si="73"/>
        <v>29.547945210000002</v>
      </c>
      <c r="F2161" s="51">
        <f t="shared" si="73"/>
        <v>4.5770346100000001</v>
      </c>
      <c r="H2161" s="33"/>
      <c r="I2161" s="33"/>
      <c r="J2161" s="33"/>
      <c r="K2161" s="33"/>
      <c r="L2161" s="33"/>
      <c r="M2161" s="33"/>
      <c r="N2161" s="33"/>
      <c r="O2161" s="33"/>
      <c r="P2161" s="33"/>
      <c r="Q2161" s="33"/>
      <c r="R2161" s="33"/>
      <c r="S2161" s="33"/>
      <c r="T2161" s="33"/>
      <c r="U2161" s="33"/>
      <c r="V2161" s="33"/>
      <c r="W2161" s="33"/>
      <c r="X2161" s="33"/>
      <c r="Y2161" s="33"/>
      <c r="Z2161" s="33"/>
      <c r="AA2161" s="33"/>
      <c r="AB2161" s="33"/>
    </row>
    <row r="2162" spans="1:28" x14ac:dyDescent="0.15">
      <c r="A2162" s="46" t="s">
        <v>4375</v>
      </c>
      <c r="B2162" s="52" t="s">
        <v>7361</v>
      </c>
      <c r="C2162" s="53" t="s">
        <v>4376</v>
      </c>
      <c r="D2162" s="54" t="s">
        <v>9604</v>
      </c>
      <c r="E2162" s="50">
        <f t="shared" si="73"/>
        <v>29.561643839999999</v>
      </c>
      <c r="F2162" s="51">
        <f t="shared" si="73"/>
        <v>4.5773647100000003</v>
      </c>
      <c r="H2162" s="33"/>
      <c r="I2162" s="33"/>
      <c r="J2162" s="33"/>
      <c r="K2162" s="33"/>
      <c r="L2162" s="33"/>
      <c r="M2162" s="33"/>
      <c r="N2162" s="33"/>
      <c r="O2162" s="33"/>
      <c r="P2162" s="33"/>
      <c r="Q2162" s="33"/>
      <c r="R2162" s="33"/>
      <c r="S2162" s="33"/>
      <c r="T2162" s="33"/>
      <c r="U2162" s="33"/>
      <c r="V2162" s="33"/>
      <c r="W2162" s="33"/>
      <c r="X2162" s="33"/>
      <c r="Y2162" s="33"/>
      <c r="Z2162" s="33"/>
      <c r="AA2162" s="33"/>
      <c r="AB2162" s="33"/>
    </row>
    <row r="2163" spans="1:28" x14ac:dyDescent="0.15">
      <c r="A2163" s="46" t="s">
        <v>4377</v>
      </c>
      <c r="B2163" s="52" t="s">
        <v>7361</v>
      </c>
      <c r="C2163" s="53" t="s">
        <v>4378</v>
      </c>
      <c r="D2163" s="54" t="s">
        <v>9605</v>
      </c>
      <c r="E2163" s="50">
        <f t="shared" si="73"/>
        <v>29.575342469999999</v>
      </c>
      <c r="F2163" s="51">
        <f t="shared" si="73"/>
        <v>4.5776907900000001</v>
      </c>
      <c r="H2163" s="33"/>
      <c r="I2163" s="33"/>
      <c r="J2163" s="33"/>
      <c r="K2163" s="33"/>
      <c r="L2163" s="33"/>
      <c r="M2163" s="33"/>
      <c r="N2163" s="33"/>
      <c r="O2163" s="33"/>
      <c r="P2163" s="33"/>
      <c r="Q2163" s="33"/>
      <c r="R2163" s="33"/>
      <c r="S2163" s="33"/>
      <c r="T2163" s="33"/>
      <c r="U2163" s="33"/>
      <c r="V2163" s="33"/>
      <c r="W2163" s="33"/>
      <c r="X2163" s="33"/>
      <c r="Y2163" s="33"/>
      <c r="Z2163" s="33"/>
      <c r="AA2163" s="33"/>
      <c r="AB2163" s="33"/>
    </row>
    <row r="2164" spans="1:28" x14ac:dyDescent="0.15">
      <c r="A2164" s="46" t="s">
        <v>4379</v>
      </c>
      <c r="B2164" s="52" t="s">
        <v>7361</v>
      </c>
      <c r="C2164" s="53" t="s">
        <v>4380</v>
      </c>
      <c r="D2164" s="54" t="s">
        <v>9606</v>
      </c>
      <c r="E2164" s="50">
        <f t="shared" si="73"/>
        <v>29.589041099999999</v>
      </c>
      <c r="F2164" s="51">
        <f t="shared" si="73"/>
        <v>4.57801305</v>
      </c>
      <c r="H2164" s="33"/>
      <c r="I2164" s="33"/>
      <c r="J2164" s="33"/>
      <c r="K2164" s="33"/>
      <c r="L2164" s="33"/>
      <c r="M2164" s="33"/>
      <c r="N2164" s="33"/>
      <c r="O2164" s="33"/>
      <c r="P2164" s="33"/>
      <c r="Q2164" s="33"/>
      <c r="R2164" s="33"/>
      <c r="S2164" s="33"/>
      <c r="T2164" s="33"/>
      <c r="U2164" s="33"/>
      <c r="V2164" s="33"/>
      <c r="W2164" s="33"/>
      <c r="X2164" s="33"/>
      <c r="Y2164" s="33"/>
      <c r="Z2164" s="33"/>
      <c r="AA2164" s="33"/>
      <c r="AB2164" s="33"/>
    </row>
    <row r="2165" spans="1:28" x14ac:dyDescent="0.15">
      <c r="A2165" s="46" t="s">
        <v>4381</v>
      </c>
      <c r="B2165" s="52" t="s">
        <v>7361</v>
      </c>
      <c r="C2165" s="53" t="s">
        <v>4382</v>
      </c>
      <c r="D2165" s="54" t="s">
        <v>9607</v>
      </c>
      <c r="E2165" s="50">
        <f t="shared" ref="E2165:F2194" si="74">VALUE(C2165)</f>
        <v>29.60273973</v>
      </c>
      <c r="F2165" s="51">
        <f t="shared" si="74"/>
        <v>4.5783316899999997</v>
      </c>
      <c r="H2165" s="33"/>
      <c r="I2165" s="33"/>
      <c r="J2165" s="33"/>
      <c r="K2165" s="33"/>
      <c r="L2165" s="33"/>
      <c r="M2165" s="33"/>
      <c r="N2165" s="33"/>
      <c r="O2165" s="33"/>
      <c r="P2165" s="33"/>
      <c r="Q2165" s="33"/>
      <c r="R2165" s="33"/>
      <c r="S2165" s="33"/>
      <c r="T2165" s="33"/>
      <c r="U2165" s="33"/>
      <c r="V2165" s="33"/>
      <c r="W2165" s="33"/>
      <c r="X2165" s="33"/>
      <c r="Y2165" s="33"/>
      <c r="Z2165" s="33"/>
      <c r="AA2165" s="33"/>
      <c r="AB2165" s="33"/>
    </row>
    <row r="2166" spans="1:28" x14ac:dyDescent="0.15">
      <c r="A2166" s="46" t="s">
        <v>4383</v>
      </c>
      <c r="B2166" s="52" t="s">
        <v>7361</v>
      </c>
      <c r="C2166" s="53" t="s">
        <v>4384</v>
      </c>
      <c r="D2166" s="54" t="s">
        <v>9608</v>
      </c>
      <c r="E2166" s="50">
        <f t="shared" si="74"/>
        <v>29.61643836</v>
      </c>
      <c r="F2166" s="51">
        <f t="shared" si="74"/>
        <v>4.5786469199999997</v>
      </c>
      <c r="H2166" s="33"/>
      <c r="I2166" s="33"/>
      <c r="J2166" s="33"/>
      <c r="K2166" s="33"/>
      <c r="L2166" s="33"/>
      <c r="M2166" s="33"/>
      <c r="N2166" s="33"/>
      <c r="O2166" s="33"/>
      <c r="P2166" s="33"/>
      <c r="Q2166" s="33"/>
      <c r="R2166" s="33"/>
      <c r="S2166" s="33"/>
      <c r="T2166" s="33"/>
      <c r="U2166" s="33"/>
      <c r="V2166" s="33"/>
      <c r="W2166" s="33"/>
      <c r="X2166" s="33"/>
      <c r="Y2166" s="33"/>
      <c r="Z2166" s="33"/>
      <c r="AA2166" s="33"/>
      <c r="AB2166" s="33"/>
    </row>
    <row r="2167" spans="1:28" x14ac:dyDescent="0.15">
      <c r="A2167" s="46" t="s">
        <v>4385</v>
      </c>
      <c r="B2167" s="52" t="s">
        <v>7361</v>
      </c>
      <c r="C2167" s="53" t="s">
        <v>4386</v>
      </c>
      <c r="D2167" s="54" t="s">
        <v>9609</v>
      </c>
      <c r="E2167" s="50">
        <f t="shared" si="74"/>
        <v>29.63013699</v>
      </c>
      <c r="F2167" s="51">
        <f t="shared" si="74"/>
        <v>4.5789589399999997</v>
      </c>
      <c r="H2167" s="33"/>
      <c r="I2167" s="33"/>
      <c r="J2167" s="33"/>
      <c r="K2167" s="33"/>
      <c r="L2167" s="33"/>
      <c r="M2167" s="33"/>
      <c r="N2167" s="33"/>
      <c r="O2167" s="33"/>
      <c r="P2167" s="33"/>
      <c r="Q2167" s="33"/>
      <c r="R2167" s="33"/>
      <c r="S2167" s="33"/>
      <c r="T2167" s="33"/>
      <c r="U2167" s="33"/>
      <c r="V2167" s="33"/>
      <c r="W2167" s="33"/>
      <c r="X2167" s="33"/>
      <c r="Y2167" s="33"/>
      <c r="Z2167" s="33"/>
      <c r="AA2167" s="33"/>
      <c r="AB2167" s="33"/>
    </row>
    <row r="2168" spans="1:28" x14ac:dyDescent="0.15">
      <c r="A2168" s="46" t="s">
        <v>4387</v>
      </c>
      <c r="B2168" s="52" t="s">
        <v>7361</v>
      </c>
      <c r="C2168" s="53" t="s">
        <v>4388</v>
      </c>
      <c r="D2168" s="54" t="s">
        <v>9610</v>
      </c>
      <c r="E2168" s="50">
        <f t="shared" si="74"/>
        <v>29.643835620000001</v>
      </c>
      <c r="F2168" s="51">
        <f t="shared" si="74"/>
        <v>4.5792679400000003</v>
      </c>
      <c r="H2168" s="33"/>
      <c r="I2168" s="33"/>
      <c r="J2168" s="33"/>
      <c r="K2168" s="33"/>
      <c r="L2168" s="33"/>
      <c r="M2168" s="33"/>
      <c r="N2168" s="33"/>
      <c r="O2168" s="33"/>
      <c r="P2168" s="33"/>
      <c r="Q2168" s="33"/>
      <c r="R2168" s="33"/>
      <c r="S2168" s="33"/>
      <c r="T2168" s="33"/>
      <c r="U2168" s="33"/>
      <c r="V2168" s="33"/>
      <c r="W2168" s="33"/>
      <c r="X2168" s="33"/>
      <c r="Y2168" s="33"/>
      <c r="Z2168" s="33"/>
      <c r="AA2168" s="33"/>
      <c r="AB2168" s="33"/>
    </row>
    <row r="2169" spans="1:28" x14ac:dyDescent="0.15">
      <c r="A2169" s="46" t="s">
        <v>4389</v>
      </c>
      <c r="B2169" s="52" t="s">
        <v>7361</v>
      </c>
      <c r="C2169" s="53" t="s">
        <v>4390</v>
      </c>
      <c r="D2169" s="54" t="s">
        <v>9611</v>
      </c>
      <c r="E2169" s="50">
        <f t="shared" si="74"/>
        <v>29.657534250000001</v>
      </c>
      <c r="F2169" s="51">
        <f t="shared" si="74"/>
        <v>4.57957415</v>
      </c>
      <c r="H2169" s="33"/>
      <c r="I2169" s="33"/>
      <c r="J2169" s="33"/>
      <c r="K2169" s="33"/>
      <c r="L2169" s="33"/>
      <c r="M2169" s="33"/>
      <c r="N2169" s="33"/>
      <c r="O2169" s="33"/>
      <c r="P2169" s="33"/>
      <c r="Q2169" s="33"/>
      <c r="R2169" s="33"/>
      <c r="S2169" s="33"/>
      <c r="T2169" s="33"/>
      <c r="U2169" s="33"/>
      <c r="V2169" s="33"/>
      <c r="W2169" s="33"/>
      <c r="X2169" s="33"/>
      <c r="Y2169" s="33"/>
      <c r="Z2169" s="33"/>
      <c r="AA2169" s="33"/>
      <c r="AB2169" s="33"/>
    </row>
    <row r="2170" spans="1:28" x14ac:dyDescent="0.15">
      <c r="A2170" s="46" t="s">
        <v>4391</v>
      </c>
      <c r="B2170" s="52" t="s">
        <v>7361</v>
      </c>
      <c r="C2170" s="53" t="s">
        <v>4392</v>
      </c>
      <c r="D2170" s="54" t="s">
        <v>9612</v>
      </c>
      <c r="E2170" s="50">
        <f t="shared" si="74"/>
        <v>29.671232880000002</v>
      </c>
      <c r="F2170" s="51">
        <f t="shared" si="74"/>
        <v>4.5798777499999996</v>
      </c>
      <c r="H2170" s="33"/>
      <c r="I2170" s="33"/>
      <c r="J2170" s="33"/>
      <c r="K2170" s="33"/>
      <c r="L2170" s="33"/>
      <c r="M2170" s="33"/>
      <c r="N2170" s="33"/>
      <c r="O2170" s="33"/>
      <c r="P2170" s="33"/>
      <c r="Q2170" s="33"/>
      <c r="R2170" s="33"/>
      <c r="S2170" s="33"/>
      <c r="T2170" s="33"/>
      <c r="U2170" s="33"/>
      <c r="V2170" s="33"/>
      <c r="W2170" s="33"/>
      <c r="X2170" s="33"/>
      <c r="Y2170" s="33"/>
      <c r="Z2170" s="33"/>
      <c r="AA2170" s="33"/>
      <c r="AB2170" s="33"/>
    </row>
    <row r="2171" spans="1:28" x14ac:dyDescent="0.15">
      <c r="A2171" s="46" t="s">
        <v>4393</v>
      </c>
      <c r="B2171" s="52" t="s">
        <v>7361</v>
      </c>
      <c r="C2171" s="53" t="s">
        <v>4394</v>
      </c>
      <c r="D2171" s="54" t="s">
        <v>9613</v>
      </c>
      <c r="E2171" s="50">
        <f t="shared" si="74"/>
        <v>29.684931509999998</v>
      </c>
      <c r="F2171" s="51">
        <f t="shared" si="74"/>
        <v>4.5801789499999996</v>
      </c>
      <c r="H2171" s="33"/>
      <c r="I2171" s="33"/>
      <c r="J2171" s="33"/>
      <c r="K2171" s="33"/>
      <c r="L2171" s="33"/>
      <c r="M2171" s="33"/>
      <c r="N2171" s="33"/>
      <c r="O2171" s="33"/>
      <c r="P2171" s="33"/>
      <c r="Q2171" s="33"/>
      <c r="R2171" s="33"/>
      <c r="S2171" s="33"/>
      <c r="T2171" s="33"/>
      <c r="U2171" s="33"/>
      <c r="V2171" s="33"/>
      <c r="W2171" s="33"/>
      <c r="X2171" s="33"/>
      <c r="Y2171" s="33"/>
      <c r="Z2171" s="33"/>
      <c r="AA2171" s="33"/>
      <c r="AB2171" s="33"/>
    </row>
    <row r="2172" spans="1:28" x14ac:dyDescent="0.15">
      <c r="A2172" s="46" t="s">
        <v>4395</v>
      </c>
      <c r="B2172" s="52" t="s">
        <v>7361</v>
      </c>
      <c r="C2172" s="53" t="s">
        <v>4396</v>
      </c>
      <c r="D2172" s="54" t="s">
        <v>9614</v>
      </c>
      <c r="E2172" s="50">
        <f t="shared" si="74"/>
        <v>29.698630139999999</v>
      </c>
      <c r="F2172" s="51">
        <f t="shared" si="74"/>
        <v>4.5804779499999997</v>
      </c>
      <c r="H2172" s="33"/>
      <c r="I2172" s="33"/>
      <c r="J2172" s="33"/>
      <c r="K2172" s="33"/>
      <c r="L2172" s="33"/>
      <c r="M2172" s="33"/>
      <c r="N2172" s="33"/>
      <c r="O2172" s="33"/>
      <c r="P2172" s="33"/>
      <c r="Q2172" s="33"/>
      <c r="R2172" s="33"/>
      <c r="S2172" s="33"/>
      <c r="T2172" s="33"/>
      <c r="U2172" s="33"/>
      <c r="V2172" s="33"/>
      <c r="W2172" s="33"/>
      <c r="X2172" s="33"/>
      <c r="Y2172" s="33"/>
      <c r="Z2172" s="33"/>
      <c r="AA2172" s="33"/>
      <c r="AB2172" s="33"/>
    </row>
    <row r="2173" spans="1:28" x14ac:dyDescent="0.15">
      <c r="A2173" s="46" t="s">
        <v>4397</v>
      </c>
      <c r="B2173" s="52" t="s">
        <v>7361</v>
      </c>
      <c r="C2173" s="53" t="s">
        <v>4398</v>
      </c>
      <c r="D2173" s="54" t="s">
        <v>9615</v>
      </c>
      <c r="E2173" s="50">
        <f t="shared" si="74"/>
        <v>29.712328769999999</v>
      </c>
      <c r="F2173" s="51">
        <f t="shared" si="74"/>
        <v>4.5807749600000003</v>
      </c>
      <c r="H2173" s="33"/>
      <c r="I2173" s="33"/>
      <c r="J2173" s="33"/>
      <c r="K2173" s="33"/>
      <c r="L2173" s="33"/>
      <c r="M2173" s="33"/>
      <c r="N2173" s="33"/>
      <c r="O2173" s="33"/>
      <c r="P2173" s="33"/>
      <c r="Q2173" s="33"/>
      <c r="R2173" s="33"/>
      <c r="S2173" s="33"/>
      <c r="T2173" s="33"/>
      <c r="U2173" s="33"/>
      <c r="V2173" s="33"/>
      <c r="W2173" s="33"/>
      <c r="X2173" s="33"/>
      <c r="Y2173" s="33"/>
      <c r="Z2173" s="33"/>
      <c r="AA2173" s="33"/>
      <c r="AB2173" s="33"/>
    </row>
    <row r="2174" spans="1:28" x14ac:dyDescent="0.15">
      <c r="A2174" s="46" t="s">
        <v>4399</v>
      </c>
      <c r="B2174" s="52" t="s">
        <v>7361</v>
      </c>
      <c r="C2174" s="53" t="s">
        <v>4400</v>
      </c>
      <c r="D2174" s="54" t="s">
        <v>9616</v>
      </c>
      <c r="E2174" s="50">
        <f t="shared" si="74"/>
        <v>29.7260274</v>
      </c>
      <c r="F2174" s="51">
        <f t="shared" si="74"/>
        <v>4.5810701800000002</v>
      </c>
      <c r="H2174" s="33"/>
      <c r="I2174" s="33"/>
      <c r="J2174" s="33"/>
      <c r="K2174" s="33"/>
      <c r="L2174" s="33"/>
      <c r="M2174" s="33"/>
      <c r="N2174" s="33"/>
      <c r="O2174" s="33"/>
      <c r="P2174" s="33"/>
      <c r="Q2174" s="33"/>
      <c r="R2174" s="33"/>
      <c r="S2174" s="33"/>
      <c r="T2174" s="33"/>
      <c r="U2174" s="33"/>
      <c r="V2174" s="33"/>
      <c r="W2174" s="33"/>
      <c r="X2174" s="33"/>
      <c r="Y2174" s="33"/>
      <c r="Z2174" s="33"/>
      <c r="AA2174" s="33"/>
      <c r="AB2174" s="33"/>
    </row>
    <row r="2175" spans="1:28" x14ac:dyDescent="0.15">
      <c r="A2175" s="46" t="s">
        <v>4401</v>
      </c>
      <c r="B2175" s="52" t="s">
        <v>7361</v>
      </c>
      <c r="C2175" s="53" t="s">
        <v>4402</v>
      </c>
      <c r="D2175" s="54" t="s">
        <v>9617</v>
      </c>
      <c r="E2175" s="50">
        <f t="shared" si="74"/>
        <v>29.73972603</v>
      </c>
      <c r="F2175" s="51">
        <f t="shared" si="74"/>
        <v>4.58136381</v>
      </c>
      <c r="H2175" s="33"/>
      <c r="I2175" s="33"/>
      <c r="J2175" s="33"/>
      <c r="K2175" s="33"/>
      <c r="L2175" s="33"/>
      <c r="M2175" s="33"/>
      <c r="N2175" s="33"/>
      <c r="O2175" s="33"/>
      <c r="P2175" s="33"/>
      <c r="Q2175" s="33"/>
      <c r="R2175" s="33"/>
      <c r="S2175" s="33"/>
      <c r="T2175" s="33"/>
      <c r="U2175" s="33"/>
      <c r="V2175" s="33"/>
      <c r="W2175" s="33"/>
      <c r="X2175" s="33"/>
      <c r="Y2175" s="33"/>
      <c r="Z2175" s="33"/>
      <c r="AA2175" s="33"/>
      <c r="AB2175" s="33"/>
    </row>
    <row r="2176" spans="1:28" x14ac:dyDescent="0.15">
      <c r="A2176" s="46" t="s">
        <v>4403</v>
      </c>
      <c r="B2176" s="52" t="s">
        <v>7361</v>
      </c>
      <c r="C2176" s="53" t="s">
        <v>4404</v>
      </c>
      <c r="D2176" s="54" t="s">
        <v>9618</v>
      </c>
      <c r="E2176" s="50">
        <f t="shared" si="74"/>
        <v>29.75342466</v>
      </c>
      <c r="F2176" s="51">
        <f t="shared" si="74"/>
        <v>4.5816560500000003</v>
      </c>
      <c r="H2176" s="33"/>
      <c r="I2176" s="33"/>
      <c r="J2176" s="33"/>
      <c r="K2176" s="33"/>
      <c r="L2176" s="33"/>
      <c r="M2176" s="33"/>
      <c r="N2176" s="33"/>
      <c r="O2176" s="33"/>
      <c r="P2176" s="33"/>
      <c r="Q2176" s="33"/>
      <c r="R2176" s="33"/>
      <c r="S2176" s="33"/>
      <c r="T2176" s="33"/>
      <c r="U2176" s="33"/>
      <c r="V2176" s="33"/>
      <c r="W2176" s="33"/>
      <c r="X2176" s="33"/>
      <c r="Y2176" s="33"/>
      <c r="Z2176" s="33"/>
      <c r="AA2176" s="33"/>
      <c r="AB2176" s="33"/>
    </row>
    <row r="2177" spans="1:28" x14ac:dyDescent="0.15">
      <c r="A2177" s="46" t="s">
        <v>4405</v>
      </c>
      <c r="B2177" s="52" t="s">
        <v>7361</v>
      </c>
      <c r="C2177" s="53" t="s">
        <v>4406</v>
      </c>
      <c r="D2177" s="54" t="s">
        <v>9619</v>
      </c>
      <c r="E2177" s="50">
        <f t="shared" si="74"/>
        <v>29.767123290000001</v>
      </c>
      <c r="F2177" s="51">
        <f t="shared" si="74"/>
        <v>4.5819471099999998</v>
      </c>
      <c r="H2177" s="33"/>
      <c r="I2177" s="33"/>
      <c r="J2177" s="33"/>
      <c r="K2177" s="33"/>
      <c r="L2177" s="33"/>
      <c r="M2177" s="33"/>
      <c r="N2177" s="33"/>
      <c r="O2177" s="33"/>
      <c r="P2177" s="33"/>
      <c r="Q2177" s="33"/>
      <c r="R2177" s="33"/>
      <c r="S2177" s="33"/>
      <c r="T2177" s="33"/>
      <c r="U2177" s="33"/>
      <c r="V2177" s="33"/>
      <c r="W2177" s="33"/>
      <c r="X2177" s="33"/>
      <c r="Y2177" s="33"/>
      <c r="Z2177" s="33"/>
      <c r="AA2177" s="33"/>
      <c r="AB2177" s="33"/>
    </row>
    <row r="2178" spans="1:28" x14ac:dyDescent="0.15">
      <c r="A2178" s="46" t="s">
        <v>4407</v>
      </c>
      <c r="B2178" s="52" t="s">
        <v>7361</v>
      </c>
      <c r="C2178" s="53" t="s">
        <v>4408</v>
      </c>
      <c r="D2178" s="54" t="s">
        <v>9620</v>
      </c>
      <c r="E2178" s="50">
        <f t="shared" si="74"/>
        <v>29.780821920000001</v>
      </c>
      <c r="F2178" s="51">
        <f t="shared" si="74"/>
        <v>4.5822371899999998</v>
      </c>
      <c r="H2178" s="33"/>
      <c r="I2178" s="33"/>
      <c r="J2178" s="33"/>
      <c r="K2178" s="33"/>
      <c r="L2178" s="33"/>
      <c r="M2178" s="33"/>
      <c r="N2178" s="33"/>
      <c r="O2178" s="33"/>
      <c r="P2178" s="33"/>
      <c r="Q2178" s="33"/>
      <c r="R2178" s="33"/>
      <c r="S2178" s="33"/>
      <c r="T2178" s="33"/>
      <c r="U2178" s="33"/>
      <c r="V2178" s="33"/>
      <c r="W2178" s="33"/>
      <c r="X2178" s="33"/>
      <c r="Y2178" s="33"/>
      <c r="Z2178" s="33"/>
      <c r="AA2178" s="33"/>
      <c r="AB2178" s="33"/>
    </row>
    <row r="2179" spans="1:28" x14ac:dyDescent="0.15">
      <c r="A2179" s="46" t="s">
        <v>4409</v>
      </c>
      <c r="B2179" s="52" t="s">
        <v>7361</v>
      </c>
      <c r="C2179" s="53" t="s">
        <v>4410</v>
      </c>
      <c r="D2179" s="54" t="s">
        <v>9621</v>
      </c>
      <c r="E2179" s="50">
        <f t="shared" si="74"/>
        <v>29.794520550000001</v>
      </c>
      <c r="F2179" s="51">
        <f t="shared" si="74"/>
        <v>4.5825264900000002</v>
      </c>
      <c r="H2179" s="33"/>
      <c r="I2179" s="33"/>
      <c r="J2179" s="33"/>
      <c r="K2179" s="33"/>
      <c r="L2179" s="33"/>
      <c r="M2179" s="33"/>
      <c r="N2179" s="33"/>
      <c r="O2179" s="33"/>
      <c r="P2179" s="33"/>
      <c r="Q2179" s="33"/>
      <c r="R2179" s="33"/>
      <c r="S2179" s="33"/>
      <c r="T2179" s="33"/>
      <c r="U2179" s="33"/>
      <c r="V2179" s="33"/>
      <c r="W2179" s="33"/>
      <c r="X2179" s="33"/>
      <c r="Y2179" s="33"/>
      <c r="Z2179" s="33"/>
      <c r="AA2179" s="33"/>
      <c r="AB2179" s="33"/>
    </row>
    <row r="2180" spans="1:28" x14ac:dyDescent="0.15">
      <c r="A2180" s="46" t="s">
        <v>4411</v>
      </c>
      <c r="B2180" s="52" t="s">
        <v>7361</v>
      </c>
      <c r="C2180" s="53" t="s">
        <v>4412</v>
      </c>
      <c r="D2180" s="54" t="s">
        <v>9622</v>
      </c>
      <c r="E2180" s="50">
        <f t="shared" si="74"/>
        <v>29.808219179999998</v>
      </c>
      <c r="F2180" s="51">
        <f t="shared" si="74"/>
        <v>4.5828152199999996</v>
      </c>
      <c r="H2180" s="33"/>
      <c r="I2180" s="33"/>
      <c r="J2180" s="33"/>
      <c r="K2180" s="33"/>
      <c r="L2180" s="33"/>
      <c r="M2180" s="33"/>
      <c r="N2180" s="33"/>
      <c r="O2180" s="33"/>
      <c r="P2180" s="33"/>
      <c r="Q2180" s="33"/>
      <c r="R2180" s="33"/>
      <c r="S2180" s="33"/>
      <c r="T2180" s="33"/>
      <c r="U2180" s="33"/>
      <c r="V2180" s="33"/>
      <c r="W2180" s="33"/>
      <c r="X2180" s="33"/>
      <c r="Y2180" s="33"/>
      <c r="Z2180" s="33"/>
      <c r="AA2180" s="33"/>
      <c r="AB2180" s="33"/>
    </row>
    <row r="2181" spans="1:28" x14ac:dyDescent="0.15">
      <c r="A2181" s="46" t="s">
        <v>4413</v>
      </c>
      <c r="B2181" s="52" t="s">
        <v>7361</v>
      </c>
      <c r="C2181" s="53" t="s">
        <v>4414</v>
      </c>
      <c r="D2181" s="54" t="s">
        <v>9623</v>
      </c>
      <c r="E2181" s="50">
        <f t="shared" si="74"/>
        <v>29.821917809999999</v>
      </c>
      <c r="F2181" s="51">
        <f t="shared" si="74"/>
        <v>4.5831035699999996</v>
      </c>
      <c r="H2181" s="33"/>
      <c r="I2181" s="33"/>
      <c r="J2181" s="33"/>
      <c r="K2181" s="33"/>
      <c r="L2181" s="33"/>
      <c r="M2181" s="33"/>
      <c r="N2181" s="33"/>
      <c r="O2181" s="33"/>
      <c r="P2181" s="33"/>
      <c r="Q2181" s="33"/>
      <c r="R2181" s="33"/>
      <c r="S2181" s="33"/>
      <c r="T2181" s="33"/>
      <c r="U2181" s="33"/>
      <c r="V2181" s="33"/>
      <c r="W2181" s="33"/>
      <c r="X2181" s="33"/>
      <c r="Y2181" s="33"/>
      <c r="Z2181" s="33"/>
      <c r="AA2181" s="33"/>
      <c r="AB2181" s="33"/>
    </row>
    <row r="2182" spans="1:28" x14ac:dyDescent="0.15">
      <c r="A2182" s="46" t="s">
        <v>4415</v>
      </c>
      <c r="B2182" s="52" t="s">
        <v>7361</v>
      </c>
      <c r="C2182" s="53" t="s">
        <v>4416</v>
      </c>
      <c r="D2182" s="54" t="s">
        <v>9624</v>
      </c>
      <c r="E2182" s="50">
        <f t="shared" si="74"/>
        <v>29.835616439999999</v>
      </c>
      <c r="F2182" s="51">
        <f t="shared" si="74"/>
        <v>4.5833917599999996</v>
      </c>
      <c r="H2182" s="33"/>
      <c r="I2182" s="33"/>
      <c r="J2182" s="33"/>
      <c r="K2182" s="33"/>
      <c r="L2182" s="33"/>
      <c r="M2182" s="33"/>
      <c r="N2182" s="33"/>
      <c r="O2182" s="33"/>
      <c r="P2182" s="33"/>
      <c r="Q2182" s="33"/>
      <c r="R2182" s="33"/>
      <c r="S2182" s="33"/>
      <c r="T2182" s="33"/>
      <c r="U2182" s="33"/>
      <c r="V2182" s="33"/>
      <c r="W2182" s="33"/>
      <c r="X2182" s="33"/>
      <c r="Y2182" s="33"/>
      <c r="Z2182" s="33"/>
      <c r="AA2182" s="33"/>
      <c r="AB2182" s="33"/>
    </row>
    <row r="2183" spans="1:28" x14ac:dyDescent="0.15">
      <c r="A2183" s="46" t="s">
        <v>4417</v>
      </c>
      <c r="B2183" s="52" t="s">
        <v>7361</v>
      </c>
      <c r="C2183" s="53" t="s">
        <v>4418</v>
      </c>
      <c r="D2183" s="54" t="s">
        <v>9625</v>
      </c>
      <c r="E2183" s="50">
        <f t="shared" si="74"/>
        <v>29.849315069999999</v>
      </c>
      <c r="F2183" s="51">
        <f t="shared" si="74"/>
        <v>4.5836799800000003</v>
      </c>
      <c r="H2183" s="33"/>
      <c r="I2183" s="33"/>
      <c r="J2183" s="33"/>
      <c r="K2183" s="33"/>
      <c r="L2183" s="33"/>
      <c r="M2183" s="33"/>
      <c r="N2183" s="33"/>
      <c r="O2183" s="33"/>
      <c r="P2183" s="33"/>
      <c r="Q2183" s="33"/>
      <c r="R2183" s="33"/>
      <c r="S2183" s="33"/>
      <c r="T2183" s="33"/>
      <c r="U2183" s="33"/>
      <c r="V2183" s="33"/>
      <c r="W2183" s="33"/>
      <c r="X2183" s="33"/>
      <c r="Y2183" s="33"/>
      <c r="Z2183" s="33"/>
      <c r="AA2183" s="33"/>
      <c r="AB2183" s="33"/>
    </row>
    <row r="2184" spans="1:28" x14ac:dyDescent="0.15">
      <c r="A2184" s="46" t="s">
        <v>4419</v>
      </c>
      <c r="B2184" s="52" t="s">
        <v>7361</v>
      </c>
      <c r="C2184" s="53" t="s">
        <v>4420</v>
      </c>
      <c r="D2184" s="54" t="s">
        <v>9626</v>
      </c>
      <c r="E2184" s="50">
        <f t="shared" si="74"/>
        <v>29.8630137</v>
      </c>
      <c r="F2184" s="51">
        <f t="shared" si="74"/>
        <v>4.5839684399999996</v>
      </c>
      <c r="H2184" s="33"/>
      <c r="I2184" s="33"/>
      <c r="J2184" s="33"/>
      <c r="K2184" s="33"/>
      <c r="L2184" s="33"/>
      <c r="M2184" s="33"/>
      <c r="N2184" s="33"/>
      <c r="O2184" s="33"/>
      <c r="P2184" s="33"/>
      <c r="Q2184" s="33"/>
      <c r="R2184" s="33"/>
      <c r="S2184" s="33"/>
      <c r="T2184" s="33"/>
      <c r="U2184" s="33"/>
      <c r="V2184" s="33"/>
      <c r="W2184" s="33"/>
      <c r="X2184" s="33"/>
      <c r="Y2184" s="33"/>
      <c r="Z2184" s="33"/>
      <c r="AA2184" s="33"/>
      <c r="AB2184" s="33"/>
    </row>
    <row r="2185" spans="1:28" x14ac:dyDescent="0.15">
      <c r="A2185" s="46" t="s">
        <v>4421</v>
      </c>
      <c r="B2185" s="52" t="s">
        <v>7361</v>
      </c>
      <c r="C2185" s="53" t="s">
        <v>4422</v>
      </c>
      <c r="D2185" s="54" t="s">
        <v>9627</v>
      </c>
      <c r="E2185" s="50">
        <f t="shared" si="74"/>
        <v>29.87671233</v>
      </c>
      <c r="F2185" s="51">
        <f t="shared" si="74"/>
        <v>4.5842573299999998</v>
      </c>
      <c r="H2185" s="33"/>
      <c r="I2185" s="33"/>
      <c r="J2185" s="33"/>
      <c r="K2185" s="33"/>
      <c r="L2185" s="33"/>
      <c r="M2185" s="33"/>
      <c r="N2185" s="33"/>
      <c r="O2185" s="33"/>
      <c r="P2185" s="33"/>
      <c r="Q2185" s="33"/>
      <c r="R2185" s="33"/>
      <c r="S2185" s="33"/>
      <c r="T2185" s="33"/>
      <c r="U2185" s="33"/>
      <c r="V2185" s="33"/>
      <c r="W2185" s="33"/>
      <c r="X2185" s="33"/>
      <c r="Y2185" s="33"/>
      <c r="Z2185" s="33"/>
      <c r="AA2185" s="33"/>
      <c r="AB2185" s="33"/>
    </row>
    <row r="2186" spans="1:28" x14ac:dyDescent="0.15">
      <c r="A2186" s="46" t="s">
        <v>4423</v>
      </c>
      <c r="B2186" s="52" t="s">
        <v>7361</v>
      </c>
      <c r="C2186" s="53" t="s">
        <v>4424</v>
      </c>
      <c r="D2186" s="54" t="s">
        <v>9628</v>
      </c>
      <c r="E2186" s="50">
        <f t="shared" si="74"/>
        <v>29.890410960000001</v>
      </c>
      <c r="F2186" s="51">
        <f t="shared" si="74"/>
        <v>4.5845468699999996</v>
      </c>
      <c r="H2186" s="33"/>
      <c r="I2186" s="33"/>
      <c r="J2186" s="33"/>
      <c r="K2186" s="33"/>
      <c r="L2186" s="33"/>
      <c r="M2186" s="33"/>
      <c r="N2186" s="33"/>
      <c r="O2186" s="33"/>
      <c r="P2186" s="33"/>
      <c r="Q2186" s="33"/>
      <c r="R2186" s="33"/>
      <c r="S2186" s="33"/>
      <c r="T2186" s="33"/>
      <c r="U2186" s="33"/>
      <c r="V2186" s="33"/>
      <c r="W2186" s="33"/>
      <c r="X2186" s="33"/>
      <c r="Y2186" s="33"/>
      <c r="Z2186" s="33"/>
      <c r="AA2186" s="33"/>
      <c r="AB2186" s="33"/>
    </row>
    <row r="2187" spans="1:28" x14ac:dyDescent="0.15">
      <c r="A2187" s="46" t="s">
        <v>4425</v>
      </c>
      <c r="B2187" s="52" t="s">
        <v>7361</v>
      </c>
      <c r="C2187" s="53" t="s">
        <v>4426</v>
      </c>
      <c r="D2187" s="54" t="s">
        <v>9629</v>
      </c>
      <c r="E2187" s="50">
        <f t="shared" si="74"/>
        <v>29.904109590000001</v>
      </c>
      <c r="F2187" s="51">
        <f t="shared" si="74"/>
        <v>4.5848372599999996</v>
      </c>
      <c r="H2187" s="33"/>
      <c r="I2187" s="33"/>
      <c r="J2187" s="33"/>
      <c r="K2187" s="33"/>
      <c r="L2187" s="33"/>
      <c r="M2187" s="33"/>
      <c r="N2187" s="33"/>
      <c r="O2187" s="33"/>
      <c r="P2187" s="33"/>
      <c r="Q2187" s="33"/>
      <c r="R2187" s="33"/>
      <c r="S2187" s="33"/>
      <c r="T2187" s="33"/>
      <c r="U2187" s="33"/>
      <c r="V2187" s="33"/>
      <c r="W2187" s="33"/>
      <c r="X2187" s="33"/>
      <c r="Y2187" s="33"/>
      <c r="Z2187" s="33"/>
      <c r="AA2187" s="33"/>
      <c r="AB2187" s="33"/>
    </row>
    <row r="2188" spans="1:28" x14ac:dyDescent="0.15">
      <c r="A2188" s="46" t="s">
        <v>4427</v>
      </c>
      <c r="B2188" s="52" t="s">
        <v>7361</v>
      </c>
      <c r="C2188" s="53" t="s">
        <v>4428</v>
      </c>
      <c r="D2188" s="54" t="s">
        <v>9630</v>
      </c>
      <c r="E2188" s="50">
        <f t="shared" si="74"/>
        <v>29.917808220000001</v>
      </c>
      <c r="F2188" s="51">
        <f t="shared" si="74"/>
        <v>4.5851286900000003</v>
      </c>
      <c r="H2188" s="33"/>
      <c r="I2188" s="33"/>
      <c r="J2188" s="33"/>
      <c r="K2188" s="33"/>
      <c r="L2188" s="33"/>
      <c r="M2188" s="33"/>
      <c r="N2188" s="33"/>
      <c r="O2188" s="33"/>
      <c r="P2188" s="33"/>
      <c r="Q2188" s="33"/>
      <c r="R2188" s="33"/>
      <c r="S2188" s="33"/>
      <c r="T2188" s="33"/>
      <c r="U2188" s="33"/>
      <c r="V2188" s="33"/>
      <c r="W2188" s="33"/>
      <c r="X2188" s="33"/>
      <c r="Y2188" s="33"/>
      <c r="Z2188" s="33"/>
      <c r="AA2188" s="33"/>
      <c r="AB2188" s="33"/>
    </row>
    <row r="2189" spans="1:28" x14ac:dyDescent="0.15">
      <c r="A2189" s="46" t="s">
        <v>4429</v>
      </c>
      <c r="B2189" s="52" t="s">
        <v>7361</v>
      </c>
      <c r="C2189" s="53" t="s">
        <v>4430</v>
      </c>
      <c r="D2189" s="54" t="s">
        <v>9631</v>
      </c>
      <c r="E2189" s="50">
        <f t="shared" si="74"/>
        <v>29.931506850000002</v>
      </c>
      <c r="F2189" s="51">
        <f t="shared" si="74"/>
        <v>4.5854213699999997</v>
      </c>
      <c r="H2189" s="33"/>
      <c r="I2189" s="33"/>
      <c r="J2189" s="33"/>
      <c r="K2189" s="33"/>
      <c r="L2189" s="33"/>
      <c r="M2189" s="33"/>
      <c r="N2189" s="33"/>
      <c r="O2189" s="33"/>
      <c r="P2189" s="33"/>
      <c r="Q2189" s="33"/>
      <c r="R2189" s="33"/>
      <c r="S2189" s="33"/>
      <c r="T2189" s="33"/>
      <c r="U2189" s="33"/>
      <c r="V2189" s="33"/>
      <c r="W2189" s="33"/>
      <c r="X2189" s="33"/>
      <c r="Y2189" s="33"/>
      <c r="Z2189" s="33"/>
      <c r="AA2189" s="33"/>
      <c r="AB2189" s="33"/>
    </row>
    <row r="2190" spans="1:28" x14ac:dyDescent="0.15">
      <c r="A2190" s="46" t="s">
        <v>4431</v>
      </c>
      <c r="B2190" s="52" t="s">
        <v>7361</v>
      </c>
      <c r="C2190" s="53" t="s">
        <v>4432</v>
      </c>
      <c r="D2190" s="54" t="s">
        <v>9632</v>
      </c>
      <c r="E2190" s="50">
        <f t="shared" si="74"/>
        <v>29.945205479999998</v>
      </c>
      <c r="F2190" s="51">
        <f t="shared" si="74"/>
        <v>4.58571551</v>
      </c>
      <c r="H2190" s="33"/>
      <c r="I2190" s="33"/>
      <c r="J2190" s="33"/>
      <c r="K2190" s="33"/>
      <c r="L2190" s="33"/>
      <c r="M2190" s="33"/>
      <c r="N2190" s="33"/>
      <c r="O2190" s="33"/>
      <c r="P2190" s="33"/>
      <c r="Q2190" s="33"/>
      <c r="R2190" s="33"/>
      <c r="S2190" s="33"/>
      <c r="T2190" s="33"/>
      <c r="U2190" s="33"/>
      <c r="V2190" s="33"/>
      <c r="W2190" s="33"/>
      <c r="X2190" s="33"/>
      <c r="Y2190" s="33"/>
      <c r="Z2190" s="33"/>
      <c r="AA2190" s="33"/>
      <c r="AB2190" s="33"/>
    </row>
    <row r="2191" spans="1:28" x14ac:dyDescent="0.15">
      <c r="A2191" s="46" t="s">
        <v>4433</v>
      </c>
      <c r="B2191" s="52" t="s">
        <v>7361</v>
      </c>
      <c r="C2191" s="53" t="s">
        <v>4434</v>
      </c>
      <c r="D2191" s="54" t="s">
        <v>9633</v>
      </c>
      <c r="E2191" s="50">
        <f t="shared" si="74"/>
        <v>29.958904109999999</v>
      </c>
      <c r="F2191" s="51">
        <f t="shared" si="74"/>
        <v>4.5860113</v>
      </c>
      <c r="H2191" s="33"/>
      <c r="I2191" s="33"/>
      <c r="J2191" s="33"/>
      <c r="K2191" s="33"/>
      <c r="L2191" s="33"/>
      <c r="M2191" s="33"/>
      <c r="N2191" s="33"/>
      <c r="O2191" s="33"/>
      <c r="P2191" s="33"/>
      <c r="Q2191" s="33"/>
      <c r="R2191" s="33"/>
      <c r="S2191" s="33"/>
      <c r="T2191" s="33"/>
      <c r="U2191" s="33"/>
      <c r="V2191" s="33"/>
      <c r="W2191" s="33"/>
      <c r="X2191" s="33"/>
      <c r="Y2191" s="33"/>
      <c r="Z2191" s="33"/>
      <c r="AA2191" s="33"/>
      <c r="AB2191" s="33"/>
    </row>
    <row r="2192" spans="1:28" x14ac:dyDescent="0.15">
      <c r="A2192" s="46" t="s">
        <v>4435</v>
      </c>
      <c r="B2192" s="52" t="s">
        <v>7361</v>
      </c>
      <c r="C2192" s="53" t="s">
        <v>4436</v>
      </c>
      <c r="D2192" s="54" t="s">
        <v>9634</v>
      </c>
      <c r="E2192" s="50">
        <f t="shared" si="74"/>
        <v>29.972602739999999</v>
      </c>
      <c r="F2192" s="51">
        <f t="shared" si="74"/>
        <v>4.5863089500000003</v>
      </c>
      <c r="H2192" s="33"/>
      <c r="I2192" s="33"/>
      <c r="J2192" s="33"/>
      <c r="K2192" s="33"/>
      <c r="L2192" s="33"/>
      <c r="M2192" s="33"/>
      <c r="N2192" s="33"/>
      <c r="O2192" s="33"/>
      <c r="P2192" s="33"/>
      <c r="Q2192" s="33"/>
      <c r="R2192" s="33"/>
      <c r="S2192" s="33"/>
      <c r="T2192" s="33"/>
      <c r="U2192" s="33"/>
      <c r="V2192" s="33"/>
      <c r="W2192" s="33"/>
      <c r="X2192" s="33"/>
      <c r="Y2192" s="33"/>
      <c r="Z2192" s="33"/>
      <c r="AA2192" s="33"/>
      <c r="AB2192" s="33"/>
    </row>
    <row r="2193" spans="1:28" x14ac:dyDescent="0.15">
      <c r="A2193" s="46" t="s">
        <v>4437</v>
      </c>
      <c r="B2193" s="52" t="s">
        <v>7361</v>
      </c>
      <c r="C2193" s="53" t="s">
        <v>4438</v>
      </c>
      <c r="D2193" s="54" t="s">
        <v>9635</v>
      </c>
      <c r="E2193" s="50">
        <f t="shared" si="74"/>
        <v>29.98630137</v>
      </c>
      <c r="F2193" s="51">
        <f t="shared" si="74"/>
        <v>4.5866086599999996</v>
      </c>
      <c r="H2193" s="33"/>
      <c r="I2193" s="33"/>
      <c r="J2193" s="33"/>
      <c r="K2193" s="33"/>
      <c r="L2193" s="33"/>
      <c r="M2193" s="33"/>
      <c r="N2193" s="33"/>
      <c r="O2193" s="33"/>
      <c r="P2193" s="33"/>
      <c r="Q2193" s="33"/>
      <c r="R2193" s="33"/>
      <c r="S2193" s="33"/>
      <c r="T2193" s="33"/>
      <c r="U2193" s="33"/>
      <c r="V2193" s="33"/>
      <c r="W2193" s="33"/>
      <c r="X2193" s="33"/>
      <c r="Y2193" s="33"/>
      <c r="Z2193" s="33"/>
      <c r="AA2193" s="33"/>
      <c r="AB2193" s="33"/>
    </row>
    <row r="2194" spans="1:28" x14ac:dyDescent="0.15">
      <c r="A2194" s="46" t="s">
        <v>4439</v>
      </c>
      <c r="B2194" s="52" t="s">
        <v>7361</v>
      </c>
      <c r="C2194" s="53" t="s">
        <v>4440</v>
      </c>
      <c r="D2194" s="54" t="s">
        <v>9636</v>
      </c>
      <c r="E2194" s="50">
        <f t="shared" si="74"/>
        <v>30</v>
      </c>
      <c r="F2194" s="51">
        <f t="shared" si="74"/>
        <v>4.5869106400000001</v>
      </c>
      <c r="H2194" s="33"/>
      <c r="I2194" s="33"/>
      <c r="J2194" s="33"/>
      <c r="K2194" s="33"/>
      <c r="L2194" s="33"/>
      <c r="M2194" s="33"/>
      <c r="N2194" s="33"/>
      <c r="O2194" s="33"/>
      <c r="P2194" s="33"/>
      <c r="Q2194" s="33"/>
      <c r="R2194" s="33"/>
      <c r="S2194" s="33"/>
      <c r="T2194" s="33"/>
      <c r="U2194" s="33"/>
      <c r="V2194" s="33"/>
      <c r="W2194" s="33"/>
      <c r="X2194" s="33"/>
      <c r="Y2194" s="33"/>
      <c r="Z2194" s="33"/>
      <c r="AA2194" s="33"/>
      <c r="AB2194" s="33"/>
    </row>
    <row r="2195" spans="1:28" x14ac:dyDescent="0.15">
      <c r="A2195" s="46" t="s">
        <v>4441</v>
      </c>
      <c r="B2195" s="52" t="s">
        <v>7361</v>
      </c>
      <c r="C2195" s="53" t="s">
        <v>4442</v>
      </c>
      <c r="D2195" s="54" t="s">
        <v>9637</v>
      </c>
      <c r="E2195" s="50">
        <f t="shared" ref="E2195:F2225" si="75">VALUE(C2195)</f>
        <v>30.01369863</v>
      </c>
      <c r="F2195" s="51">
        <f t="shared" si="75"/>
        <v>4.58721143</v>
      </c>
      <c r="H2195" s="33"/>
      <c r="I2195" s="33"/>
      <c r="J2195" s="33"/>
      <c r="K2195" s="33"/>
      <c r="L2195" s="33"/>
      <c r="M2195" s="33"/>
      <c r="N2195" s="33"/>
      <c r="O2195" s="33"/>
      <c r="P2195" s="33"/>
      <c r="Q2195" s="33"/>
      <c r="R2195" s="33"/>
      <c r="S2195" s="33"/>
      <c r="T2195" s="33"/>
      <c r="U2195" s="33"/>
      <c r="V2195" s="33"/>
      <c r="W2195" s="33"/>
      <c r="X2195" s="33"/>
      <c r="Y2195" s="33"/>
      <c r="Z2195" s="33"/>
      <c r="AA2195" s="33"/>
      <c r="AB2195" s="33"/>
    </row>
    <row r="2196" spans="1:28" x14ac:dyDescent="0.15">
      <c r="A2196" s="46" t="s">
        <v>4443</v>
      </c>
      <c r="B2196" s="52" t="s">
        <v>7361</v>
      </c>
      <c r="C2196" s="53" t="s">
        <v>4444</v>
      </c>
      <c r="D2196" s="54" t="s">
        <v>9638</v>
      </c>
      <c r="E2196" s="50">
        <f t="shared" si="75"/>
        <v>30.027397260000001</v>
      </c>
      <c r="F2196" s="51">
        <f t="shared" si="75"/>
        <v>4.5875075799999996</v>
      </c>
      <c r="H2196" s="33"/>
      <c r="I2196" s="33"/>
      <c r="J2196" s="33"/>
      <c r="K2196" s="33"/>
      <c r="L2196" s="33"/>
      <c r="M2196" s="33"/>
      <c r="N2196" s="33"/>
      <c r="O2196" s="33"/>
      <c r="P2196" s="33"/>
      <c r="Q2196" s="33"/>
      <c r="R2196" s="33"/>
      <c r="S2196" s="33"/>
      <c r="T2196" s="33"/>
      <c r="U2196" s="33"/>
      <c r="V2196" s="33"/>
      <c r="W2196" s="33"/>
      <c r="X2196" s="33"/>
      <c r="Y2196" s="33"/>
      <c r="Z2196" s="33"/>
      <c r="AA2196" s="33"/>
      <c r="AB2196" s="33"/>
    </row>
    <row r="2197" spans="1:28" x14ac:dyDescent="0.15">
      <c r="A2197" s="46" t="s">
        <v>4445</v>
      </c>
      <c r="B2197" s="52" t="s">
        <v>7361</v>
      </c>
      <c r="C2197" s="53" t="s">
        <v>4446</v>
      </c>
      <c r="D2197" s="54" t="s">
        <v>9639</v>
      </c>
      <c r="E2197" s="50">
        <f t="shared" si="75"/>
        <v>30.041095890000001</v>
      </c>
      <c r="F2197" s="51">
        <f t="shared" si="75"/>
        <v>4.5877992799999996</v>
      </c>
      <c r="H2197" s="33"/>
      <c r="I2197" s="33"/>
      <c r="J2197" s="33"/>
      <c r="K2197" s="33"/>
      <c r="L2197" s="33"/>
      <c r="M2197" s="33"/>
      <c r="N2197" s="33"/>
      <c r="O2197" s="33"/>
      <c r="P2197" s="33"/>
      <c r="Q2197" s="33"/>
      <c r="R2197" s="33"/>
      <c r="S2197" s="33"/>
      <c r="T2197" s="33"/>
      <c r="U2197" s="33"/>
      <c r="V2197" s="33"/>
      <c r="W2197" s="33"/>
      <c r="X2197" s="33"/>
      <c r="Y2197" s="33"/>
      <c r="Z2197" s="33"/>
      <c r="AA2197" s="33"/>
      <c r="AB2197" s="33"/>
    </row>
    <row r="2198" spans="1:28" x14ac:dyDescent="0.15">
      <c r="A2198" s="46" t="s">
        <v>4447</v>
      </c>
      <c r="B2198" s="52" t="s">
        <v>7361</v>
      </c>
      <c r="C2198" s="53" t="s">
        <v>4448</v>
      </c>
      <c r="D2198" s="54" t="s">
        <v>9640</v>
      </c>
      <c r="E2198" s="50">
        <f t="shared" si="75"/>
        <v>30.054794520000002</v>
      </c>
      <c r="F2198" s="51">
        <f t="shared" si="75"/>
        <v>4.5880867299999997</v>
      </c>
      <c r="H2198" s="33"/>
      <c r="I2198" s="33"/>
      <c r="J2198" s="33"/>
      <c r="K2198" s="33"/>
      <c r="L2198" s="33"/>
      <c r="M2198" s="33"/>
      <c r="N2198" s="33"/>
      <c r="O2198" s="33"/>
      <c r="P2198" s="33"/>
      <c r="Q2198" s="33"/>
      <c r="R2198" s="33"/>
      <c r="S2198" s="33"/>
      <c r="T2198" s="33"/>
      <c r="U2198" s="33"/>
      <c r="V2198" s="33"/>
      <c r="W2198" s="33"/>
      <c r="X2198" s="33"/>
      <c r="Y2198" s="33"/>
      <c r="Z2198" s="33"/>
      <c r="AA2198" s="33"/>
      <c r="AB2198" s="33"/>
    </row>
    <row r="2199" spans="1:28" x14ac:dyDescent="0.15">
      <c r="A2199" s="46" t="s">
        <v>4449</v>
      </c>
      <c r="B2199" s="52" t="s">
        <v>7361</v>
      </c>
      <c r="C2199" s="53" t="s">
        <v>4450</v>
      </c>
      <c r="D2199" s="54" t="s">
        <v>9641</v>
      </c>
      <c r="E2199" s="50">
        <f t="shared" si="75"/>
        <v>30.068493149999998</v>
      </c>
      <c r="F2199" s="51">
        <f t="shared" si="75"/>
        <v>4.5883701400000003</v>
      </c>
      <c r="H2199" s="33"/>
      <c r="I2199" s="33"/>
      <c r="J2199" s="33"/>
      <c r="K2199" s="33"/>
      <c r="L2199" s="33"/>
      <c r="M2199" s="33"/>
      <c r="N2199" s="33"/>
      <c r="O2199" s="33"/>
      <c r="P2199" s="33"/>
      <c r="Q2199" s="33"/>
      <c r="R2199" s="33"/>
      <c r="S2199" s="33"/>
      <c r="T2199" s="33"/>
      <c r="U2199" s="33"/>
      <c r="V2199" s="33"/>
      <c r="W2199" s="33"/>
      <c r="X2199" s="33"/>
      <c r="Y2199" s="33"/>
      <c r="Z2199" s="33"/>
      <c r="AA2199" s="33"/>
      <c r="AB2199" s="33"/>
    </row>
    <row r="2200" spans="1:28" x14ac:dyDescent="0.15">
      <c r="A2200" s="46" t="s">
        <v>4451</v>
      </c>
      <c r="B2200" s="52" t="s">
        <v>7361</v>
      </c>
      <c r="C2200" s="53" t="s">
        <v>4452</v>
      </c>
      <c r="D2200" s="54" t="s">
        <v>9642</v>
      </c>
      <c r="E2200" s="50">
        <f t="shared" si="75"/>
        <v>30.082191779999999</v>
      </c>
      <c r="F2200" s="51">
        <f t="shared" si="75"/>
        <v>4.5886497000000004</v>
      </c>
      <c r="H2200" s="33"/>
      <c r="I2200" s="33"/>
      <c r="J2200" s="33"/>
      <c r="K2200" s="33"/>
      <c r="L2200" s="33"/>
      <c r="M2200" s="33"/>
      <c r="N2200" s="33"/>
      <c r="O2200" s="33"/>
      <c r="P2200" s="33"/>
      <c r="Q2200" s="33"/>
      <c r="R2200" s="33"/>
      <c r="S2200" s="33"/>
      <c r="T2200" s="33"/>
      <c r="U2200" s="33"/>
      <c r="V2200" s="33"/>
      <c r="W2200" s="33"/>
      <c r="X2200" s="33"/>
      <c r="Y2200" s="33"/>
      <c r="Z2200" s="33"/>
      <c r="AA2200" s="33"/>
      <c r="AB2200" s="33"/>
    </row>
    <row r="2201" spans="1:28" x14ac:dyDescent="0.15">
      <c r="A2201" s="46" t="s">
        <v>4453</v>
      </c>
      <c r="B2201" s="52" t="s">
        <v>7361</v>
      </c>
      <c r="C2201" s="53" t="s">
        <v>4454</v>
      </c>
      <c r="D2201" s="54" t="s">
        <v>9643</v>
      </c>
      <c r="E2201" s="50">
        <f t="shared" si="75"/>
        <v>30.095890409999999</v>
      </c>
      <c r="F2201" s="51">
        <f t="shared" si="75"/>
        <v>4.5889256200000004</v>
      </c>
      <c r="H2201" s="33"/>
      <c r="I2201" s="33"/>
      <c r="J2201" s="33"/>
      <c r="K2201" s="33"/>
      <c r="L2201" s="33"/>
      <c r="M2201" s="33"/>
      <c r="N2201" s="33"/>
      <c r="O2201" s="33"/>
      <c r="P2201" s="33"/>
      <c r="Q2201" s="33"/>
      <c r="R2201" s="33"/>
      <c r="S2201" s="33"/>
      <c r="T2201" s="33"/>
      <c r="U2201" s="33"/>
      <c r="V2201" s="33"/>
      <c r="W2201" s="33"/>
      <c r="X2201" s="33"/>
      <c r="Y2201" s="33"/>
      <c r="Z2201" s="33"/>
      <c r="AA2201" s="33"/>
      <c r="AB2201" s="33"/>
    </row>
    <row r="2202" spans="1:28" x14ac:dyDescent="0.15">
      <c r="A2202" s="46" t="s">
        <v>4455</v>
      </c>
      <c r="B2202" s="52" t="s">
        <v>7361</v>
      </c>
      <c r="C2202" s="53" t="s">
        <v>4456</v>
      </c>
      <c r="D2202" s="54" t="s">
        <v>9644</v>
      </c>
      <c r="E2202" s="50">
        <f t="shared" si="75"/>
        <v>30.109589039999999</v>
      </c>
      <c r="F2202" s="51">
        <f t="shared" si="75"/>
        <v>4.5891980800000001</v>
      </c>
      <c r="H2202" s="33"/>
      <c r="I2202" s="33"/>
      <c r="J2202" s="33"/>
      <c r="K2202" s="33"/>
      <c r="L2202" s="33"/>
      <c r="M2202" s="33"/>
      <c r="N2202" s="33"/>
      <c r="O2202" s="33"/>
      <c r="P2202" s="33"/>
      <c r="Q2202" s="33"/>
      <c r="R2202" s="33"/>
      <c r="S2202" s="33"/>
      <c r="T2202" s="33"/>
      <c r="U2202" s="33"/>
      <c r="V2202" s="33"/>
      <c r="W2202" s="33"/>
      <c r="X2202" s="33"/>
      <c r="Y2202" s="33"/>
      <c r="Z2202" s="33"/>
      <c r="AA2202" s="33"/>
      <c r="AB2202" s="33"/>
    </row>
    <row r="2203" spans="1:28" x14ac:dyDescent="0.15">
      <c r="A2203" s="46" t="s">
        <v>4457</v>
      </c>
      <c r="B2203" s="52" t="s">
        <v>7361</v>
      </c>
      <c r="C2203" s="53" t="s">
        <v>4458</v>
      </c>
      <c r="D2203" s="54" t="s">
        <v>9645</v>
      </c>
      <c r="E2203" s="50">
        <f t="shared" si="75"/>
        <v>30.12328767</v>
      </c>
      <c r="F2203" s="51">
        <f t="shared" si="75"/>
        <v>4.5894672999999999</v>
      </c>
      <c r="H2203" s="33"/>
      <c r="I2203" s="33"/>
      <c r="J2203" s="33"/>
      <c r="K2203" s="33"/>
      <c r="L2203" s="33"/>
      <c r="M2203" s="33"/>
      <c r="N2203" s="33"/>
      <c r="O2203" s="33"/>
      <c r="P2203" s="33"/>
      <c r="Q2203" s="33"/>
      <c r="R2203" s="33"/>
      <c r="S2203" s="33"/>
      <c r="T2203" s="33"/>
      <c r="U2203" s="33"/>
      <c r="V2203" s="33"/>
      <c r="W2203" s="33"/>
      <c r="X2203" s="33"/>
      <c r="Y2203" s="33"/>
      <c r="Z2203" s="33"/>
      <c r="AA2203" s="33"/>
      <c r="AB2203" s="33"/>
    </row>
    <row r="2204" spans="1:28" x14ac:dyDescent="0.15">
      <c r="A2204" s="46" t="s">
        <v>4459</v>
      </c>
      <c r="B2204" s="52" t="s">
        <v>7361</v>
      </c>
      <c r="C2204" s="53" t="s">
        <v>4460</v>
      </c>
      <c r="D2204" s="54" t="s">
        <v>9646</v>
      </c>
      <c r="E2204" s="50">
        <f t="shared" si="75"/>
        <v>30.1369863</v>
      </c>
      <c r="F2204" s="51">
        <f t="shared" si="75"/>
        <v>4.5897334599999997</v>
      </c>
      <c r="H2204" s="33"/>
      <c r="I2204" s="33"/>
      <c r="J2204" s="33"/>
      <c r="K2204" s="33"/>
      <c r="L2204" s="33"/>
      <c r="M2204" s="33"/>
      <c r="N2204" s="33"/>
      <c r="O2204" s="33"/>
      <c r="P2204" s="33"/>
      <c r="Q2204" s="33"/>
      <c r="R2204" s="33"/>
      <c r="S2204" s="33"/>
      <c r="T2204" s="33"/>
      <c r="U2204" s="33"/>
      <c r="V2204" s="33"/>
      <c r="W2204" s="33"/>
      <c r="X2204" s="33"/>
      <c r="Y2204" s="33"/>
      <c r="Z2204" s="33"/>
      <c r="AA2204" s="33"/>
      <c r="AB2204" s="33"/>
    </row>
    <row r="2205" spans="1:28" x14ac:dyDescent="0.15">
      <c r="A2205" s="46" t="s">
        <v>4461</v>
      </c>
      <c r="B2205" s="52" t="s">
        <v>7361</v>
      </c>
      <c r="C2205" s="53" t="s">
        <v>4462</v>
      </c>
      <c r="D2205" s="54" t="s">
        <v>9647</v>
      </c>
      <c r="E2205" s="50">
        <f t="shared" si="75"/>
        <v>30.150684930000001</v>
      </c>
      <c r="F2205" s="51">
        <f t="shared" si="75"/>
        <v>4.5899967699999999</v>
      </c>
      <c r="H2205" s="33"/>
      <c r="I2205" s="33"/>
      <c r="J2205" s="33"/>
      <c r="K2205" s="33"/>
      <c r="L2205" s="33"/>
      <c r="M2205" s="33"/>
      <c r="N2205" s="33"/>
      <c r="O2205" s="33"/>
      <c r="P2205" s="33"/>
      <c r="Q2205" s="33"/>
      <c r="R2205" s="33"/>
      <c r="S2205" s="33"/>
      <c r="T2205" s="33"/>
      <c r="U2205" s="33"/>
      <c r="V2205" s="33"/>
      <c r="W2205" s="33"/>
      <c r="X2205" s="33"/>
      <c r="Y2205" s="33"/>
      <c r="Z2205" s="33"/>
      <c r="AA2205" s="33"/>
      <c r="AB2205" s="33"/>
    </row>
    <row r="2206" spans="1:28" x14ac:dyDescent="0.15">
      <c r="A2206" s="46" t="s">
        <v>4463</v>
      </c>
      <c r="B2206" s="52" t="s">
        <v>7361</v>
      </c>
      <c r="C2206" s="53" t="s">
        <v>4464</v>
      </c>
      <c r="D2206" s="54" t="s">
        <v>9648</v>
      </c>
      <c r="E2206" s="50">
        <f t="shared" si="75"/>
        <v>30.164383560000001</v>
      </c>
      <c r="F2206" s="51">
        <f t="shared" si="75"/>
        <v>4.5902574200000004</v>
      </c>
      <c r="H2206" s="33"/>
      <c r="I2206" s="33"/>
      <c r="J2206" s="33"/>
      <c r="K2206" s="33"/>
      <c r="L2206" s="33"/>
      <c r="M2206" s="33"/>
      <c r="N2206" s="33"/>
      <c r="O2206" s="33"/>
      <c r="P2206" s="33"/>
      <c r="Q2206" s="33"/>
      <c r="R2206" s="33"/>
      <c r="S2206" s="33"/>
      <c r="T2206" s="33"/>
      <c r="U2206" s="33"/>
      <c r="V2206" s="33"/>
      <c r="W2206" s="33"/>
      <c r="X2206" s="33"/>
      <c r="Y2206" s="33"/>
      <c r="Z2206" s="33"/>
      <c r="AA2206" s="33"/>
      <c r="AB2206" s="33"/>
    </row>
    <row r="2207" spans="1:28" x14ac:dyDescent="0.15">
      <c r="A2207" s="46" t="s">
        <v>4465</v>
      </c>
      <c r="B2207" s="52" t="s">
        <v>7361</v>
      </c>
      <c r="C2207" s="53" t="s">
        <v>4466</v>
      </c>
      <c r="D2207" s="54" t="s">
        <v>9649</v>
      </c>
      <c r="E2207" s="50">
        <f t="shared" si="75"/>
        <v>30.178082190000001</v>
      </c>
      <c r="F2207" s="51">
        <f t="shared" si="75"/>
        <v>4.5905156199999997</v>
      </c>
      <c r="H2207" s="33"/>
      <c r="I2207" s="33"/>
      <c r="J2207" s="33"/>
      <c r="K2207" s="33"/>
      <c r="L2207" s="33"/>
      <c r="M2207" s="33"/>
      <c r="N2207" s="33"/>
      <c r="O2207" s="33"/>
      <c r="P2207" s="33"/>
      <c r="Q2207" s="33"/>
      <c r="R2207" s="33"/>
      <c r="S2207" s="33"/>
      <c r="T2207" s="33"/>
      <c r="U2207" s="33"/>
      <c r="V2207" s="33"/>
      <c r="W2207" s="33"/>
      <c r="X2207" s="33"/>
      <c r="Y2207" s="33"/>
      <c r="Z2207" s="33"/>
      <c r="AA2207" s="33"/>
      <c r="AB2207" s="33"/>
    </row>
    <row r="2208" spans="1:28" x14ac:dyDescent="0.15">
      <c r="A2208" s="46" t="s">
        <v>4467</v>
      </c>
      <c r="B2208" s="52" t="s">
        <v>7361</v>
      </c>
      <c r="C2208" s="53" t="s">
        <v>4468</v>
      </c>
      <c r="D2208" s="54" t="s">
        <v>9650</v>
      </c>
      <c r="E2208" s="50">
        <f t="shared" si="75"/>
        <v>30.191780820000002</v>
      </c>
      <c r="F2208" s="51">
        <f t="shared" si="75"/>
        <v>4.5907715700000002</v>
      </c>
      <c r="H2208" s="33"/>
      <c r="I2208" s="33"/>
      <c r="J2208" s="33"/>
      <c r="K2208" s="33"/>
      <c r="L2208" s="33"/>
      <c r="M2208" s="33"/>
      <c r="N2208" s="33"/>
      <c r="O2208" s="33"/>
      <c r="P2208" s="33"/>
      <c r="Q2208" s="33"/>
      <c r="R2208" s="33"/>
      <c r="S2208" s="33"/>
      <c r="T2208" s="33"/>
      <c r="U2208" s="33"/>
      <c r="V2208" s="33"/>
      <c r="W2208" s="33"/>
      <c r="X2208" s="33"/>
      <c r="Y2208" s="33"/>
      <c r="Z2208" s="33"/>
      <c r="AA2208" s="33"/>
      <c r="AB2208" s="33"/>
    </row>
    <row r="2209" spans="1:28" x14ac:dyDescent="0.15">
      <c r="A2209" s="46" t="s">
        <v>4469</v>
      </c>
      <c r="B2209" s="52" t="s">
        <v>7361</v>
      </c>
      <c r="C2209" s="53" t="s">
        <v>4470</v>
      </c>
      <c r="D2209" s="54" t="s">
        <v>9651</v>
      </c>
      <c r="E2209" s="50">
        <f t="shared" si="75"/>
        <v>30.205479449999999</v>
      </c>
      <c r="F2209" s="51">
        <f t="shared" si="75"/>
        <v>4.59102546</v>
      </c>
      <c r="H2209" s="33"/>
      <c r="I2209" s="33"/>
      <c r="J2209" s="33"/>
      <c r="K2209" s="33"/>
      <c r="L2209" s="33"/>
      <c r="M2209" s="33"/>
      <c r="N2209" s="33"/>
      <c r="O2209" s="33"/>
      <c r="P2209" s="33"/>
      <c r="Q2209" s="33"/>
      <c r="R2209" s="33"/>
      <c r="S2209" s="33"/>
      <c r="T2209" s="33"/>
      <c r="U2209" s="33"/>
      <c r="V2209" s="33"/>
      <c r="W2209" s="33"/>
      <c r="X2209" s="33"/>
      <c r="Y2209" s="33"/>
      <c r="Z2209" s="33"/>
      <c r="AA2209" s="33"/>
      <c r="AB2209" s="33"/>
    </row>
    <row r="2210" spans="1:28" x14ac:dyDescent="0.15">
      <c r="A2210" s="46" t="s">
        <v>4471</v>
      </c>
      <c r="B2210" s="52" t="s">
        <v>7361</v>
      </c>
      <c r="C2210" s="53" t="s">
        <v>4472</v>
      </c>
      <c r="D2210" s="54" t="s">
        <v>9652</v>
      </c>
      <c r="E2210" s="50">
        <f t="shared" si="75"/>
        <v>30.219178079999999</v>
      </c>
      <c r="F2210" s="51">
        <f t="shared" si="75"/>
        <v>4.5912774900000004</v>
      </c>
      <c r="H2210" s="33"/>
      <c r="I2210" s="33"/>
      <c r="J2210" s="33"/>
      <c r="K2210" s="33"/>
      <c r="L2210" s="33"/>
      <c r="M2210" s="33"/>
      <c r="N2210" s="33"/>
      <c r="O2210" s="33"/>
      <c r="P2210" s="33"/>
      <c r="Q2210" s="33"/>
      <c r="R2210" s="33"/>
      <c r="S2210" s="33"/>
      <c r="T2210" s="33"/>
      <c r="U2210" s="33"/>
      <c r="V2210" s="33"/>
      <c r="W2210" s="33"/>
      <c r="X2210" s="33"/>
      <c r="Y2210" s="33"/>
      <c r="Z2210" s="33"/>
      <c r="AA2210" s="33"/>
      <c r="AB2210" s="33"/>
    </row>
    <row r="2211" spans="1:28" x14ac:dyDescent="0.15">
      <c r="A2211" s="46" t="s">
        <v>4473</v>
      </c>
      <c r="B2211" s="52" t="s">
        <v>7361</v>
      </c>
      <c r="C2211" s="53" t="s">
        <v>4474</v>
      </c>
      <c r="D2211" s="54" t="s">
        <v>9653</v>
      </c>
      <c r="E2211" s="50">
        <f t="shared" si="75"/>
        <v>30.232876709999999</v>
      </c>
      <c r="F2211" s="51">
        <f t="shared" si="75"/>
        <v>4.5915278700000002</v>
      </c>
      <c r="H2211" s="33"/>
      <c r="I2211" s="33"/>
      <c r="J2211" s="33"/>
      <c r="K2211" s="33"/>
      <c r="L2211" s="33"/>
      <c r="M2211" s="33"/>
      <c r="N2211" s="33"/>
      <c r="O2211" s="33"/>
      <c r="P2211" s="33"/>
      <c r="Q2211" s="33"/>
      <c r="R2211" s="33"/>
      <c r="S2211" s="33"/>
      <c r="T2211" s="33"/>
      <c r="U2211" s="33"/>
      <c r="V2211" s="33"/>
      <c r="W2211" s="33"/>
      <c r="X2211" s="33"/>
      <c r="Y2211" s="33"/>
      <c r="Z2211" s="33"/>
      <c r="AA2211" s="33"/>
      <c r="AB2211" s="33"/>
    </row>
    <row r="2212" spans="1:28" x14ac:dyDescent="0.15">
      <c r="A2212" s="46" t="s">
        <v>4475</v>
      </c>
      <c r="B2212" s="52" t="s">
        <v>7361</v>
      </c>
      <c r="C2212" s="53" t="s">
        <v>4476</v>
      </c>
      <c r="D2212" s="54" t="s">
        <v>9654</v>
      </c>
      <c r="E2212" s="50">
        <f t="shared" si="75"/>
        <v>30.24657534</v>
      </c>
      <c r="F2212" s="51">
        <f t="shared" si="75"/>
        <v>4.59177678</v>
      </c>
      <c r="H2212" s="33"/>
      <c r="I2212" s="33"/>
      <c r="J2212" s="33"/>
      <c r="K2212" s="33"/>
      <c r="L2212" s="33"/>
      <c r="M2212" s="33"/>
      <c r="N2212" s="33"/>
      <c r="O2212" s="33"/>
      <c r="P2212" s="33"/>
      <c r="Q2212" s="33"/>
      <c r="R2212" s="33"/>
      <c r="S2212" s="33"/>
      <c r="T2212" s="33"/>
      <c r="U2212" s="33"/>
      <c r="V2212" s="33"/>
      <c r="W2212" s="33"/>
      <c r="X2212" s="33"/>
      <c r="Y2212" s="33"/>
      <c r="Z2212" s="33"/>
      <c r="AA2212" s="33"/>
      <c r="AB2212" s="33"/>
    </row>
    <row r="2213" spans="1:28" x14ac:dyDescent="0.15">
      <c r="A2213" s="46" t="s">
        <v>4477</v>
      </c>
      <c r="B2213" s="52" t="s">
        <v>7361</v>
      </c>
      <c r="C2213" s="53" t="s">
        <v>4478</v>
      </c>
      <c r="D2213" s="54" t="s">
        <v>9655</v>
      </c>
      <c r="E2213" s="50">
        <f t="shared" si="75"/>
        <v>30.26027397</v>
      </c>
      <c r="F2213" s="51">
        <f t="shared" si="75"/>
        <v>4.5920244400000003</v>
      </c>
      <c r="H2213" s="33"/>
      <c r="I2213" s="33"/>
      <c r="J2213" s="33"/>
      <c r="K2213" s="33"/>
      <c r="L2213" s="33"/>
      <c r="M2213" s="33"/>
      <c r="N2213" s="33"/>
      <c r="O2213" s="33"/>
      <c r="P2213" s="33"/>
      <c r="Q2213" s="33"/>
      <c r="R2213" s="33"/>
      <c r="S2213" s="33"/>
      <c r="T2213" s="33"/>
      <c r="U2213" s="33"/>
      <c r="V2213" s="33"/>
      <c r="W2213" s="33"/>
      <c r="X2213" s="33"/>
      <c r="Y2213" s="33"/>
      <c r="Z2213" s="33"/>
      <c r="AA2213" s="33"/>
      <c r="AB2213" s="33"/>
    </row>
    <row r="2214" spans="1:28" x14ac:dyDescent="0.15">
      <c r="A2214" s="46" t="s">
        <v>4479</v>
      </c>
      <c r="B2214" s="52" t="s">
        <v>7361</v>
      </c>
      <c r="C2214" s="53" t="s">
        <v>4480</v>
      </c>
      <c r="D2214" s="54" t="s">
        <v>9656</v>
      </c>
      <c r="E2214" s="50">
        <f t="shared" si="75"/>
        <v>30.2739726</v>
      </c>
      <c r="F2214" s="51">
        <f t="shared" si="75"/>
        <v>4.59227103</v>
      </c>
      <c r="H2214" s="33"/>
      <c r="I2214" s="33"/>
      <c r="J2214" s="33"/>
      <c r="K2214" s="33"/>
      <c r="L2214" s="33"/>
      <c r="M2214" s="33"/>
      <c r="N2214" s="33"/>
      <c r="O2214" s="33"/>
      <c r="P2214" s="33"/>
      <c r="Q2214" s="33"/>
      <c r="R2214" s="33"/>
      <c r="S2214" s="33"/>
      <c r="T2214" s="33"/>
      <c r="U2214" s="33"/>
      <c r="V2214" s="33"/>
      <c r="W2214" s="33"/>
      <c r="X2214" s="33"/>
      <c r="Y2214" s="33"/>
      <c r="Z2214" s="33"/>
      <c r="AA2214" s="33"/>
      <c r="AB2214" s="33"/>
    </row>
    <row r="2215" spans="1:28" x14ac:dyDescent="0.15">
      <c r="A2215" s="46" t="s">
        <v>4481</v>
      </c>
      <c r="B2215" s="52" t="s">
        <v>7361</v>
      </c>
      <c r="C2215" s="53" t="s">
        <v>4482</v>
      </c>
      <c r="D2215" s="54" t="s">
        <v>9657</v>
      </c>
      <c r="E2215" s="50">
        <f t="shared" si="75"/>
        <v>30.287671230000001</v>
      </c>
      <c r="F2215" s="51">
        <f t="shared" si="75"/>
        <v>4.5925167599999996</v>
      </c>
      <c r="H2215" s="33"/>
      <c r="I2215" s="33"/>
      <c r="J2215" s="33"/>
      <c r="K2215" s="33"/>
      <c r="L2215" s="33"/>
      <c r="M2215" s="33"/>
      <c r="N2215" s="33"/>
      <c r="O2215" s="33"/>
      <c r="P2215" s="33"/>
      <c r="Q2215" s="33"/>
      <c r="R2215" s="33"/>
      <c r="S2215" s="33"/>
      <c r="T2215" s="33"/>
      <c r="U2215" s="33"/>
      <c r="V2215" s="33"/>
      <c r="W2215" s="33"/>
      <c r="X2215" s="33"/>
      <c r="Y2215" s="33"/>
      <c r="Z2215" s="33"/>
      <c r="AA2215" s="33"/>
      <c r="AB2215" s="33"/>
    </row>
    <row r="2216" spans="1:28" x14ac:dyDescent="0.15">
      <c r="A2216" s="46" t="s">
        <v>4483</v>
      </c>
      <c r="B2216" s="52" t="s">
        <v>7361</v>
      </c>
      <c r="C2216" s="53" t="s">
        <v>4484</v>
      </c>
      <c r="D2216" s="54" t="s">
        <v>9658</v>
      </c>
      <c r="E2216" s="50">
        <f t="shared" si="75"/>
        <v>30.301369860000001</v>
      </c>
      <c r="F2216" s="51">
        <f t="shared" si="75"/>
        <v>4.5927618199999998</v>
      </c>
      <c r="H2216" s="33"/>
      <c r="I2216" s="33"/>
      <c r="J2216" s="33"/>
      <c r="K2216" s="33"/>
      <c r="L2216" s="33"/>
      <c r="M2216" s="33"/>
      <c r="N2216" s="33"/>
      <c r="O2216" s="33"/>
      <c r="P2216" s="33"/>
      <c r="Q2216" s="33"/>
      <c r="R2216" s="33"/>
      <c r="S2216" s="33"/>
      <c r="T2216" s="33"/>
      <c r="U2216" s="33"/>
      <c r="V2216" s="33"/>
      <c r="W2216" s="33"/>
      <c r="X2216" s="33"/>
      <c r="Y2216" s="33"/>
      <c r="Z2216" s="33"/>
      <c r="AA2216" s="33"/>
      <c r="AB2216" s="33"/>
    </row>
    <row r="2217" spans="1:28" x14ac:dyDescent="0.15">
      <c r="A2217" s="46" t="s">
        <v>4485</v>
      </c>
      <c r="B2217" s="52" t="s">
        <v>7361</v>
      </c>
      <c r="C2217" s="53" t="s">
        <v>4486</v>
      </c>
      <c r="D2217" s="54" t="s">
        <v>9659</v>
      </c>
      <c r="E2217" s="50">
        <f t="shared" si="75"/>
        <v>30.315068490000002</v>
      </c>
      <c r="F2217" s="51">
        <f t="shared" si="75"/>
        <v>4.59300643</v>
      </c>
      <c r="H2217" s="33"/>
      <c r="I2217" s="33"/>
      <c r="J2217" s="33"/>
      <c r="K2217" s="33"/>
      <c r="L2217" s="33"/>
      <c r="M2217" s="33"/>
      <c r="N2217" s="33"/>
      <c r="O2217" s="33"/>
      <c r="P2217" s="33"/>
      <c r="Q2217" s="33"/>
      <c r="R2217" s="33"/>
      <c r="S2217" s="33"/>
      <c r="T2217" s="33"/>
      <c r="U2217" s="33"/>
      <c r="V2217" s="33"/>
      <c r="W2217" s="33"/>
      <c r="X2217" s="33"/>
      <c r="Y2217" s="33"/>
      <c r="Z2217" s="33"/>
      <c r="AA2217" s="33"/>
      <c r="AB2217" s="33"/>
    </row>
    <row r="2218" spans="1:28" x14ac:dyDescent="0.15">
      <c r="A2218" s="46" t="s">
        <v>4487</v>
      </c>
      <c r="B2218" s="52" t="s">
        <v>7361</v>
      </c>
      <c r="C2218" s="53" t="s">
        <v>4488</v>
      </c>
      <c r="D2218" s="54" t="s">
        <v>9660</v>
      </c>
      <c r="E2218" s="50">
        <f t="shared" si="75"/>
        <v>30.328767119999998</v>
      </c>
      <c r="F2218" s="51">
        <f t="shared" si="75"/>
        <v>4.5932507600000001</v>
      </c>
      <c r="H2218" s="33"/>
      <c r="I2218" s="33"/>
      <c r="J2218" s="33"/>
      <c r="K2218" s="33"/>
      <c r="L2218" s="33"/>
      <c r="M2218" s="33"/>
      <c r="N2218" s="33"/>
      <c r="O2218" s="33"/>
      <c r="P2218" s="33"/>
      <c r="Q2218" s="33"/>
      <c r="R2218" s="33"/>
      <c r="S2218" s="33"/>
      <c r="T2218" s="33"/>
      <c r="U2218" s="33"/>
      <c r="V2218" s="33"/>
      <c r="W2218" s="33"/>
      <c r="X2218" s="33"/>
      <c r="Y2218" s="33"/>
      <c r="Z2218" s="33"/>
      <c r="AA2218" s="33"/>
      <c r="AB2218" s="33"/>
    </row>
    <row r="2219" spans="1:28" x14ac:dyDescent="0.15">
      <c r="A2219" s="46" t="s">
        <v>4489</v>
      </c>
      <c r="B2219" s="52" t="s">
        <v>7361</v>
      </c>
      <c r="C2219" s="53" t="s">
        <v>4490</v>
      </c>
      <c r="D2219" s="54" t="s">
        <v>9661</v>
      </c>
      <c r="E2219" s="50">
        <f t="shared" si="75"/>
        <v>30.342465749999999</v>
      </c>
      <c r="F2219" s="51">
        <f t="shared" si="75"/>
        <v>4.5934950399999996</v>
      </c>
      <c r="H2219" s="33"/>
      <c r="I2219" s="33"/>
      <c r="J2219" s="33"/>
      <c r="K2219" s="33"/>
      <c r="L2219" s="33"/>
      <c r="M2219" s="33"/>
      <c r="N2219" s="33"/>
      <c r="O2219" s="33"/>
      <c r="P2219" s="33"/>
      <c r="Q2219" s="33"/>
      <c r="R2219" s="33"/>
      <c r="S2219" s="33"/>
      <c r="T2219" s="33"/>
      <c r="U2219" s="33"/>
      <c r="V2219" s="33"/>
      <c r="W2219" s="33"/>
      <c r="X2219" s="33"/>
      <c r="Y2219" s="33"/>
      <c r="Z2219" s="33"/>
      <c r="AA2219" s="33"/>
      <c r="AB2219" s="33"/>
    </row>
    <row r="2220" spans="1:28" x14ac:dyDescent="0.15">
      <c r="A2220" s="46" t="s">
        <v>4491</v>
      </c>
      <c r="B2220" s="52" t="s">
        <v>7361</v>
      </c>
      <c r="C2220" s="53" t="s">
        <v>4492</v>
      </c>
      <c r="D2220" s="54" t="s">
        <v>9662</v>
      </c>
      <c r="E2220" s="50">
        <f t="shared" si="75"/>
        <v>30.356164379999999</v>
      </c>
      <c r="F2220" s="51">
        <f t="shared" si="75"/>
        <v>4.5937394400000002</v>
      </c>
      <c r="H2220" s="33"/>
      <c r="I2220" s="33"/>
      <c r="J2220" s="33"/>
      <c r="K2220" s="33"/>
      <c r="L2220" s="33"/>
      <c r="M2220" s="33"/>
      <c r="N2220" s="33"/>
      <c r="O2220" s="33"/>
      <c r="P2220" s="33"/>
      <c r="Q2220" s="33"/>
      <c r="R2220" s="33"/>
      <c r="S2220" s="33"/>
      <c r="T2220" s="33"/>
      <c r="U2220" s="33"/>
      <c r="V2220" s="33"/>
      <c r="W2220" s="33"/>
      <c r="X2220" s="33"/>
      <c r="Y2220" s="33"/>
      <c r="Z2220" s="33"/>
      <c r="AA2220" s="33"/>
      <c r="AB2220" s="33"/>
    </row>
    <row r="2221" spans="1:28" x14ac:dyDescent="0.15">
      <c r="A2221" s="46" t="s">
        <v>4493</v>
      </c>
      <c r="B2221" s="52" t="s">
        <v>7361</v>
      </c>
      <c r="C2221" s="53" t="s">
        <v>4494</v>
      </c>
      <c r="D2221" s="54" t="s">
        <v>9663</v>
      </c>
      <c r="E2221" s="50">
        <f t="shared" si="75"/>
        <v>30.36986301</v>
      </c>
      <c r="F2221" s="51">
        <f t="shared" si="75"/>
        <v>4.5939841699999997</v>
      </c>
      <c r="H2221" s="33"/>
      <c r="I2221" s="33"/>
      <c r="J2221" s="33"/>
      <c r="K2221" s="33"/>
      <c r="L2221" s="33"/>
      <c r="M2221" s="33"/>
      <c r="N2221" s="33"/>
      <c r="O2221" s="33"/>
      <c r="P2221" s="33"/>
      <c r="Q2221" s="33"/>
      <c r="R2221" s="33"/>
      <c r="S2221" s="33"/>
      <c r="T2221" s="33"/>
      <c r="U2221" s="33"/>
      <c r="V2221" s="33"/>
      <c r="W2221" s="33"/>
      <c r="X2221" s="33"/>
      <c r="Y2221" s="33"/>
      <c r="Z2221" s="33"/>
      <c r="AA2221" s="33"/>
      <c r="AB2221" s="33"/>
    </row>
    <row r="2222" spans="1:28" x14ac:dyDescent="0.15">
      <c r="A2222" s="46" t="s">
        <v>4495</v>
      </c>
      <c r="B2222" s="52" t="s">
        <v>7361</v>
      </c>
      <c r="C2222" s="53" t="s">
        <v>4496</v>
      </c>
      <c r="D2222" s="54" t="s">
        <v>9664</v>
      </c>
      <c r="E2222" s="50">
        <f t="shared" si="75"/>
        <v>30.38356164</v>
      </c>
      <c r="F2222" s="51">
        <f t="shared" si="75"/>
        <v>4.5942294400000003</v>
      </c>
      <c r="H2222" s="33"/>
      <c r="I2222" s="33"/>
      <c r="J2222" s="33"/>
      <c r="K2222" s="33"/>
      <c r="L2222" s="33"/>
      <c r="M2222" s="33"/>
      <c r="N2222" s="33"/>
      <c r="O2222" s="33"/>
      <c r="P2222" s="33"/>
      <c r="Q2222" s="33"/>
      <c r="R2222" s="33"/>
      <c r="S2222" s="33"/>
      <c r="T2222" s="33"/>
      <c r="U2222" s="33"/>
      <c r="V2222" s="33"/>
      <c r="W2222" s="33"/>
      <c r="X2222" s="33"/>
      <c r="Y2222" s="33"/>
      <c r="Z2222" s="33"/>
      <c r="AA2222" s="33"/>
      <c r="AB2222" s="33"/>
    </row>
    <row r="2223" spans="1:28" x14ac:dyDescent="0.15">
      <c r="A2223" s="46" t="s">
        <v>4497</v>
      </c>
      <c r="B2223" s="52" t="s">
        <v>7361</v>
      </c>
      <c r="C2223" s="53" t="s">
        <v>4498</v>
      </c>
      <c r="D2223" s="54" t="s">
        <v>9665</v>
      </c>
      <c r="E2223" s="50">
        <f t="shared" si="75"/>
        <v>30.39726027</v>
      </c>
      <c r="F2223" s="51">
        <f t="shared" si="75"/>
        <v>4.5944754400000001</v>
      </c>
      <c r="H2223" s="33"/>
      <c r="I2223" s="33"/>
      <c r="J2223" s="33"/>
      <c r="K2223" s="33"/>
      <c r="L2223" s="33"/>
      <c r="M2223" s="33"/>
      <c r="N2223" s="33"/>
      <c r="O2223" s="33"/>
      <c r="P2223" s="33"/>
      <c r="Q2223" s="33"/>
      <c r="R2223" s="33"/>
      <c r="S2223" s="33"/>
      <c r="T2223" s="33"/>
      <c r="U2223" s="33"/>
      <c r="V2223" s="33"/>
      <c r="W2223" s="33"/>
      <c r="X2223" s="33"/>
      <c r="Y2223" s="33"/>
      <c r="Z2223" s="33"/>
      <c r="AA2223" s="33"/>
      <c r="AB2223" s="33"/>
    </row>
    <row r="2224" spans="1:28" x14ac:dyDescent="0.15">
      <c r="A2224" s="46" t="s">
        <v>4499</v>
      </c>
      <c r="B2224" s="52" t="s">
        <v>7361</v>
      </c>
      <c r="C2224" s="53" t="s">
        <v>4500</v>
      </c>
      <c r="D2224" s="54" t="s">
        <v>9666</v>
      </c>
      <c r="E2224" s="50">
        <f t="shared" si="75"/>
        <v>30.410958900000001</v>
      </c>
      <c r="F2224" s="51">
        <f t="shared" si="75"/>
        <v>4.5947223599999996</v>
      </c>
      <c r="H2224" s="33"/>
      <c r="I2224" s="33"/>
      <c r="J2224" s="33"/>
      <c r="K2224" s="33"/>
      <c r="L2224" s="33"/>
      <c r="M2224" s="33"/>
      <c r="N2224" s="33"/>
      <c r="O2224" s="33"/>
      <c r="P2224" s="33"/>
      <c r="Q2224" s="33"/>
      <c r="R2224" s="33"/>
      <c r="S2224" s="33"/>
      <c r="T2224" s="33"/>
      <c r="U2224" s="33"/>
      <c r="V2224" s="33"/>
      <c r="W2224" s="33"/>
      <c r="X2224" s="33"/>
      <c r="Y2224" s="33"/>
      <c r="Z2224" s="33"/>
      <c r="AA2224" s="33"/>
      <c r="AB2224" s="33"/>
    </row>
    <row r="2225" spans="1:28" x14ac:dyDescent="0.15">
      <c r="A2225" s="46" t="s">
        <v>4501</v>
      </c>
      <c r="B2225" s="52" t="s">
        <v>7361</v>
      </c>
      <c r="C2225" s="53" t="s">
        <v>4502</v>
      </c>
      <c r="D2225" s="54" t="s">
        <v>9667</v>
      </c>
      <c r="E2225" s="50">
        <f t="shared" si="75"/>
        <v>30.424657530000001</v>
      </c>
      <c r="F2225" s="51">
        <f t="shared" si="75"/>
        <v>4.5949704100000002</v>
      </c>
      <c r="H2225" s="33"/>
      <c r="I2225" s="33"/>
      <c r="J2225" s="33"/>
      <c r="K2225" s="33"/>
      <c r="L2225" s="33"/>
      <c r="M2225" s="33"/>
      <c r="N2225" s="33"/>
      <c r="O2225" s="33"/>
      <c r="P2225" s="33"/>
      <c r="Q2225" s="33"/>
      <c r="R2225" s="33"/>
      <c r="S2225" s="33"/>
      <c r="T2225" s="33"/>
      <c r="U2225" s="33"/>
      <c r="V2225" s="33"/>
      <c r="W2225" s="33"/>
      <c r="X2225" s="33"/>
      <c r="Y2225" s="33"/>
      <c r="Z2225" s="33"/>
      <c r="AA2225" s="33"/>
      <c r="AB2225" s="33"/>
    </row>
    <row r="2226" spans="1:28" x14ac:dyDescent="0.15">
      <c r="A2226" s="46" t="s">
        <v>4503</v>
      </c>
      <c r="B2226" s="52" t="s">
        <v>7361</v>
      </c>
      <c r="C2226" s="53" t="s">
        <v>4504</v>
      </c>
      <c r="D2226" s="54" t="s">
        <v>9668</v>
      </c>
      <c r="E2226" s="50">
        <f t="shared" ref="E2226:F2255" si="76">VALUE(C2226)</f>
        <v>30.438356160000001</v>
      </c>
      <c r="F2226" s="51">
        <f t="shared" si="76"/>
        <v>4.5952197899999998</v>
      </c>
      <c r="H2226" s="33"/>
      <c r="I2226" s="33"/>
      <c r="J2226" s="33"/>
      <c r="K2226" s="33"/>
      <c r="L2226" s="33"/>
      <c r="M2226" s="33"/>
      <c r="N2226" s="33"/>
      <c r="O2226" s="33"/>
      <c r="P2226" s="33"/>
      <c r="Q2226" s="33"/>
      <c r="R2226" s="33"/>
      <c r="S2226" s="33"/>
      <c r="T2226" s="33"/>
      <c r="U2226" s="33"/>
      <c r="V2226" s="33"/>
      <c r="W2226" s="33"/>
      <c r="X2226" s="33"/>
      <c r="Y2226" s="33"/>
      <c r="Z2226" s="33"/>
      <c r="AA2226" s="33"/>
      <c r="AB2226" s="33"/>
    </row>
    <row r="2227" spans="1:28" x14ac:dyDescent="0.15">
      <c r="A2227" s="46" t="s">
        <v>4505</v>
      </c>
      <c r="B2227" s="52" t="s">
        <v>7361</v>
      </c>
      <c r="C2227" s="53" t="s">
        <v>4506</v>
      </c>
      <c r="D2227" s="54" t="s">
        <v>9669</v>
      </c>
      <c r="E2227" s="50">
        <f t="shared" si="76"/>
        <v>30.452054789999998</v>
      </c>
      <c r="F2227" s="51">
        <f t="shared" si="76"/>
        <v>4.5954706999999999</v>
      </c>
      <c r="H2227" s="33"/>
      <c r="I2227" s="33"/>
      <c r="J2227" s="33"/>
      <c r="K2227" s="33"/>
      <c r="L2227" s="33"/>
      <c r="M2227" s="33"/>
      <c r="N2227" s="33"/>
      <c r="O2227" s="33"/>
      <c r="P2227" s="33"/>
      <c r="Q2227" s="33"/>
      <c r="R2227" s="33"/>
      <c r="S2227" s="33"/>
      <c r="T2227" s="33"/>
      <c r="U2227" s="33"/>
      <c r="V2227" s="33"/>
      <c r="W2227" s="33"/>
      <c r="X2227" s="33"/>
      <c r="Y2227" s="33"/>
      <c r="Z2227" s="33"/>
      <c r="AA2227" s="33"/>
      <c r="AB2227" s="33"/>
    </row>
    <row r="2228" spans="1:28" x14ac:dyDescent="0.15">
      <c r="A2228" s="46" t="s">
        <v>4507</v>
      </c>
      <c r="B2228" s="52" t="s">
        <v>7361</v>
      </c>
      <c r="C2228" s="53" t="s">
        <v>4508</v>
      </c>
      <c r="D2228" s="54" t="s">
        <v>9670</v>
      </c>
      <c r="E2228" s="50">
        <f t="shared" si="76"/>
        <v>30.465753419999999</v>
      </c>
      <c r="F2228" s="51">
        <f t="shared" si="76"/>
        <v>4.5957233200000003</v>
      </c>
      <c r="H2228" s="33"/>
      <c r="I2228" s="33"/>
      <c r="J2228" s="33"/>
      <c r="K2228" s="33"/>
      <c r="L2228" s="33"/>
      <c r="M2228" s="33"/>
      <c r="N2228" s="33"/>
      <c r="O2228" s="33"/>
      <c r="P2228" s="33"/>
      <c r="Q2228" s="33"/>
      <c r="R2228" s="33"/>
      <c r="S2228" s="33"/>
      <c r="T2228" s="33"/>
      <c r="U2228" s="33"/>
      <c r="V2228" s="33"/>
      <c r="W2228" s="33"/>
      <c r="X2228" s="33"/>
      <c r="Y2228" s="33"/>
      <c r="Z2228" s="33"/>
      <c r="AA2228" s="33"/>
      <c r="AB2228" s="33"/>
    </row>
    <row r="2229" spans="1:28" x14ac:dyDescent="0.15">
      <c r="A2229" s="46" t="s">
        <v>4509</v>
      </c>
      <c r="B2229" s="52" t="s">
        <v>7361</v>
      </c>
      <c r="C2229" s="53" t="s">
        <v>4510</v>
      </c>
      <c r="D2229" s="54" t="s">
        <v>9671</v>
      </c>
      <c r="E2229" s="50">
        <f t="shared" si="76"/>
        <v>30.479452049999999</v>
      </c>
      <c r="F2229" s="51">
        <f t="shared" si="76"/>
        <v>4.5959778800000004</v>
      </c>
      <c r="H2229" s="33"/>
      <c r="I2229" s="33"/>
      <c r="J2229" s="33"/>
      <c r="K2229" s="33"/>
      <c r="L2229" s="33"/>
      <c r="M2229" s="33"/>
      <c r="N2229" s="33"/>
      <c r="O2229" s="33"/>
      <c r="P2229" s="33"/>
      <c r="Q2229" s="33"/>
      <c r="R2229" s="33"/>
      <c r="S2229" s="33"/>
      <c r="T2229" s="33"/>
      <c r="U2229" s="33"/>
      <c r="V2229" s="33"/>
      <c r="W2229" s="33"/>
      <c r="X2229" s="33"/>
      <c r="Y2229" s="33"/>
      <c r="Z2229" s="33"/>
      <c r="AA2229" s="33"/>
      <c r="AB2229" s="33"/>
    </row>
    <row r="2230" spans="1:28" x14ac:dyDescent="0.15">
      <c r="A2230" s="46" t="s">
        <v>4511</v>
      </c>
      <c r="B2230" s="52" t="s">
        <v>7361</v>
      </c>
      <c r="C2230" s="53" t="s">
        <v>4512</v>
      </c>
      <c r="D2230" s="54" t="s">
        <v>9672</v>
      </c>
      <c r="E2230" s="50">
        <f t="shared" si="76"/>
        <v>30.493150679999999</v>
      </c>
      <c r="F2230" s="51">
        <f t="shared" si="76"/>
        <v>4.5962345500000001</v>
      </c>
      <c r="H2230" s="33"/>
      <c r="I2230" s="33"/>
      <c r="J2230" s="33"/>
      <c r="K2230" s="33"/>
      <c r="L2230" s="33"/>
      <c r="M2230" s="33"/>
      <c r="N2230" s="33"/>
      <c r="O2230" s="33"/>
      <c r="P2230" s="33"/>
      <c r="Q2230" s="33"/>
      <c r="R2230" s="33"/>
      <c r="S2230" s="33"/>
      <c r="T2230" s="33"/>
      <c r="U2230" s="33"/>
      <c r="V2230" s="33"/>
      <c r="W2230" s="33"/>
      <c r="X2230" s="33"/>
      <c r="Y2230" s="33"/>
      <c r="Z2230" s="33"/>
      <c r="AA2230" s="33"/>
      <c r="AB2230" s="33"/>
    </row>
    <row r="2231" spans="1:28" x14ac:dyDescent="0.15">
      <c r="A2231" s="46" t="s">
        <v>4513</v>
      </c>
      <c r="B2231" s="52" t="s">
        <v>7361</v>
      </c>
      <c r="C2231" s="53" t="s">
        <v>4514</v>
      </c>
      <c r="D2231" s="54" t="s">
        <v>9673</v>
      </c>
      <c r="E2231" s="50">
        <f t="shared" si="76"/>
        <v>30.506849320000001</v>
      </c>
      <c r="F2231" s="51">
        <f t="shared" si="76"/>
        <v>4.5964927500000003</v>
      </c>
      <c r="H2231" s="33"/>
      <c r="I2231" s="33"/>
      <c r="J2231" s="33"/>
      <c r="K2231" s="33"/>
      <c r="L2231" s="33"/>
      <c r="M2231" s="33"/>
      <c r="N2231" s="33"/>
      <c r="O2231" s="33"/>
      <c r="P2231" s="33"/>
      <c r="Q2231" s="33"/>
      <c r="R2231" s="33"/>
      <c r="S2231" s="33"/>
      <c r="T2231" s="33"/>
      <c r="U2231" s="33"/>
      <c r="V2231" s="33"/>
      <c r="W2231" s="33"/>
      <c r="X2231" s="33"/>
      <c r="Y2231" s="33"/>
      <c r="Z2231" s="33"/>
      <c r="AA2231" s="33"/>
      <c r="AB2231" s="33"/>
    </row>
    <row r="2232" spans="1:28" x14ac:dyDescent="0.15">
      <c r="A2232" s="46" t="s">
        <v>4515</v>
      </c>
      <c r="B2232" s="52" t="s">
        <v>7361</v>
      </c>
      <c r="C2232" s="53" t="s">
        <v>4516</v>
      </c>
      <c r="D2232" s="54" t="s">
        <v>9674</v>
      </c>
      <c r="E2232" s="50">
        <f t="shared" si="76"/>
        <v>30.520547950000001</v>
      </c>
      <c r="F2232" s="51">
        <f t="shared" si="76"/>
        <v>4.5967478499999999</v>
      </c>
      <c r="H2232" s="33"/>
      <c r="I2232" s="33"/>
      <c r="J2232" s="33"/>
      <c r="K2232" s="33"/>
      <c r="L2232" s="33"/>
      <c r="M2232" s="33"/>
      <c r="N2232" s="33"/>
      <c r="O2232" s="33"/>
      <c r="P2232" s="33"/>
      <c r="Q2232" s="33"/>
      <c r="R2232" s="33"/>
      <c r="S2232" s="33"/>
      <c r="T2232" s="33"/>
      <c r="U2232" s="33"/>
      <c r="V2232" s="33"/>
      <c r="W2232" s="33"/>
      <c r="X2232" s="33"/>
      <c r="Y2232" s="33"/>
      <c r="Z2232" s="33"/>
      <c r="AA2232" s="33"/>
      <c r="AB2232" s="33"/>
    </row>
    <row r="2233" spans="1:28" x14ac:dyDescent="0.15">
      <c r="A2233" s="46" t="s">
        <v>4517</v>
      </c>
      <c r="B2233" s="52" t="s">
        <v>7361</v>
      </c>
      <c r="C2233" s="53" t="s">
        <v>4518</v>
      </c>
      <c r="D2233" s="54" t="s">
        <v>9675</v>
      </c>
      <c r="E2233" s="50">
        <f t="shared" si="76"/>
        <v>30.534246580000001</v>
      </c>
      <c r="F2233" s="51">
        <f t="shared" si="76"/>
        <v>4.5969992199999998</v>
      </c>
      <c r="H2233" s="33"/>
      <c r="I2233" s="33"/>
      <c r="J2233" s="33"/>
      <c r="K2233" s="33"/>
      <c r="L2233" s="33"/>
      <c r="M2233" s="33"/>
      <c r="N2233" s="33"/>
      <c r="O2233" s="33"/>
      <c r="P2233" s="33"/>
      <c r="Q2233" s="33"/>
      <c r="R2233" s="33"/>
      <c r="S2233" s="33"/>
      <c r="T2233" s="33"/>
      <c r="U2233" s="33"/>
      <c r="V2233" s="33"/>
      <c r="W2233" s="33"/>
      <c r="X2233" s="33"/>
      <c r="Y2233" s="33"/>
      <c r="Z2233" s="33"/>
      <c r="AA2233" s="33"/>
      <c r="AB2233" s="33"/>
    </row>
    <row r="2234" spans="1:28" x14ac:dyDescent="0.15">
      <c r="A2234" s="46" t="s">
        <v>4519</v>
      </c>
      <c r="B2234" s="52" t="s">
        <v>7361</v>
      </c>
      <c r="C2234" s="53" t="s">
        <v>4520</v>
      </c>
      <c r="D2234" s="54" t="s">
        <v>9676</v>
      </c>
      <c r="E2234" s="50">
        <f t="shared" si="76"/>
        <v>30.547945210000002</v>
      </c>
      <c r="F2234" s="51">
        <f t="shared" si="76"/>
        <v>4.5972470200000002</v>
      </c>
      <c r="H2234" s="33"/>
      <c r="I2234" s="33"/>
      <c r="J2234" s="33"/>
      <c r="K2234" s="33"/>
      <c r="L2234" s="33"/>
      <c r="M2234" s="33"/>
      <c r="N2234" s="33"/>
      <c r="O2234" s="33"/>
      <c r="P2234" s="33"/>
      <c r="Q2234" s="33"/>
      <c r="R2234" s="33"/>
      <c r="S2234" s="33"/>
      <c r="T2234" s="33"/>
      <c r="U2234" s="33"/>
      <c r="V2234" s="33"/>
      <c r="W2234" s="33"/>
      <c r="X2234" s="33"/>
      <c r="Y2234" s="33"/>
      <c r="Z2234" s="33"/>
      <c r="AA2234" s="33"/>
      <c r="AB2234" s="33"/>
    </row>
    <row r="2235" spans="1:28" x14ac:dyDescent="0.15">
      <c r="A2235" s="46" t="s">
        <v>4521</v>
      </c>
      <c r="B2235" s="52" t="s">
        <v>7361</v>
      </c>
      <c r="C2235" s="53" t="s">
        <v>4522</v>
      </c>
      <c r="D2235" s="54" t="s">
        <v>9677</v>
      </c>
      <c r="E2235" s="50">
        <f t="shared" si="76"/>
        <v>30.561643839999999</v>
      </c>
      <c r="F2235" s="51">
        <f t="shared" si="76"/>
        <v>4.5974914099999999</v>
      </c>
      <c r="H2235" s="33"/>
      <c r="I2235" s="33"/>
      <c r="J2235" s="33"/>
      <c r="K2235" s="33"/>
      <c r="L2235" s="33"/>
      <c r="M2235" s="33"/>
      <c r="N2235" s="33"/>
      <c r="O2235" s="33"/>
      <c r="P2235" s="33"/>
      <c r="Q2235" s="33"/>
      <c r="R2235" s="33"/>
      <c r="S2235" s="33"/>
      <c r="T2235" s="33"/>
      <c r="U2235" s="33"/>
      <c r="V2235" s="33"/>
      <c r="W2235" s="33"/>
      <c r="X2235" s="33"/>
      <c r="Y2235" s="33"/>
      <c r="Z2235" s="33"/>
      <c r="AA2235" s="33"/>
      <c r="AB2235" s="33"/>
    </row>
    <row r="2236" spans="1:28" x14ac:dyDescent="0.15">
      <c r="A2236" s="46" t="s">
        <v>4523</v>
      </c>
      <c r="B2236" s="52" t="s">
        <v>7361</v>
      </c>
      <c r="C2236" s="53" t="s">
        <v>4524</v>
      </c>
      <c r="D2236" s="54" t="s">
        <v>9678</v>
      </c>
      <c r="E2236" s="50">
        <f t="shared" si="76"/>
        <v>30.575342469999999</v>
      </c>
      <c r="F2236" s="51">
        <f t="shared" si="76"/>
        <v>4.5977325699999998</v>
      </c>
      <c r="H2236" s="33"/>
      <c r="I2236" s="33"/>
      <c r="J2236" s="33"/>
      <c r="K2236" s="33"/>
      <c r="L2236" s="33"/>
      <c r="M2236" s="33"/>
      <c r="N2236" s="33"/>
      <c r="O2236" s="33"/>
      <c r="P2236" s="33"/>
      <c r="Q2236" s="33"/>
      <c r="R2236" s="33"/>
      <c r="S2236" s="33"/>
      <c r="T2236" s="33"/>
      <c r="U2236" s="33"/>
      <c r="V2236" s="33"/>
      <c r="W2236" s="33"/>
      <c r="X2236" s="33"/>
      <c r="Y2236" s="33"/>
      <c r="Z2236" s="33"/>
      <c r="AA2236" s="33"/>
      <c r="AB2236" s="33"/>
    </row>
    <row r="2237" spans="1:28" x14ac:dyDescent="0.15">
      <c r="A2237" s="46" t="s">
        <v>4525</v>
      </c>
      <c r="B2237" s="52" t="s">
        <v>7361</v>
      </c>
      <c r="C2237" s="53" t="s">
        <v>4526</v>
      </c>
      <c r="D2237" s="54" t="s">
        <v>9679</v>
      </c>
      <c r="E2237" s="50">
        <f t="shared" si="76"/>
        <v>30.589041099999999</v>
      </c>
      <c r="F2237" s="51">
        <f t="shared" si="76"/>
        <v>4.5979706399999998</v>
      </c>
      <c r="H2237" s="33"/>
      <c r="I2237" s="33"/>
      <c r="J2237" s="33"/>
      <c r="K2237" s="33"/>
      <c r="L2237" s="33"/>
      <c r="M2237" s="33"/>
      <c r="N2237" s="33"/>
      <c r="O2237" s="33"/>
      <c r="P2237" s="33"/>
      <c r="Q2237" s="33"/>
      <c r="R2237" s="33"/>
      <c r="S2237" s="33"/>
      <c r="T2237" s="33"/>
      <c r="U2237" s="33"/>
      <c r="V2237" s="33"/>
      <c r="W2237" s="33"/>
      <c r="X2237" s="33"/>
      <c r="Y2237" s="33"/>
      <c r="Z2237" s="33"/>
      <c r="AA2237" s="33"/>
      <c r="AB2237" s="33"/>
    </row>
    <row r="2238" spans="1:28" x14ac:dyDescent="0.15">
      <c r="A2238" s="46" t="s">
        <v>4527</v>
      </c>
      <c r="B2238" s="52" t="s">
        <v>7361</v>
      </c>
      <c r="C2238" s="53" t="s">
        <v>4528</v>
      </c>
      <c r="D2238" s="54" t="s">
        <v>9680</v>
      </c>
      <c r="E2238" s="50">
        <f t="shared" si="76"/>
        <v>30.60273973</v>
      </c>
      <c r="F2238" s="51">
        <f t="shared" si="76"/>
        <v>4.5982057999999997</v>
      </c>
      <c r="H2238" s="33"/>
      <c r="I2238" s="33"/>
      <c r="J2238" s="33"/>
      <c r="K2238" s="33"/>
      <c r="L2238" s="33"/>
      <c r="M2238" s="33"/>
      <c r="N2238" s="33"/>
      <c r="O2238" s="33"/>
      <c r="P2238" s="33"/>
      <c r="Q2238" s="33"/>
      <c r="R2238" s="33"/>
      <c r="S2238" s="33"/>
      <c r="T2238" s="33"/>
      <c r="U2238" s="33"/>
      <c r="V2238" s="33"/>
      <c r="W2238" s="33"/>
      <c r="X2238" s="33"/>
      <c r="Y2238" s="33"/>
      <c r="Z2238" s="33"/>
      <c r="AA2238" s="33"/>
      <c r="AB2238" s="33"/>
    </row>
    <row r="2239" spans="1:28" x14ac:dyDescent="0.15">
      <c r="A2239" s="46" t="s">
        <v>4529</v>
      </c>
      <c r="B2239" s="52" t="s">
        <v>7361</v>
      </c>
      <c r="C2239" s="53" t="s">
        <v>4530</v>
      </c>
      <c r="D2239" s="54" t="s">
        <v>9681</v>
      </c>
      <c r="E2239" s="50">
        <f t="shared" si="76"/>
        <v>30.61643836</v>
      </c>
      <c r="F2239" s="51">
        <f t="shared" si="76"/>
        <v>4.5984382100000003</v>
      </c>
      <c r="H2239" s="33"/>
      <c r="I2239" s="33"/>
      <c r="J2239" s="33"/>
      <c r="K2239" s="33"/>
      <c r="L2239" s="33"/>
      <c r="M2239" s="33"/>
      <c r="N2239" s="33"/>
      <c r="O2239" s="33"/>
      <c r="P2239" s="33"/>
      <c r="Q2239" s="33"/>
      <c r="R2239" s="33"/>
      <c r="S2239" s="33"/>
      <c r="T2239" s="33"/>
      <c r="U2239" s="33"/>
      <c r="V2239" s="33"/>
      <c r="W2239" s="33"/>
      <c r="X2239" s="33"/>
      <c r="Y2239" s="33"/>
      <c r="Z2239" s="33"/>
      <c r="AA2239" s="33"/>
      <c r="AB2239" s="33"/>
    </row>
    <row r="2240" spans="1:28" x14ac:dyDescent="0.15">
      <c r="A2240" s="46" t="s">
        <v>4531</v>
      </c>
      <c r="B2240" s="52" t="s">
        <v>7361</v>
      </c>
      <c r="C2240" s="53" t="s">
        <v>4532</v>
      </c>
      <c r="D2240" s="54" t="s">
        <v>9682</v>
      </c>
      <c r="E2240" s="50">
        <f t="shared" si="76"/>
        <v>30.63013699</v>
      </c>
      <c r="F2240" s="51">
        <f t="shared" si="76"/>
        <v>4.5986680299999998</v>
      </c>
      <c r="H2240" s="33"/>
      <c r="I2240" s="33"/>
      <c r="J2240" s="33"/>
      <c r="K2240" s="33"/>
      <c r="L2240" s="33"/>
      <c r="M2240" s="33"/>
      <c r="N2240" s="33"/>
      <c r="O2240" s="33"/>
      <c r="P2240" s="33"/>
      <c r="Q2240" s="33"/>
      <c r="R2240" s="33"/>
      <c r="S2240" s="33"/>
      <c r="T2240" s="33"/>
      <c r="U2240" s="33"/>
      <c r="V2240" s="33"/>
      <c r="W2240" s="33"/>
      <c r="X2240" s="33"/>
      <c r="Y2240" s="33"/>
      <c r="Z2240" s="33"/>
      <c r="AA2240" s="33"/>
      <c r="AB2240" s="33"/>
    </row>
    <row r="2241" spans="1:28" x14ac:dyDescent="0.15">
      <c r="A2241" s="46" t="s">
        <v>4533</v>
      </c>
      <c r="B2241" s="52" t="s">
        <v>7361</v>
      </c>
      <c r="C2241" s="53" t="s">
        <v>4534</v>
      </c>
      <c r="D2241" s="54" t="s">
        <v>9683</v>
      </c>
      <c r="E2241" s="50">
        <f t="shared" si="76"/>
        <v>30.643835620000001</v>
      </c>
      <c r="F2241" s="51">
        <f t="shared" si="76"/>
        <v>4.5988954199999998</v>
      </c>
      <c r="H2241" s="33"/>
      <c r="I2241" s="33"/>
      <c r="J2241" s="33"/>
      <c r="K2241" s="33"/>
      <c r="L2241" s="33"/>
      <c r="M2241" s="33"/>
      <c r="N2241" s="33"/>
      <c r="O2241" s="33"/>
      <c r="P2241" s="33"/>
      <c r="Q2241" s="33"/>
      <c r="R2241" s="33"/>
      <c r="S2241" s="33"/>
      <c r="T2241" s="33"/>
      <c r="U2241" s="33"/>
      <c r="V2241" s="33"/>
      <c r="W2241" s="33"/>
      <c r="X2241" s="33"/>
      <c r="Y2241" s="33"/>
      <c r="Z2241" s="33"/>
      <c r="AA2241" s="33"/>
      <c r="AB2241" s="33"/>
    </row>
    <row r="2242" spans="1:28" x14ac:dyDescent="0.15">
      <c r="A2242" s="46" t="s">
        <v>4535</v>
      </c>
      <c r="B2242" s="52" t="s">
        <v>7361</v>
      </c>
      <c r="C2242" s="53" t="s">
        <v>4536</v>
      </c>
      <c r="D2242" s="54" t="s">
        <v>9684</v>
      </c>
      <c r="E2242" s="50">
        <f t="shared" si="76"/>
        <v>30.657534250000001</v>
      </c>
      <c r="F2242" s="51">
        <f t="shared" si="76"/>
        <v>4.5991205600000002</v>
      </c>
      <c r="H2242" s="33"/>
      <c r="I2242" s="33"/>
      <c r="J2242" s="33"/>
      <c r="K2242" s="33"/>
      <c r="L2242" s="33"/>
      <c r="M2242" s="33"/>
      <c r="N2242" s="33"/>
      <c r="O2242" s="33"/>
      <c r="P2242" s="33"/>
      <c r="Q2242" s="33"/>
      <c r="R2242" s="33"/>
      <c r="S2242" s="33"/>
      <c r="T2242" s="33"/>
      <c r="U2242" s="33"/>
      <c r="V2242" s="33"/>
      <c r="W2242" s="33"/>
      <c r="X2242" s="33"/>
      <c r="Y2242" s="33"/>
      <c r="Z2242" s="33"/>
      <c r="AA2242" s="33"/>
      <c r="AB2242" s="33"/>
    </row>
    <row r="2243" spans="1:28" x14ac:dyDescent="0.15">
      <c r="A2243" s="46" t="s">
        <v>4537</v>
      </c>
      <c r="B2243" s="52" t="s">
        <v>7361</v>
      </c>
      <c r="C2243" s="53" t="s">
        <v>4538</v>
      </c>
      <c r="D2243" s="54" t="s">
        <v>9685</v>
      </c>
      <c r="E2243" s="50">
        <f t="shared" si="76"/>
        <v>30.671232880000002</v>
      </c>
      <c r="F2243" s="51">
        <f t="shared" si="76"/>
        <v>4.5993435900000001</v>
      </c>
      <c r="H2243" s="33"/>
      <c r="I2243" s="33"/>
      <c r="J2243" s="33"/>
      <c r="K2243" s="33"/>
      <c r="L2243" s="33"/>
      <c r="M2243" s="33"/>
      <c r="N2243" s="33"/>
      <c r="O2243" s="33"/>
      <c r="P2243" s="33"/>
      <c r="Q2243" s="33"/>
      <c r="R2243" s="33"/>
      <c r="S2243" s="33"/>
      <c r="T2243" s="33"/>
      <c r="U2243" s="33"/>
      <c r="V2243" s="33"/>
      <c r="W2243" s="33"/>
      <c r="X2243" s="33"/>
      <c r="Y2243" s="33"/>
      <c r="Z2243" s="33"/>
      <c r="AA2243" s="33"/>
      <c r="AB2243" s="33"/>
    </row>
    <row r="2244" spans="1:28" x14ac:dyDescent="0.15">
      <c r="A2244" s="46" t="s">
        <v>4539</v>
      </c>
      <c r="B2244" s="52" t="s">
        <v>7361</v>
      </c>
      <c r="C2244" s="53" t="s">
        <v>4540</v>
      </c>
      <c r="D2244" s="54" t="s">
        <v>9686</v>
      </c>
      <c r="E2244" s="50">
        <f t="shared" si="76"/>
        <v>30.684931509999998</v>
      </c>
      <c r="F2244" s="51">
        <f t="shared" si="76"/>
        <v>4.5995646900000002</v>
      </c>
      <c r="H2244" s="33"/>
      <c r="I2244" s="33"/>
      <c r="J2244" s="33"/>
      <c r="K2244" s="33"/>
      <c r="L2244" s="33"/>
      <c r="M2244" s="33"/>
      <c r="N2244" s="33"/>
      <c r="O2244" s="33"/>
      <c r="P2244" s="33"/>
      <c r="Q2244" s="33"/>
      <c r="R2244" s="33"/>
      <c r="S2244" s="33"/>
      <c r="T2244" s="33"/>
      <c r="U2244" s="33"/>
      <c r="V2244" s="33"/>
      <c r="W2244" s="33"/>
      <c r="X2244" s="33"/>
      <c r="Y2244" s="33"/>
      <c r="Z2244" s="33"/>
      <c r="AA2244" s="33"/>
      <c r="AB2244" s="33"/>
    </row>
    <row r="2245" spans="1:28" x14ac:dyDescent="0.15">
      <c r="A2245" s="46" t="s">
        <v>4541</v>
      </c>
      <c r="B2245" s="52" t="s">
        <v>7361</v>
      </c>
      <c r="C2245" s="53" t="s">
        <v>4542</v>
      </c>
      <c r="D2245" s="54" t="s">
        <v>9687</v>
      </c>
      <c r="E2245" s="50">
        <f t="shared" si="76"/>
        <v>30.698630139999999</v>
      </c>
      <c r="F2245" s="51">
        <f t="shared" si="76"/>
        <v>4.5997840300000004</v>
      </c>
      <c r="H2245" s="33"/>
      <c r="I2245" s="33"/>
      <c r="J2245" s="33"/>
      <c r="K2245" s="33"/>
      <c r="L2245" s="33"/>
      <c r="M2245" s="33"/>
      <c r="N2245" s="33"/>
      <c r="O2245" s="33"/>
      <c r="P2245" s="33"/>
      <c r="Q2245" s="33"/>
      <c r="R2245" s="33"/>
      <c r="S2245" s="33"/>
      <c r="T2245" s="33"/>
      <c r="U2245" s="33"/>
      <c r="V2245" s="33"/>
      <c r="W2245" s="33"/>
      <c r="X2245" s="33"/>
      <c r="Y2245" s="33"/>
      <c r="Z2245" s="33"/>
      <c r="AA2245" s="33"/>
      <c r="AB2245" s="33"/>
    </row>
    <row r="2246" spans="1:28" x14ac:dyDescent="0.15">
      <c r="A2246" s="46" t="s">
        <v>4543</v>
      </c>
      <c r="B2246" s="52" t="s">
        <v>7361</v>
      </c>
      <c r="C2246" s="53" t="s">
        <v>4544</v>
      </c>
      <c r="D2246" s="54" t="s">
        <v>9688</v>
      </c>
      <c r="E2246" s="50">
        <f t="shared" si="76"/>
        <v>30.712328769999999</v>
      </c>
      <c r="F2246" s="51">
        <f t="shared" si="76"/>
        <v>4.6000017499999997</v>
      </c>
      <c r="H2246" s="33"/>
      <c r="I2246" s="33"/>
      <c r="J2246" s="33"/>
      <c r="K2246" s="33"/>
      <c r="L2246" s="33"/>
      <c r="M2246" s="33"/>
      <c r="N2246" s="33"/>
      <c r="O2246" s="33"/>
      <c r="P2246" s="33"/>
      <c r="Q2246" s="33"/>
      <c r="R2246" s="33"/>
      <c r="S2246" s="33"/>
      <c r="T2246" s="33"/>
      <c r="U2246" s="33"/>
      <c r="V2246" s="33"/>
      <c r="W2246" s="33"/>
      <c r="X2246" s="33"/>
      <c r="Y2246" s="33"/>
      <c r="Z2246" s="33"/>
      <c r="AA2246" s="33"/>
      <c r="AB2246" s="33"/>
    </row>
    <row r="2247" spans="1:28" x14ac:dyDescent="0.15">
      <c r="A2247" s="46" t="s">
        <v>4545</v>
      </c>
      <c r="B2247" s="52" t="s">
        <v>7361</v>
      </c>
      <c r="C2247" s="53" t="s">
        <v>4546</v>
      </c>
      <c r="D2247" s="54" t="s">
        <v>9689</v>
      </c>
      <c r="E2247" s="50">
        <f t="shared" si="76"/>
        <v>30.7260274</v>
      </c>
      <c r="F2247" s="51">
        <f t="shared" si="76"/>
        <v>4.6002180299999997</v>
      </c>
      <c r="H2247" s="33"/>
      <c r="I2247" s="33"/>
      <c r="J2247" s="33"/>
      <c r="K2247" s="33"/>
      <c r="L2247" s="33"/>
      <c r="M2247" s="33"/>
      <c r="N2247" s="33"/>
      <c r="O2247" s="33"/>
      <c r="P2247" s="33"/>
      <c r="Q2247" s="33"/>
      <c r="R2247" s="33"/>
      <c r="S2247" s="33"/>
      <c r="T2247" s="33"/>
      <c r="U2247" s="33"/>
      <c r="V2247" s="33"/>
      <c r="W2247" s="33"/>
      <c r="X2247" s="33"/>
      <c r="Y2247" s="33"/>
      <c r="Z2247" s="33"/>
      <c r="AA2247" s="33"/>
      <c r="AB2247" s="33"/>
    </row>
    <row r="2248" spans="1:28" x14ac:dyDescent="0.15">
      <c r="A2248" s="46" t="s">
        <v>4547</v>
      </c>
      <c r="B2248" s="52" t="s">
        <v>7361</v>
      </c>
      <c r="C2248" s="53" t="s">
        <v>4548</v>
      </c>
      <c r="D2248" s="54" t="s">
        <v>9690</v>
      </c>
      <c r="E2248" s="50">
        <f t="shared" si="76"/>
        <v>30.73972603</v>
      </c>
      <c r="F2248" s="51">
        <f t="shared" si="76"/>
        <v>4.6004330299999996</v>
      </c>
      <c r="H2248" s="33"/>
      <c r="I2248" s="33"/>
      <c r="J2248" s="33"/>
      <c r="K2248" s="33"/>
      <c r="L2248" s="33"/>
      <c r="M2248" s="33"/>
      <c r="N2248" s="33"/>
      <c r="O2248" s="33"/>
      <c r="P2248" s="33"/>
      <c r="Q2248" s="33"/>
      <c r="R2248" s="33"/>
      <c r="S2248" s="33"/>
      <c r="T2248" s="33"/>
      <c r="U2248" s="33"/>
      <c r="V2248" s="33"/>
      <c r="W2248" s="33"/>
      <c r="X2248" s="33"/>
      <c r="Y2248" s="33"/>
      <c r="Z2248" s="33"/>
      <c r="AA2248" s="33"/>
      <c r="AB2248" s="33"/>
    </row>
    <row r="2249" spans="1:28" x14ac:dyDescent="0.15">
      <c r="A2249" s="46" t="s">
        <v>4549</v>
      </c>
      <c r="B2249" s="52" t="s">
        <v>7361</v>
      </c>
      <c r="C2249" s="53" t="s">
        <v>4550</v>
      </c>
      <c r="D2249" s="54" t="s">
        <v>9691</v>
      </c>
      <c r="E2249" s="50">
        <f t="shared" si="76"/>
        <v>30.75342466</v>
      </c>
      <c r="F2249" s="51">
        <f t="shared" si="76"/>
        <v>4.60064691</v>
      </c>
      <c r="H2249" s="33"/>
      <c r="I2249" s="33"/>
      <c r="J2249" s="33"/>
      <c r="K2249" s="33"/>
      <c r="L2249" s="33"/>
      <c r="M2249" s="33"/>
      <c r="N2249" s="33"/>
      <c r="O2249" s="33"/>
      <c r="P2249" s="33"/>
      <c r="Q2249" s="33"/>
      <c r="R2249" s="33"/>
      <c r="S2249" s="33"/>
      <c r="T2249" s="33"/>
      <c r="U2249" s="33"/>
      <c r="V2249" s="33"/>
      <c r="W2249" s="33"/>
      <c r="X2249" s="33"/>
      <c r="Y2249" s="33"/>
      <c r="Z2249" s="33"/>
      <c r="AA2249" s="33"/>
      <c r="AB2249" s="33"/>
    </row>
    <row r="2250" spans="1:28" x14ac:dyDescent="0.15">
      <c r="A2250" s="46" t="s">
        <v>4551</v>
      </c>
      <c r="B2250" s="52" t="s">
        <v>7361</v>
      </c>
      <c r="C2250" s="53" t="s">
        <v>4552</v>
      </c>
      <c r="D2250" s="54" t="s">
        <v>9692</v>
      </c>
      <c r="E2250" s="50">
        <f t="shared" si="76"/>
        <v>30.767123290000001</v>
      </c>
      <c r="F2250" s="51">
        <f t="shared" si="76"/>
        <v>4.60085984</v>
      </c>
      <c r="H2250" s="33"/>
      <c r="I2250" s="33"/>
      <c r="J2250" s="33"/>
      <c r="K2250" s="33"/>
      <c r="L2250" s="33"/>
      <c r="M2250" s="33"/>
      <c r="N2250" s="33"/>
      <c r="O2250" s="33"/>
      <c r="P2250" s="33"/>
      <c r="Q2250" s="33"/>
      <c r="R2250" s="33"/>
      <c r="S2250" s="33"/>
      <c r="T2250" s="33"/>
      <c r="U2250" s="33"/>
      <c r="V2250" s="33"/>
      <c r="W2250" s="33"/>
      <c r="X2250" s="33"/>
      <c r="Y2250" s="33"/>
      <c r="Z2250" s="33"/>
      <c r="AA2250" s="33"/>
      <c r="AB2250" s="33"/>
    </row>
    <row r="2251" spans="1:28" x14ac:dyDescent="0.15">
      <c r="A2251" s="46" t="s">
        <v>4553</v>
      </c>
      <c r="B2251" s="52" t="s">
        <v>7361</v>
      </c>
      <c r="C2251" s="53" t="s">
        <v>4554</v>
      </c>
      <c r="D2251" s="54" t="s">
        <v>9693</v>
      </c>
      <c r="E2251" s="50">
        <f t="shared" si="76"/>
        <v>30.780821920000001</v>
      </c>
      <c r="F2251" s="51">
        <f t="shared" si="76"/>
        <v>4.6010719800000004</v>
      </c>
      <c r="H2251" s="33"/>
      <c r="I2251" s="33"/>
      <c r="J2251" s="33"/>
      <c r="K2251" s="33"/>
      <c r="L2251" s="33"/>
      <c r="M2251" s="33"/>
      <c r="N2251" s="33"/>
      <c r="O2251" s="33"/>
      <c r="P2251" s="33"/>
      <c r="Q2251" s="33"/>
      <c r="R2251" s="33"/>
      <c r="S2251" s="33"/>
      <c r="T2251" s="33"/>
      <c r="U2251" s="33"/>
      <c r="V2251" s="33"/>
      <c r="W2251" s="33"/>
      <c r="X2251" s="33"/>
      <c r="Y2251" s="33"/>
      <c r="Z2251" s="33"/>
      <c r="AA2251" s="33"/>
      <c r="AB2251" s="33"/>
    </row>
    <row r="2252" spans="1:28" x14ac:dyDescent="0.15">
      <c r="A2252" s="46" t="s">
        <v>4555</v>
      </c>
      <c r="B2252" s="52" t="s">
        <v>7361</v>
      </c>
      <c r="C2252" s="53" t="s">
        <v>4556</v>
      </c>
      <c r="D2252" s="54" t="s">
        <v>9694</v>
      </c>
      <c r="E2252" s="50">
        <f t="shared" si="76"/>
        <v>30.794520550000001</v>
      </c>
      <c r="F2252" s="51">
        <f t="shared" si="76"/>
        <v>4.6012835000000001</v>
      </c>
      <c r="H2252" s="33"/>
      <c r="I2252" s="33"/>
      <c r="J2252" s="33"/>
      <c r="K2252" s="33"/>
      <c r="L2252" s="33"/>
      <c r="M2252" s="33"/>
      <c r="N2252" s="33"/>
      <c r="O2252" s="33"/>
      <c r="P2252" s="33"/>
      <c r="Q2252" s="33"/>
      <c r="R2252" s="33"/>
      <c r="S2252" s="33"/>
      <c r="T2252" s="33"/>
      <c r="U2252" s="33"/>
      <c r="V2252" s="33"/>
      <c r="W2252" s="33"/>
      <c r="X2252" s="33"/>
      <c r="Y2252" s="33"/>
      <c r="Z2252" s="33"/>
      <c r="AA2252" s="33"/>
      <c r="AB2252" s="33"/>
    </row>
    <row r="2253" spans="1:28" x14ac:dyDescent="0.15">
      <c r="A2253" s="46" t="s">
        <v>4557</v>
      </c>
      <c r="B2253" s="52" t="s">
        <v>7361</v>
      </c>
      <c r="C2253" s="53" t="s">
        <v>4558</v>
      </c>
      <c r="D2253" s="54" t="s">
        <v>9695</v>
      </c>
      <c r="E2253" s="50">
        <f t="shared" si="76"/>
        <v>30.808219179999998</v>
      </c>
      <c r="F2253" s="51">
        <f t="shared" si="76"/>
        <v>4.60149455</v>
      </c>
      <c r="H2253" s="33"/>
      <c r="I2253" s="33"/>
      <c r="J2253" s="33"/>
      <c r="K2253" s="33"/>
      <c r="L2253" s="33"/>
      <c r="M2253" s="33"/>
      <c r="N2253" s="33"/>
      <c r="O2253" s="33"/>
      <c r="P2253" s="33"/>
      <c r="Q2253" s="33"/>
      <c r="R2253" s="33"/>
      <c r="S2253" s="33"/>
      <c r="T2253" s="33"/>
      <c r="U2253" s="33"/>
      <c r="V2253" s="33"/>
      <c r="W2253" s="33"/>
      <c r="X2253" s="33"/>
      <c r="Y2253" s="33"/>
      <c r="Z2253" s="33"/>
      <c r="AA2253" s="33"/>
      <c r="AB2253" s="33"/>
    </row>
    <row r="2254" spans="1:28" x14ac:dyDescent="0.15">
      <c r="A2254" s="46" t="s">
        <v>4559</v>
      </c>
      <c r="B2254" s="52" t="s">
        <v>7361</v>
      </c>
      <c r="C2254" s="53" t="s">
        <v>4560</v>
      </c>
      <c r="D2254" s="54" t="s">
        <v>9696</v>
      </c>
      <c r="E2254" s="50">
        <f t="shared" si="76"/>
        <v>30.821917809999999</v>
      </c>
      <c r="F2254" s="51">
        <f t="shared" si="76"/>
        <v>4.6017052999999999</v>
      </c>
      <c r="H2254" s="33"/>
      <c r="I2254" s="33"/>
      <c r="J2254" s="33"/>
      <c r="K2254" s="33"/>
      <c r="L2254" s="33"/>
      <c r="M2254" s="33"/>
      <c r="N2254" s="33"/>
      <c r="O2254" s="33"/>
      <c r="P2254" s="33"/>
      <c r="Q2254" s="33"/>
      <c r="R2254" s="33"/>
      <c r="S2254" s="33"/>
      <c r="T2254" s="33"/>
      <c r="U2254" s="33"/>
      <c r="V2254" s="33"/>
      <c r="W2254" s="33"/>
      <c r="X2254" s="33"/>
      <c r="Y2254" s="33"/>
      <c r="Z2254" s="33"/>
      <c r="AA2254" s="33"/>
      <c r="AB2254" s="33"/>
    </row>
    <row r="2255" spans="1:28" x14ac:dyDescent="0.15">
      <c r="A2255" s="46" t="s">
        <v>4561</v>
      </c>
      <c r="B2255" s="52" t="s">
        <v>7361</v>
      </c>
      <c r="C2255" s="53" t="s">
        <v>4562</v>
      </c>
      <c r="D2255" s="54" t="s">
        <v>9697</v>
      </c>
      <c r="E2255" s="50">
        <f t="shared" si="76"/>
        <v>30.835616439999999</v>
      </c>
      <c r="F2255" s="51">
        <f t="shared" si="76"/>
        <v>4.6019159099999998</v>
      </c>
      <c r="H2255" s="33"/>
      <c r="I2255" s="33"/>
      <c r="J2255" s="33"/>
      <c r="K2255" s="33"/>
      <c r="L2255" s="33"/>
      <c r="M2255" s="33"/>
      <c r="N2255" s="33"/>
      <c r="O2255" s="33"/>
      <c r="P2255" s="33"/>
      <c r="Q2255" s="33"/>
      <c r="R2255" s="33"/>
      <c r="S2255" s="33"/>
      <c r="T2255" s="33"/>
      <c r="U2255" s="33"/>
      <c r="V2255" s="33"/>
      <c r="W2255" s="33"/>
      <c r="X2255" s="33"/>
      <c r="Y2255" s="33"/>
      <c r="Z2255" s="33"/>
      <c r="AA2255" s="33"/>
      <c r="AB2255" s="33"/>
    </row>
    <row r="2256" spans="1:28" x14ac:dyDescent="0.15">
      <c r="A2256" s="46" t="s">
        <v>4563</v>
      </c>
      <c r="B2256" s="52" t="s">
        <v>7361</v>
      </c>
      <c r="C2256" s="53" t="s">
        <v>4564</v>
      </c>
      <c r="D2256" s="54" t="s">
        <v>9698</v>
      </c>
      <c r="E2256" s="50">
        <f t="shared" ref="E2256:F2286" si="77">VALUE(C2256)</f>
        <v>30.849315069999999</v>
      </c>
      <c r="F2256" s="51">
        <f t="shared" si="77"/>
        <v>4.6021265500000004</v>
      </c>
      <c r="H2256" s="33"/>
      <c r="I2256" s="33"/>
      <c r="J2256" s="33"/>
      <c r="K2256" s="33"/>
      <c r="L2256" s="33"/>
      <c r="M2256" s="33"/>
      <c r="N2256" s="33"/>
      <c r="O2256" s="33"/>
      <c r="P2256" s="33"/>
      <c r="Q2256" s="33"/>
      <c r="R2256" s="33"/>
      <c r="S2256" s="33"/>
      <c r="T2256" s="33"/>
      <c r="U2256" s="33"/>
      <c r="V2256" s="33"/>
      <c r="W2256" s="33"/>
      <c r="X2256" s="33"/>
      <c r="Y2256" s="33"/>
      <c r="Z2256" s="33"/>
      <c r="AA2256" s="33"/>
      <c r="AB2256" s="33"/>
    </row>
    <row r="2257" spans="1:28" x14ac:dyDescent="0.15">
      <c r="A2257" s="46" t="s">
        <v>4565</v>
      </c>
      <c r="B2257" s="52" t="s">
        <v>7361</v>
      </c>
      <c r="C2257" s="53" t="s">
        <v>4566</v>
      </c>
      <c r="D2257" s="54" t="s">
        <v>9699</v>
      </c>
      <c r="E2257" s="50">
        <f t="shared" si="77"/>
        <v>30.8630137</v>
      </c>
      <c r="F2257" s="51">
        <f t="shared" si="77"/>
        <v>4.6023373799999998</v>
      </c>
      <c r="H2257" s="33"/>
      <c r="I2257" s="33"/>
      <c r="J2257" s="33"/>
      <c r="K2257" s="33"/>
      <c r="L2257" s="33"/>
      <c r="M2257" s="33"/>
      <c r="N2257" s="33"/>
      <c r="O2257" s="33"/>
      <c r="P2257" s="33"/>
      <c r="Q2257" s="33"/>
      <c r="R2257" s="33"/>
      <c r="S2257" s="33"/>
      <c r="T2257" s="33"/>
      <c r="U2257" s="33"/>
      <c r="V2257" s="33"/>
      <c r="W2257" s="33"/>
      <c r="X2257" s="33"/>
      <c r="Y2257" s="33"/>
      <c r="Z2257" s="33"/>
      <c r="AA2257" s="33"/>
      <c r="AB2257" s="33"/>
    </row>
    <row r="2258" spans="1:28" x14ac:dyDescent="0.15">
      <c r="A2258" s="46" t="s">
        <v>4567</v>
      </c>
      <c r="B2258" s="52" t="s">
        <v>7361</v>
      </c>
      <c r="C2258" s="53" t="s">
        <v>4568</v>
      </c>
      <c r="D2258" s="54" t="s">
        <v>9700</v>
      </c>
      <c r="E2258" s="50">
        <f t="shared" si="77"/>
        <v>30.87671233</v>
      </c>
      <c r="F2258" s="51">
        <f t="shared" si="77"/>
        <v>4.6025485699999997</v>
      </c>
      <c r="H2258" s="33"/>
      <c r="I2258" s="33"/>
      <c r="J2258" s="33"/>
      <c r="K2258" s="33"/>
      <c r="L2258" s="33"/>
      <c r="M2258" s="33"/>
      <c r="N2258" s="33"/>
      <c r="O2258" s="33"/>
      <c r="P2258" s="33"/>
      <c r="Q2258" s="33"/>
      <c r="R2258" s="33"/>
      <c r="S2258" s="33"/>
      <c r="T2258" s="33"/>
      <c r="U2258" s="33"/>
      <c r="V2258" s="33"/>
      <c r="W2258" s="33"/>
      <c r="X2258" s="33"/>
      <c r="Y2258" s="33"/>
      <c r="Z2258" s="33"/>
      <c r="AA2258" s="33"/>
      <c r="AB2258" s="33"/>
    </row>
    <row r="2259" spans="1:28" x14ac:dyDescent="0.15">
      <c r="A2259" s="46" t="s">
        <v>4569</v>
      </c>
      <c r="B2259" s="52" t="s">
        <v>7361</v>
      </c>
      <c r="C2259" s="53" t="s">
        <v>4570</v>
      </c>
      <c r="D2259" s="54" t="s">
        <v>9701</v>
      </c>
      <c r="E2259" s="50">
        <f t="shared" si="77"/>
        <v>30.890410960000001</v>
      </c>
      <c r="F2259" s="51">
        <f t="shared" si="77"/>
        <v>4.6027602700000001</v>
      </c>
      <c r="H2259" s="33"/>
      <c r="I2259" s="33"/>
      <c r="J2259" s="33"/>
      <c r="K2259" s="33"/>
      <c r="L2259" s="33"/>
      <c r="M2259" s="33"/>
      <c r="N2259" s="33"/>
      <c r="O2259" s="33"/>
      <c r="P2259" s="33"/>
      <c r="Q2259" s="33"/>
      <c r="R2259" s="33"/>
      <c r="S2259" s="33"/>
      <c r="T2259" s="33"/>
      <c r="U2259" s="33"/>
      <c r="V2259" s="33"/>
      <c r="W2259" s="33"/>
      <c r="X2259" s="33"/>
      <c r="Y2259" s="33"/>
      <c r="Z2259" s="33"/>
      <c r="AA2259" s="33"/>
      <c r="AB2259" s="33"/>
    </row>
    <row r="2260" spans="1:28" x14ac:dyDescent="0.15">
      <c r="A2260" s="46" t="s">
        <v>4571</v>
      </c>
      <c r="B2260" s="52" t="s">
        <v>7361</v>
      </c>
      <c r="C2260" s="53" t="s">
        <v>4572</v>
      </c>
      <c r="D2260" s="54" t="s">
        <v>9702</v>
      </c>
      <c r="E2260" s="50">
        <f t="shared" si="77"/>
        <v>30.904109590000001</v>
      </c>
      <c r="F2260" s="51">
        <f t="shared" si="77"/>
        <v>4.6029726599999998</v>
      </c>
      <c r="H2260" s="33"/>
      <c r="I2260" s="33"/>
      <c r="J2260" s="33"/>
      <c r="K2260" s="33"/>
      <c r="L2260" s="33"/>
      <c r="M2260" s="33"/>
      <c r="N2260" s="33"/>
      <c r="O2260" s="33"/>
      <c r="P2260" s="33"/>
      <c r="Q2260" s="33"/>
      <c r="R2260" s="33"/>
      <c r="S2260" s="33"/>
      <c r="T2260" s="33"/>
      <c r="U2260" s="33"/>
      <c r="V2260" s="33"/>
      <c r="W2260" s="33"/>
      <c r="X2260" s="33"/>
      <c r="Y2260" s="33"/>
      <c r="Z2260" s="33"/>
      <c r="AA2260" s="33"/>
      <c r="AB2260" s="33"/>
    </row>
    <row r="2261" spans="1:28" x14ac:dyDescent="0.15">
      <c r="A2261" s="46" t="s">
        <v>4573</v>
      </c>
      <c r="B2261" s="52" t="s">
        <v>7361</v>
      </c>
      <c r="C2261" s="53" t="s">
        <v>4574</v>
      </c>
      <c r="D2261" s="54" t="s">
        <v>9703</v>
      </c>
      <c r="E2261" s="50">
        <f t="shared" si="77"/>
        <v>30.917808220000001</v>
      </c>
      <c r="F2261" s="51">
        <f t="shared" si="77"/>
        <v>4.6031858899999998</v>
      </c>
      <c r="H2261" s="33"/>
      <c r="I2261" s="33"/>
      <c r="J2261" s="33"/>
      <c r="K2261" s="33"/>
      <c r="L2261" s="33"/>
      <c r="M2261" s="33"/>
      <c r="N2261" s="33"/>
      <c r="O2261" s="33"/>
      <c r="P2261" s="33"/>
      <c r="Q2261" s="33"/>
      <c r="R2261" s="33"/>
      <c r="S2261" s="33"/>
      <c r="T2261" s="33"/>
      <c r="U2261" s="33"/>
      <c r="V2261" s="33"/>
      <c r="W2261" s="33"/>
      <c r="X2261" s="33"/>
      <c r="Y2261" s="33"/>
      <c r="Z2261" s="33"/>
      <c r="AA2261" s="33"/>
      <c r="AB2261" s="33"/>
    </row>
    <row r="2262" spans="1:28" x14ac:dyDescent="0.15">
      <c r="A2262" s="46" t="s">
        <v>4575</v>
      </c>
      <c r="B2262" s="52" t="s">
        <v>7361</v>
      </c>
      <c r="C2262" s="53" t="s">
        <v>4576</v>
      </c>
      <c r="D2262" s="54" t="s">
        <v>9704</v>
      </c>
      <c r="E2262" s="50">
        <f t="shared" si="77"/>
        <v>30.931506850000002</v>
      </c>
      <c r="F2262" s="51">
        <f t="shared" si="77"/>
        <v>4.6034001199999999</v>
      </c>
      <c r="H2262" s="33"/>
      <c r="I2262" s="33"/>
      <c r="J2262" s="33"/>
      <c r="K2262" s="33"/>
      <c r="L2262" s="33"/>
      <c r="M2262" s="33"/>
      <c r="N2262" s="33"/>
      <c r="O2262" s="33"/>
      <c r="P2262" s="33"/>
      <c r="Q2262" s="33"/>
      <c r="R2262" s="33"/>
      <c r="S2262" s="33"/>
      <c r="T2262" s="33"/>
      <c r="U2262" s="33"/>
      <c r="V2262" s="33"/>
      <c r="W2262" s="33"/>
      <c r="X2262" s="33"/>
      <c r="Y2262" s="33"/>
      <c r="Z2262" s="33"/>
      <c r="AA2262" s="33"/>
      <c r="AB2262" s="33"/>
    </row>
    <row r="2263" spans="1:28" x14ac:dyDescent="0.15">
      <c r="A2263" s="46" t="s">
        <v>4577</v>
      </c>
      <c r="B2263" s="52" t="s">
        <v>7361</v>
      </c>
      <c r="C2263" s="53" t="s">
        <v>4578</v>
      </c>
      <c r="D2263" s="54" t="s">
        <v>9705</v>
      </c>
      <c r="E2263" s="50">
        <f t="shared" si="77"/>
        <v>30.945205479999998</v>
      </c>
      <c r="F2263" s="51">
        <f t="shared" si="77"/>
        <v>4.6036155299999999</v>
      </c>
      <c r="H2263" s="33"/>
      <c r="I2263" s="33"/>
      <c r="J2263" s="33"/>
      <c r="K2263" s="33"/>
      <c r="L2263" s="33"/>
      <c r="M2263" s="33"/>
      <c r="N2263" s="33"/>
      <c r="O2263" s="33"/>
      <c r="P2263" s="33"/>
      <c r="Q2263" s="33"/>
      <c r="R2263" s="33"/>
      <c r="S2263" s="33"/>
      <c r="T2263" s="33"/>
      <c r="U2263" s="33"/>
      <c r="V2263" s="33"/>
      <c r="W2263" s="33"/>
      <c r="X2263" s="33"/>
      <c r="Y2263" s="33"/>
      <c r="Z2263" s="33"/>
      <c r="AA2263" s="33"/>
      <c r="AB2263" s="33"/>
    </row>
    <row r="2264" spans="1:28" x14ac:dyDescent="0.15">
      <c r="A2264" s="46" t="s">
        <v>4579</v>
      </c>
      <c r="B2264" s="52" t="s">
        <v>7361</v>
      </c>
      <c r="C2264" s="53" t="s">
        <v>4580</v>
      </c>
      <c r="D2264" s="54" t="s">
        <v>9706</v>
      </c>
      <c r="E2264" s="50">
        <f t="shared" si="77"/>
        <v>30.958904109999999</v>
      </c>
      <c r="F2264" s="51">
        <f t="shared" si="77"/>
        <v>4.6038322799999998</v>
      </c>
      <c r="H2264" s="33"/>
      <c r="I2264" s="33"/>
      <c r="J2264" s="33"/>
      <c r="K2264" s="33"/>
      <c r="L2264" s="33"/>
      <c r="M2264" s="33"/>
      <c r="N2264" s="33"/>
      <c r="O2264" s="33"/>
      <c r="P2264" s="33"/>
      <c r="Q2264" s="33"/>
      <c r="R2264" s="33"/>
      <c r="S2264" s="33"/>
      <c r="T2264" s="33"/>
      <c r="U2264" s="33"/>
      <c r="V2264" s="33"/>
      <c r="W2264" s="33"/>
      <c r="X2264" s="33"/>
      <c r="Y2264" s="33"/>
      <c r="Z2264" s="33"/>
      <c r="AA2264" s="33"/>
      <c r="AB2264" s="33"/>
    </row>
    <row r="2265" spans="1:28" x14ac:dyDescent="0.15">
      <c r="A2265" s="46" t="s">
        <v>4581</v>
      </c>
      <c r="B2265" s="52" t="s">
        <v>7361</v>
      </c>
      <c r="C2265" s="53" t="s">
        <v>4582</v>
      </c>
      <c r="D2265" s="54" t="s">
        <v>9707</v>
      </c>
      <c r="E2265" s="50">
        <f t="shared" si="77"/>
        <v>30.972602739999999</v>
      </c>
      <c r="F2265" s="51">
        <f t="shared" si="77"/>
        <v>4.6040505200000004</v>
      </c>
      <c r="H2265" s="33"/>
      <c r="I2265" s="33"/>
      <c r="J2265" s="33"/>
      <c r="K2265" s="33"/>
      <c r="L2265" s="33"/>
      <c r="M2265" s="33"/>
      <c r="N2265" s="33"/>
      <c r="O2265" s="33"/>
      <c r="P2265" s="33"/>
      <c r="Q2265" s="33"/>
      <c r="R2265" s="33"/>
      <c r="S2265" s="33"/>
      <c r="T2265" s="33"/>
      <c r="U2265" s="33"/>
      <c r="V2265" s="33"/>
      <c r="W2265" s="33"/>
      <c r="X2265" s="33"/>
      <c r="Y2265" s="33"/>
      <c r="Z2265" s="33"/>
      <c r="AA2265" s="33"/>
      <c r="AB2265" s="33"/>
    </row>
    <row r="2266" spans="1:28" x14ac:dyDescent="0.15">
      <c r="A2266" s="46" t="s">
        <v>4583</v>
      </c>
      <c r="B2266" s="52" t="s">
        <v>7361</v>
      </c>
      <c r="C2266" s="53" t="s">
        <v>4584</v>
      </c>
      <c r="D2266" s="54" t="s">
        <v>9708</v>
      </c>
      <c r="E2266" s="50">
        <f t="shared" si="77"/>
        <v>30.98630137</v>
      </c>
      <c r="F2266" s="51">
        <f t="shared" si="77"/>
        <v>4.6042704199999998</v>
      </c>
      <c r="H2266" s="33"/>
      <c r="I2266" s="33"/>
      <c r="J2266" s="33"/>
      <c r="K2266" s="33"/>
      <c r="L2266" s="33"/>
      <c r="M2266" s="33"/>
      <c r="N2266" s="33"/>
      <c r="O2266" s="33"/>
      <c r="P2266" s="33"/>
      <c r="Q2266" s="33"/>
      <c r="R2266" s="33"/>
      <c r="S2266" s="33"/>
      <c r="T2266" s="33"/>
      <c r="U2266" s="33"/>
      <c r="V2266" s="33"/>
      <c r="W2266" s="33"/>
      <c r="X2266" s="33"/>
      <c r="Y2266" s="33"/>
      <c r="Z2266" s="33"/>
      <c r="AA2266" s="33"/>
      <c r="AB2266" s="33"/>
    </row>
    <row r="2267" spans="1:28" x14ac:dyDescent="0.15">
      <c r="A2267" s="46" t="s">
        <v>4585</v>
      </c>
      <c r="B2267" s="52" t="s">
        <v>7361</v>
      </c>
      <c r="C2267" s="53" t="s">
        <v>4586</v>
      </c>
      <c r="D2267" s="54" t="s">
        <v>9709</v>
      </c>
      <c r="E2267" s="50">
        <f t="shared" si="77"/>
        <v>31</v>
      </c>
      <c r="F2267" s="51">
        <f t="shared" si="77"/>
        <v>4.6044921499999996</v>
      </c>
      <c r="H2267" s="33"/>
      <c r="I2267" s="33"/>
      <c r="J2267" s="33"/>
      <c r="K2267" s="33"/>
      <c r="L2267" s="33"/>
      <c r="M2267" s="33"/>
      <c r="N2267" s="33"/>
      <c r="O2267" s="33"/>
      <c r="P2267" s="33"/>
      <c r="Q2267" s="33"/>
      <c r="R2267" s="33"/>
      <c r="S2267" s="33"/>
      <c r="T2267" s="33"/>
      <c r="U2267" s="33"/>
      <c r="V2267" s="33"/>
      <c r="W2267" s="33"/>
      <c r="X2267" s="33"/>
      <c r="Y2267" s="33"/>
      <c r="Z2267" s="33"/>
      <c r="AA2267" s="33"/>
      <c r="AB2267" s="33"/>
    </row>
    <row r="2268" spans="1:28" x14ac:dyDescent="0.15">
      <c r="A2268" s="46" t="s">
        <v>4587</v>
      </c>
      <c r="B2268" s="52" t="s">
        <v>7361</v>
      </c>
      <c r="C2268" s="53" t="s">
        <v>4588</v>
      </c>
      <c r="D2268" s="54" t="s">
        <v>9710</v>
      </c>
      <c r="E2268" s="50">
        <f t="shared" si="77"/>
        <v>31.01369863</v>
      </c>
      <c r="F2268" s="51">
        <f t="shared" si="77"/>
        <v>4.6047130000000003</v>
      </c>
      <c r="H2268" s="33"/>
      <c r="I2268" s="33"/>
      <c r="J2268" s="33"/>
      <c r="K2268" s="33"/>
      <c r="L2268" s="33"/>
      <c r="M2268" s="33"/>
      <c r="N2268" s="33"/>
      <c r="O2268" s="33"/>
      <c r="P2268" s="33"/>
      <c r="Q2268" s="33"/>
      <c r="R2268" s="33"/>
      <c r="S2268" s="33"/>
      <c r="T2268" s="33"/>
      <c r="U2268" s="33"/>
      <c r="V2268" s="33"/>
      <c r="W2268" s="33"/>
      <c r="X2268" s="33"/>
      <c r="Y2268" s="33"/>
      <c r="Z2268" s="33"/>
      <c r="AA2268" s="33"/>
      <c r="AB2268" s="33"/>
    </row>
    <row r="2269" spans="1:28" x14ac:dyDescent="0.15">
      <c r="A2269" s="46" t="s">
        <v>4589</v>
      </c>
      <c r="B2269" s="52" t="s">
        <v>7361</v>
      </c>
      <c r="C2269" s="53" t="s">
        <v>4590</v>
      </c>
      <c r="D2269" s="54" t="s">
        <v>9711</v>
      </c>
      <c r="E2269" s="50">
        <f t="shared" si="77"/>
        <v>31.027397260000001</v>
      </c>
      <c r="F2269" s="51">
        <f t="shared" si="77"/>
        <v>4.6049302499999998</v>
      </c>
      <c r="H2269" s="33"/>
      <c r="I2269" s="33"/>
      <c r="J2269" s="33"/>
      <c r="K2269" s="33"/>
      <c r="L2269" s="33"/>
      <c r="M2269" s="33"/>
      <c r="N2269" s="33"/>
      <c r="O2269" s="33"/>
      <c r="P2269" s="33"/>
      <c r="Q2269" s="33"/>
      <c r="R2269" s="33"/>
      <c r="S2269" s="33"/>
      <c r="T2269" s="33"/>
      <c r="U2269" s="33"/>
      <c r="V2269" s="33"/>
      <c r="W2269" s="33"/>
      <c r="X2269" s="33"/>
      <c r="Y2269" s="33"/>
      <c r="Z2269" s="33"/>
      <c r="AA2269" s="33"/>
      <c r="AB2269" s="33"/>
    </row>
    <row r="2270" spans="1:28" x14ac:dyDescent="0.15">
      <c r="A2270" s="46" t="s">
        <v>4591</v>
      </c>
      <c r="B2270" s="52" t="s">
        <v>7361</v>
      </c>
      <c r="C2270" s="53" t="s">
        <v>4592</v>
      </c>
      <c r="D2270" s="54" t="s">
        <v>9712</v>
      </c>
      <c r="E2270" s="50">
        <f t="shared" si="77"/>
        <v>31.041095890000001</v>
      </c>
      <c r="F2270" s="51">
        <f t="shared" si="77"/>
        <v>4.6051440699999997</v>
      </c>
      <c r="H2270" s="33"/>
      <c r="I2270" s="33"/>
      <c r="J2270" s="33"/>
      <c r="K2270" s="33"/>
      <c r="L2270" s="33"/>
      <c r="M2270" s="33"/>
      <c r="N2270" s="33"/>
      <c r="O2270" s="33"/>
      <c r="P2270" s="33"/>
      <c r="Q2270" s="33"/>
      <c r="R2270" s="33"/>
      <c r="S2270" s="33"/>
      <c r="T2270" s="33"/>
      <c r="U2270" s="33"/>
      <c r="V2270" s="33"/>
      <c r="W2270" s="33"/>
      <c r="X2270" s="33"/>
      <c r="Y2270" s="33"/>
      <c r="Z2270" s="33"/>
      <c r="AA2270" s="33"/>
      <c r="AB2270" s="33"/>
    </row>
    <row r="2271" spans="1:28" x14ac:dyDescent="0.15">
      <c r="A2271" s="46" t="s">
        <v>4593</v>
      </c>
      <c r="B2271" s="52" t="s">
        <v>7361</v>
      </c>
      <c r="C2271" s="53" t="s">
        <v>4594</v>
      </c>
      <c r="D2271" s="54" t="s">
        <v>9713</v>
      </c>
      <c r="E2271" s="50">
        <f t="shared" si="77"/>
        <v>31.054794520000002</v>
      </c>
      <c r="F2271" s="51">
        <f t="shared" si="77"/>
        <v>4.6053546000000001</v>
      </c>
      <c r="H2271" s="33"/>
      <c r="I2271" s="33"/>
      <c r="J2271" s="33"/>
      <c r="K2271" s="33"/>
      <c r="L2271" s="33"/>
      <c r="M2271" s="33"/>
      <c r="N2271" s="33"/>
      <c r="O2271" s="33"/>
      <c r="P2271" s="33"/>
      <c r="Q2271" s="33"/>
      <c r="R2271" s="33"/>
      <c r="S2271" s="33"/>
      <c r="T2271" s="33"/>
      <c r="U2271" s="33"/>
      <c r="V2271" s="33"/>
      <c r="W2271" s="33"/>
      <c r="X2271" s="33"/>
      <c r="Y2271" s="33"/>
      <c r="Z2271" s="33"/>
      <c r="AA2271" s="33"/>
      <c r="AB2271" s="33"/>
    </row>
    <row r="2272" spans="1:28" x14ac:dyDescent="0.15">
      <c r="A2272" s="46" t="s">
        <v>4595</v>
      </c>
      <c r="B2272" s="52" t="s">
        <v>7361</v>
      </c>
      <c r="C2272" s="53" t="s">
        <v>4596</v>
      </c>
      <c r="D2272" s="54" t="s">
        <v>9714</v>
      </c>
      <c r="E2272" s="50">
        <f t="shared" si="77"/>
        <v>31.068493149999998</v>
      </c>
      <c r="F2272" s="51">
        <f t="shared" si="77"/>
        <v>4.6055620099999999</v>
      </c>
      <c r="H2272" s="33"/>
      <c r="I2272" s="33"/>
      <c r="J2272" s="33"/>
      <c r="K2272" s="33"/>
      <c r="L2272" s="33"/>
      <c r="M2272" s="33"/>
      <c r="N2272" s="33"/>
      <c r="O2272" s="33"/>
      <c r="P2272" s="33"/>
      <c r="Q2272" s="33"/>
      <c r="R2272" s="33"/>
      <c r="S2272" s="33"/>
      <c r="T2272" s="33"/>
      <c r="U2272" s="33"/>
      <c r="V2272" s="33"/>
      <c r="W2272" s="33"/>
      <c r="X2272" s="33"/>
      <c r="Y2272" s="33"/>
      <c r="Z2272" s="33"/>
      <c r="AA2272" s="33"/>
      <c r="AB2272" s="33"/>
    </row>
    <row r="2273" spans="1:28" x14ac:dyDescent="0.15">
      <c r="A2273" s="46" t="s">
        <v>4597</v>
      </c>
      <c r="B2273" s="52" t="s">
        <v>7361</v>
      </c>
      <c r="C2273" s="53" t="s">
        <v>4598</v>
      </c>
      <c r="D2273" s="54" t="s">
        <v>9715</v>
      </c>
      <c r="E2273" s="50">
        <f t="shared" si="77"/>
        <v>31.082191779999999</v>
      </c>
      <c r="F2273" s="51">
        <f t="shared" si="77"/>
        <v>4.6057664300000001</v>
      </c>
      <c r="H2273" s="33"/>
      <c r="I2273" s="33"/>
      <c r="J2273" s="33"/>
      <c r="K2273" s="33"/>
      <c r="L2273" s="33"/>
      <c r="M2273" s="33"/>
      <c r="N2273" s="33"/>
      <c r="O2273" s="33"/>
      <c r="P2273" s="33"/>
      <c r="Q2273" s="33"/>
      <c r="R2273" s="33"/>
      <c r="S2273" s="33"/>
      <c r="T2273" s="33"/>
      <c r="U2273" s="33"/>
      <c r="V2273" s="33"/>
      <c r="W2273" s="33"/>
      <c r="X2273" s="33"/>
      <c r="Y2273" s="33"/>
      <c r="Z2273" s="33"/>
      <c r="AA2273" s="33"/>
      <c r="AB2273" s="33"/>
    </row>
    <row r="2274" spans="1:28" x14ac:dyDescent="0.15">
      <c r="A2274" s="46" t="s">
        <v>4599</v>
      </c>
      <c r="B2274" s="52" t="s">
        <v>7361</v>
      </c>
      <c r="C2274" s="53" t="s">
        <v>4600</v>
      </c>
      <c r="D2274" s="54" t="s">
        <v>9716</v>
      </c>
      <c r="E2274" s="50">
        <f t="shared" si="77"/>
        <v>31.095890409999999</v>
      </c>
      <c r="F2274" s="51">
        <f t="shared" si="77"/>
        <v>4.6059680299999997</v>
      </c>
      <c r="H2274" s="33"/>
      <c r="I2274" s="33"/>
      <c r="J2274" s="33"/>
      <c r="K2274" s="33"/>
      <c r="L2274" s="33"/>
      <c r="M2274" s="33"/>
      <c r="N2274" s="33"/>
      <c r="O2274" s="33"/>
      <c r="P2274" s="33"/>
      <c r="Q2274" s="33"/>
      <c r="R2274" s="33"/>
      <c r="S2274" s="33"/>
      <c r="T2274" s="33"/>
      <c r="U2274" s="33"/>
      <c r="V2274" s="33"/>
      <c r="W2274" s="33"/>
      <c r="X2274" s="33"/>
      <c r="Y2274" s="33"/>
      <c r="Z2274" s="33"/>
      <c r="AA2274" s="33"/>
      <c r="AB2274" s="33"/>
    </row>
    <row r="2275" spans="1:28" x14ac:dyDescent="0.15">
      <c r="A2275" s="46" t="s">
        <v>4601</v>
      </c>
      <c r="B2275" s="52" t="s">
        <v>7361</v>
      </c>
      <c r="C2275" s="53" t="s">
        <v>4602</v>
      </c>
      <c r="D2275" s="54" t="s">
        <v>9717</v>
      </c>
      <c r="E2275" s="50">
        <f t="shared" si="77"/>
        <v>31.109589039999999</v>
      </c>
      <c r="F2275" s="51">
        <f t="shared" si="77"/>
        <v>4.6061669700000003</v>
      </c>
      <c r="H2275" s="33"/>
      <c r="I2275" s="33"/>
      <c r="J2275" s="33"/>
      <c r="K2275" s="33"/>
      <c r="L2275" s="33"/>
      <c r="M2275" s="33"/>
      <c r="N2275" s="33"/>
      <c r="O2275" s="33"/>
      <c r="P2275" s="33"/>
      <c r="Q2275" s="33"/>
      <c r="R2275" s="33"/>
      <c r="S2275" s="33"/>
      <c r="T2275" s="33"/>
      <c r="U2275" s="33"/>
      <c r="V2275" s="33"/>
      <c r="W2275" s="33"/>
      <c r="X2275" s="33"/>
      <c r="Y2275" s="33"/>
      <c r="Z2275" s="33"/>
      <c r="AA2275" s="33"/>
      <c r="AB2275" s="33"/>
    </row>
    <row r="2276" spans="1:28" x14ac:dyDescent="0.15">
      <c r="A2276" s="46" t="s">
        <v>4603</v>
      </c>
      <c r="B2276" s="52" t="s">
        <v>7361</v>
      </c>
      <c r="C2276" s="53" t="s">
        <v>4604</v>
      </c>
      <c r="D2276" s="54" t="s">
        <v>9718</v>
      </c>
      <c r="E2276" s="50">
        <f t="shared" si="77"/>
        <v>31.12328767</v>
      </c>
      <c r="F2276" s="51">
        <f t="shared" si="77"/>
        <v>4.6063633900000003</v>
      </c>
      <c r="H2276" s="33"/>
      <c r="I2276" s="33"/>
      <c r="J2276" s="33"/>
      <c r="K2276" s="33"/>
      <c r="L2276" s="33"/>
      <c r="M2276" s="33"/>
      <c r="N2276" s="33"/>
      <c r="O2276" s="33"/>
      <c r="P2276" s="33"/>
      <c r="Q2276" s="33"/>
      <c r="R2276" s="33"/>
      <c r="S2276" s="33"/>
      <c r="T2276" s="33"/>
      <c r="U2276" s="33"/>
      <c r="V2276" s="33"/>
      <c r="W2276" s="33"/>
      <c r="X2276" s="33"/>
      <c r="Y2276" s="33"/>
      <c r="Z2276" s="33"/>
      <c r="AA2276" s="33"/>
      <c r="AB2276" s="33"/>
    </row>
    <row r="2277" spans="1:28" x14ac:dyDescent="0.15">
      <c r="A2277" s="46" t="s">
        <v>4605</v>
      </c>
      <c r="B2277" s="52" t="s">
        <v>7361</v>
      </c>
      <c r="C2277" s="53" t="s">
        <v>4606</v>
      </c>
      <c r="D2277" s="54" t="s">
        <v>9719</v>
      </c>
      <c r="E2277" s="50">
        <f t="shared" si="77"/>
        <v>31.1369863</v>
      </c>
      <c r="F2277" s="51">
        <f t="shared" si="77"/>
        <v>4.6065574500000004</v>
      </c>
      <c r="H2277" s="33"/>
      <c r="I2277" s="33"/>
      <c r="J2277" s="33"/>
      <c r="K2277" s="33"/>
      <c r="L2277" s="33"/>
      <c r="M2277" s="33"/>
      <c r="N2277" s="33"/>
      <c r="O2277" s="33"/>
      <c r="P2277" s="33"/>
      <c r="Q2277" s="33"/>
      <c r="R2277" s="33"/>
      <c r="S2277" s="33"/>
      <c r="T2277" s="33"/>
      <c r="U2277" s="33"/>
      <c r="V2277" s="33"/>
      <c r="W2277" s="33"/>
      <c r="X2277" s="33"/>
      <c r="Y2277" s="33"/>
      <c r="Z2277" s="33"/>
      <c r="AA2277" s="33"/>
      <c r="AB2277" s="33"/>
    </row>
    <row r="2278" spans="1:28" x14ac:dyDescent="0.15">
      <c r="A2278" s="46" t="s">
        <v>4607</v>
      </c>
      <c r="B2278" s="52" t="s">
        <v>7361</v>
      </c>
      <c r="C2278" s="53" t="s">
        <v>4608</v>
      </c>
      <c r="D2278" s="54" t="s">
        <v>9720</v>
      </c>
      <c r="E2278" s="50">
        <f t="shared" si="77"/>
        <v>31.150684930000001</v>
      </c>
      <c r="F2278" s="51">
        <f t="shared" si="77"/>
        <v>4.6067492999999997</v>
      </c>
      <c r="H2278" s="33"/>
      <c r="I2278" s="33"/>
      <c r="J2278" s="33"/>
      <c r="K2278" s="33"/>
      <c r="L2278" s="33"/>
      <c r="M2278" s="33"/>
      <c r="N2278" s="33"/>
      <c r="O2278" s="33"/>
      <c r="P2278" s="33"/>
      <c r="Q2278" s="33"/>
      <c r="R2278" s="33"/>
      <c r="S2278" s="33"/>
      <c r="T2278" s="33"/>
      <c r="U2278" s="33"/>
      <c r="V2278" s="33"/>
      <c r="W2278" s="33"/>
      <c r="X2278" s="33"/>
      <c r="Y2278" s="33"/>
      <c r="Z2278" s="33"/>
      <c r="AA2278" s="33"/>
      <c r="AB2278" s="33"/>
    </row>
    <row r="2279" spans="1:28" x14ac:dyDescent="0.15">
      <c r="A2279" s="46" t="s">
        <v>4609</v>
      </c>
      <c r="B2279" s="52" t="s">
        <v>7361</v>
      </c>
      <c r="C2279" s="53" t="s">
        <v>4610</v>
      </c>
      <c r="D2279" s="54" t="s">
        <v>9721</v>
      </c>
      <c r="E2279" s="50">
        <f t="shared" si="77"/>
        <v>31.164383560000001</v>
      </c>
      <c r="F2279" s="51">
        <f t="shared" si="77"/>
        <v>4.6069391</v>
      </c>
      <c r="H2279" s="33"/>
      <c r="I2279" s="33"/>
      <c r="J2279" s="33"/>
      <c r="K2279" s="33"/>
      <c r="L2279" s="33"/>
      <c r="M2279" s="33"/>
      <c r="N2279" s="33"/>
      <c r="O2279" s="33"/>
      <c r="P2279" s="33"/>
      <c r="Q2279" s="33"/>
      <c r="R2279" s="33"/>
      <c r="S2279" s="33"/>
      <c r="T2279" s="33"/>
      <c r="U2279" s="33"/>
      <c r="V2279" s="33"/>
      <c r="W2279" s="33"/>
      <c r="X2279" s="33"/>
      <c r="Y2279" s="33"/>
      <c r="Z2279" s="33"/>
      <c r="AA2279" s="33"/>
      <c r="AB2279" s="33"/>
    </row>
    <row r="2280" spans="1:28" x14ac:dyDescent="0.15">
      <c r="A2280" s="46" t="s">
        <v>4611</v>
      </c>
      <c r="B2280" s="52" t="s">
        <v>7361</v>
      </c>
      <c r="C2280" s="53" t="s">
        <v>4612</v>
      </c>
      <c r="D2280" s="54" t="s">
        <v>9722</v>
      </c>
      <c r="E2280" s="50">
        <f t="shared" si="77"/>
        <v>31.178082190000001</v>
      </c>
      <c r="F2280" s="51">
        <f t="shared" si="77"/>
        <v>4.6071270000000002</v>
      </c>
      <c r="H2280" s="33"/>
      <c r="I2280" s="33"/>
      <c r="J2280" s="33"/>
      <c r="K2280" s="33"/>
      <c r="L2280" s="33"/>
      <c r="M2280" s="33"/>
      <c r="N2280" s="33"/>
      <c r="O2280" s="33"/>
      <c r="P2280" s="33"/>
      <c r="Q2280" s="33"/>
      <c r="R2280" s="33"/>
      <c r="S2280" s="33"/>
      <c r="T2280" s="33"/>
      <c r="U2280" s="33"/>
      <c r="V2280" s="33"/>
      <c r="W2280" s="33"/>
      <c r="X2280" s="33"/>
      <c r="Y2280" s="33"/>
      <c r="Z2280" s="33"/>
      <c r="AA2280" s="33"/>
      <c r="AB2280" s="33"/>
    </row>
    <row r="2281" spans="1:28" x14ac:dyDescent="0.15">
      <c r="A2281" s="46" t="s">
        <v>4613</v>
      </c>
      <c r="B2281" s="52" t="s">
        <v>7361</v>
      </c>
      <c r="C2281" s="53" t="s">
        <v>4614</v>
      </c>
      <c r="D2281" s="54" t="s">
        <v>9723</v>
      </c>
      <c r="E2281" s="50">
        <f t="shared" si="77"/>
        <v>31.191780820000002</v>
      </c>
      <c r="F2281" s="51">
        <f t="shared" si="77"/>
        <v>4.6073131500000004</v>
      </c>
      <c r="H2281" s="33"/>
      <c r="I2281" s="33"/>
      <c r="J2281" s="33"/>
      <c r="K2281" s="33"/>
      <c r="L2281" s="33"/>
      <c r="M2281" s="33"/>
      <c r="N2281" s="33"/>
      <c r="O2281" s="33"/>
      <c r="P2281" s="33"/>
      <c r="Q2281" s="33"/>
      <c r="R2281" s="33"/>
      <c r="S2281" s="33"/>
      <c r="T2281" s="33"/>
      <c r="U2281" s="33"/>
      <c r="V2281" s="33"/>
      <c r="W2281" s="33"/>
      <c r="X2281" s="33"/>
      <c r="Y2281" s="33"/>
      <c r="Z2281" s="33"/>
      <c r="AA2281" s="33"/>
      <c r="AB2281" s="33"/>
    </row>
    <row r="2282" spans="1:28" x14ac:dyDescent="0.15">
      <c r="A2282" s="46" t="s">
        <v>4615</v>
      </c>
      <c r="B2282" s="52" t="s">
        <v>7361</v>
      </c>
      <c r="C2282" s="53" t="s">
        <v>4616</v>
      </c>
      <c r="D2282" s="54" t="s">
        <v>9724</v>
      </c>
      <c r="E2282" s="50">
        <f t="shared" si="77"/>
        <v>31.205479449999999</v>
      </c>
      <c r="F2282" s="51">
        <f t="shared" si="77"/>
        <v>4.6074977199999996</v>
      </c>
      <c r="H2282" s="33"/>
      <c r="I2282" s="33"/>
      <c r="J2282" s="33"/>
      <c r="K2282" s="33"/>
      <c r="L2282" s="33"/>
      <c r="M2282" s="33"/>
      <c r="N2282" s="33"/>
      <c r="O2282" s="33"/>
      <c r="P2282" s="33"/>
      <c r="Q2282" s="33"/>
      <c r="R2282" s="33"/>
      <c r="S2282" s="33"/>
      <c r="T2282" s="33"/>
      <c r="U2282" s="33"/>
      <c r="V2282" s="33"/>
      <c r="W2282" s="33"/>
      <c r="X2282" s="33"/>
      <c r="Y2282" s="33"/>
      <c r="Z2282" s="33"/>
      <c r="AA2282" s="33"/>
      <c r="AB2282" s="33"/>
    </row>
    <row r="2283" spans="1:28" x14ac:dyDescent="0.15">
      <c r="A2283" s="46" t="s">
        <v>4617</v>
      </c>
      <c r="B2283" s="52" t="s">
        <v>7361</v>
      </c>
      <c r="C2283" s="53" t="s">
        <v>4618</v>
      </c>
      <c r="D2283" s="54" t="s">
        <v>9725</v>
      </c>
      <c r="E2283" s="50">
        <f t="shared" si="77"/>
        <v>31.219178079999999</v>
      </c>
      <c r="F2283" s="51">
        <f t="shared" si="77"/>
        <v>4.6076808400000004</v>
      </c>
      <c r="H2283" s="33"/>
      <c r="I2283" s="33"/>
      <c r="J2283" s="33"/>
      <c r="K2283" s="33"/>
      <c r="L2283" s="33"/>
      <c r="M2283" s="33"/>
      <c r="N2283" s="33"/>
      <c r="O2283" s="33"/>
      <c r="P2283" s="33"/>
      <c r="Q2283" s="33"/>
      <c r="R2283" s="33"/>
      <c r="S2283" s="33"/>
      <c r="T2283" s="33"/>
      <c r="U2283" s="33"/>
      <c r="V2283" s="33"/>
      <c r="W2283" s="33"/>
      <c r="X2283" s="33"/>
      <c r="Y2283" s="33"/>
      <c r="Z2283" s="33"/>
      <c r="AA2283" s="33"/>
      <c r="AB2283" s="33"/>
    </row>
    <row r="2284" spans="1:28" x14ac:dyDescent="0.15">
      <c r="A2284" s="46" t="s">
        <v>4619</v>
      </c>
      <c r="B2284" s="52" t="s">
        <v>7361</v>
      </c>
      <c r="C2284" s="53" t="s">
        <v>4620</v>
      </c>
      <c r="D2284" s="54" t="s">
        <v>9726</v>
      </c>
      <c r="E2284" s="50">
        <f t="shared" si="77"/>
        <v>31.232876709999999</v>
      </c>
      <c r="F2284" s="51">
        <f t="shared" si="77"/>
        <v>4.6078626900000001</v>
      </c>
      <c r="H2284" s="33"/>
      <c r="I2284" s="33"/>
      <c r="J2284" s="33"/>
      <c r="K2284" s="33"/>
      <c r="L2284" s="33"/>
      <c r="M2284" s="33"/>
      <c r="N2284" s="33"/>
      <c r="O2284" s="33"/>
      <c r="P2284" s="33"/>
      <c r="Q2284" s="33"/>
      <c r="R2284" s="33"/>
      <c r="S2284" s="33"/>
      <c r="T2284" s="33"/>
      <c r="U2284" s="33"/>
      <c r="V2284" s="33"/>
      <c r="W2284" s="33"/>
      <c r="X2284" s="33"/>
      <c r="Y2284" s="33"/>
      <c r="Z2284" s="33"/>
      <c r="AA2284" s="33"/>
      <c r="AB2284" s="33"/>
    </row>
    <row r="2285" spans="1:28" x14ac:dyDescent="0.15">
      <c r="A2285" s="46" t="s">
        <v>4621</v>
      </c>
      <c r="B2285" s="52" t="s">
        <v>7361</v>
      </c>
      <c r="C2285" s="53" t="s">
        <v>4622</v>
      </c>
      <c r="D2285" s="54" t="s">
        <v>9727</v>
      </c>
      <c r="E2285" s="50">
        <f t="shared" si="77"/>
        <v>31.24657534</v>
      </c>
      <c r="F2285" s="51">
        <f t="shared" si="77"/>
        <v>4.6080433999999997</v>
      </c>
      <c r="H2285" s="33"/>
      <c r="I2285" s="33"/>
      <c r="J2285" s="33"/>
      <c r="K2285" s="33"/>
      <c r="L2285" s="33"/>
      <c r="M2285" s="33"/>
      <c r="N2285" s="33"/>
      <c r="O2285" s="33"/>
      <c r="P2285" s="33"/>
      <c r="Q2285" s="33"/>
      <c r="R2285" s="33"/>
      <c r="S2285" s="33"/>
      <c r="T2285" s="33"/>
      <c r="U2285" s="33"/>
      <c r="V2285" s="33"/>
      <c r="W2285" s="33"/>
      <c r="X2285" s="33"/>
      <c r="Y2285" s="33"/>
      <c r="Z2285" s="33"/>
      <c r="AA2285" s="33"/>
      <c r="AB2285" s="33"/>
    </row>
    <row r="2286" spans="1:28" x14ac:dyDescent="0.15">
      <c r="A2286" s="46" t="s">
        <v>4623</v>
      </c>
      <c r="B2286" s="52" t="s">
        <v>7361</v>
      </c>
      <c r="C2286" s="53" t="s">
        <v>4624</v>
      </c>
      <c r="D2286" s="54" t="s">
        <v>9728</v>
      </c>
      <c r="E2286" s="50">
        <f t="shared" si="77"/>
        <v>31.26027397</v>
      </c>
      <c r="F2286" s="51">
        <f t="shared" si="77"/>
        <v>4.6082231399999998</v>
      </c>
      <c r="H2286" s="33"/>
      <c r="I2286" s="33"/>
      <c r="J2286" s="33"/>
      <c r="K2286" s="33"/>
      <c r="L2286" s="33"/>
      <c r="M2286" s="33"/>
      <c r="N2286" s="33"/>
      <c r="O2286" s="33"/>
      <c r="P2286" s="33"/>
      <c r="Q2286" s="33"/>
      <c r="R2286" s="33"/>
      <c r="S2286" s="33"/>
      <c r="T2286" s="33"/>
      <c r="U2286" s="33"/>
      <c r="V2286" s="33"/>
      <c r="W2286" s="33"/>
      <c r="X2286" s="33"/>
      <c r="Y2286" s="33"/>
      <c r="Z2286" s="33"/>
      <c r="AA2286" s="33"/>
      <c r="AB2286" s="33"/>
    </row>
    <row r="2287" spans="1:28" x14ac:dyDescent="0.15">
      <c r="A2287" s="46" t="s">
        <v>4625</v>
      </c>
      <c r="B2287" s="52" t="s">
        <v>7361</v>
      </c>
      <c r="C2287" s="53" t="s">
        <v>4626</v>
      </c>
      <c r="D2287" s="54" t="s">
        <v>9729</v>
      </c>
      <c r="E2287" s="50">
        <f t="shared" ref="E2287:F2316" si="78">VALUE(C2287)</f>
        <v>31.2739726</v>
      </c>
      <c r="F2287" s="51">
        <f t="shared" si="78"/>
        <v>4.6084020600000004</v>
      </c>
      <c r="H2287" s="33"/>
      <c r="I2287" s="33"/>
      <c r="J2287" s="33"/>
      <c r="K2287" s="33"/>
      <c r="L2287" s="33"/>
      <c r="M2287" s="33"/>
      <c r="N2287" s="33"/>
      <c r="O2287" s="33"/>
      <c r="P2287" s="33"/>
      <c r="Q2287" s="33"/>
      <c r="R2287" s="33"/>
      <c r="S2287" s="33"/>
      <c r="T2287" s="33"/>
      <c r="U2287" s="33"/>
      <c r="V2287" s="33"/>
      <c r="W2287" s="33"/>
      <c r="X2287" s="33"/>
      <c r="Y2287" s="33"/>
      <c r="Z2287" s="33"/>
      <c r="AA2287" s="33"/>
      <c r="AB2287" s="33"/>
    </row>
    <row r="2288" spans="1:28" x14ac:dyDescent="0.15">
      <c r="A2288" s="46" t="s">
        <v>4627</v>
      </c>
      <c r="B2288" s="52" t="s">
        <v>7361</v>
      </c>
      <c r="C2288" s="53" t="s">
        <v>4628</v>
      </c>
      <c r="D2288" s="54" t="s">
        <v>9730</v>
      </c>
      <c r="E2288" s="50">
        <f t="shared" si="78"/>
        <v>31.287671230000001</v>
      </c>
      <c r="F2288" s="51">
        <f t="shared" si="78"/>
        <v>4.6085803099999998</v>
      </c>
      <c r="H2288" s="33"/>
      <c r="I2288" s="33"/>
      <c r="J2288" s="33"/>
      <c r="K2288" s="33"/>
      <c r="L2288" s="33"/>
      <c r="M2288" s="33"/>
      <c r="N2288" s="33"/>
      <c r="O2288" s="33"/>
      <c r="P2288" s="33"/>
      <c r="Q2288" s="33"/>
      <c r="R2288" s="33"/>
      <c r="S2288" s="33"/>
      <c r="T2288" s="33"/>
      <c r="U2288" s="33"/>
      <c r="V2288" s="33"/>
      <c r="W2288" s="33"/>
      <c r="X2288" s="33"/>
      <c r="Y2288" s="33"/>
      <c r="Z2288" s="33"/>
      <c r="AA2288" s="33"/>
      <c r="AB2288" s="33"/>
    </row>
    <row r="2289" spans="1:28" x14ac:dyDescent="0.15">
      <c r="A2289" s="46" t="s">
        <v>4629</v>
      </c>
      <c r="B2289" s="52" t="s">
        <v>7361</v>
      </c>
      <c r="C2289" s="53" t="s">
        <v>4630</v>
      </c>
      <c r="D2289" s="54" t="s">
        <v>9731</v>
      </c>
      <c r="E2289" s="50">
        <f t="shared" si="78"/>
        <v>31.301369860000001</v>
      </c>
      <c r="F2289" s="51">
        <f t="shared" si="78"/>
        <v>4.6087580499999996</v>
      </c>
      <c r="H2289" s="33"/>
      <c r="I2289" s="33"/>
      <c r="J2289" s="33"/>
      <c r="K2289" s="33"/>
      <c r="L2289" s="33"/>
      <c r="M2289" s="33"/>
      <c r="N2289" s="33"/>
      <c r="O2289" s="33"/>
      <c r="P2289" s="33"/>
      <c r="Q2289" s="33"/>
      <c r="R2289" s="33"/>
      <c r="S2289" s="33"/>
      <c r="T2289" s="33"/>
      <c r="U2289" s="33"/>
      <c r="V2289" s="33"/>
      <c r="W2289" s="33"/>
      <c r="X2289" s="33"/>
      <c r="Y2289" s="33"/>
      <c r="Z2289" s="33"/>
      <c r="AA2289" s="33"/>
      <c r="AB2289" s="33"/>
    </row>
    <row r="2290" spans="1:28" x14ac:dyDescent="0.15">
      <c r="A2290" s="46" t="s">
        <v>4631</v>
      </c>
      <c r="B2290" s="52" t="s">
        <v>7361</v>
      </c>
      <c r="C2290" s="53" t="s">
        <v>4632</v>
      </c>
      <c r="D2290" s="54" t="s">
        <v>9732</v>
      </c>
      <c r="E2290" s="50">
        <f t="shared" si="78"/>
        <v>31.315068490000002</v>
      </c>
      <c r="F2290" s="51">
        <f t="shared" si="78"/>
        <v>4.6089354299999998</v>
      </c>
      <c r="H2290" s="33"/>
      <c r="I2290" s="33"/>
      <c r="J2290" s="33"/>
      <c r="K2290" s="33"/>
      <c r="L2290" s="33"/>
      <c r="M2290" s="33"/>
      <c r="N2290" s="33"/>
      <c r="O2290" s="33"/>
      <c r="P2290" s="33"/>
      <c r="Q2290" s="33"/>
      <c r="R2290" s="33"/>
      <c r="S2290" s="33"/>
      <c r="T2290" s="33"/>
      <c r="U2290" s="33"/>
      <c r="V2290" s="33"/>
      <c r="W2290" s="33"/>
      <c r="X2290" s="33"/>
      <c r="Y2290" s="33"/>
      <c r="Z2290" s="33"/>
      <c r="AA2290" s="33"/>
      <c r="AB2290" s="33"/>
    </row>
    <row r="2291" spans="1:28" x14ac:dyDescent="0.15">
      <c r="A2291" s="46" t="s">
        <v>4633</v>
      </c>
      <c r="B2291" s="52" t="s">
        <v>7361</v>
      </c>
      <c r="C2291" s="53" t="s">
        <v>4634</v>
      </c>
      <c r="D2291" s="54" t="s">
        <v>9733</v>
      </c>
      <c r="E2291" s="50">
        <f t="shared" si="78"/>
        <v>31.328767119999998</v>
      </c>
      <c r="F2291" s="51">
        <f t="shared" si="78"/>
        <v>4.6091125999999996</v>
      </c>
      <c r="H2291" s="33"/>
      <c r="I2291" s="33"/>
      <c r="J2291" s="33"/>
      <c r="K2291" s="33"/>
      <c r="L2291" s="33"/>
      <c r="M2291" s="33"/>
      <c r="N2291" s="33"/>
      <c r="O2291" s="33"/>
      <c r="P2291" s="33"/>
      <c r="Q2291" s="33"/>
      <c r="R2291" s="33"/>
      <c r="S2291" s="33"/>
      <c r="T2291" s="33"/>
      <c r="U2291" s="33"/>
      <c r="V2291" s="33"/>
      <c r="W2291" s="33"/>
      <c r="X2291" s="33"/>
      <c r="Y2291" s="33"/>
      <c r="Z2291" s="33"/>
      <c r="AA2291" s="33"/>
      <c r="AB2291" s="33"/>
    </row>
    <row r="2292" spans="1:28" x14ac:dyDescent="0.15">
      <c r="A2292" s="46" t="s">
        <v>4635</v>
      </c>
      <c r="B2292" s="52" t="s">
        <v>7361</v>
      </c>
      <c r="C2292" s="53" t="s">
        <v>4636</v>
      </c>
      <c r="D2292" s="54" t="s">
        <v>9734</v>
      </c>
      <c r="E2292" s="50">
        <f t="shared" si="78"/>
        <v>31.342465749999999</v>
      </c>
      <c r="F2292" s="51">
        <f t="shared" si="78"/>
        <v>4.6092897199999996</v>
      </c>
      <c r="H2292" s="33"/>
      <c r="I2292" s="33"/>
      <c r="J2292" s="33"/>
      <c r="K2292" s="33"/>
      <c r="L2292" s="33"/>
      <c r="M2292" s="33"/>
      <c r="N2292" s="33"/>
      <c r="O2292" s="33"/>
      <c r="P2292" s="33"/>
      <c r="Q2292" s="33"/>
      <c r="R2292" s="33"/>
      <c r="S2292" s="33"/>
      <c r="T2292" s="33"/>
      <c r="U2292" s="33"/>
      <c r="V2292" s="33"/>
      <c r="W2292" s="33"/>
      <c r="X2292" s="33"/>
      <c r="Y2292" s="33"/>
      <c r="Z2292" s="33"/>
      <c r="AA2292" s="33"/>
      <c r="AB2292" s="33"/>
    </row>
    <row r="2293" spans="1:28" x14ac:dyDescent="0.15">
      <c r="A2293" s="46" t="s">
        <v>4637</v>
      </c>
      <c r="B2293" s="52" t="s">
        <v>7361</v>
      </c>
      <c r="C2293" s="53" t="s">
        <v>4638</v>
      </c>
      <c r="D2293" s="54" t="s">
        <v>9735</v>
      </c>
      <c r="E2293" s="50">
        <f t="shared" si="78"/>
        <v>31.356164379999999</v>
      </c>
      <c r="F2293" s="51">
        <f t="shared" si="78"/>
        <v>4.6094669499999998</v>
      </c>
      <c r="H2293" s="33"/>
      <c r="I2293" s="33"/>
      <c r="J2293" s="33"/>
      <c r="K2293" s="33"/>
      <c r="L2293" s="33"/>
      <c r="M2293" s="33"/>
      <c r="N2293" s="33"/>
      <c r="O2293" s="33"/>
      <c r="P2293" s="33"/>
      <c r="Q2293" s="33"/>
      <c r="R2293" s="33"/>
      <c r="S2293" s="33"/>
      <c r="T2293" s="33"/>
      <c r="U2293" s="33"/>
      <c r="V2293" s="33"/>
      <c r="W2293" s="33"/>
      <c r="X2293" s="33"/>
      <c r="Y2293" s="33"/>
      <c r="Z2293" s="33"/>
      <c r="AA2293" s="33"/>
      <c r="AB2293" s="33"/>
    </row>
    <row r="2294" spans="1:28" x14ac:dyDescent="0.15">
      <c r="A2294" s="46" t="s">
        <v>4639</v>
      </c>
      <c r="B2294" s="52" t="s">
        <v>7361</v>
      </c>
      <c r="C2294" s="53" t="s">
        <v>4640</v>
      </c>
      <c r="D2294" s="54" t="s">
        <v>9736</v>
      </c>
      <c r="E2294" s="50">
        <f t="shared" si="78"/>
        <v>31.36986301</v>
      </c>
      <c r="F2294" s="51">
        <f t="shared" si="78"/>
        <v>4.6096444300000003</v>
      </c>
      <c r="H2294" s="33"/>
      <c r="I2294" s="33"/>
      <c r="J2294" s="33"/>
      <c r="K2294" s="33"/>
      <c r="L2294" s="33"/>
      <c r="M2294" s="33"/>
      <c r="N2294" s="33"/>
      <c r="O2294" s="33"/>
      <c r="P2294" s="33"/>
      <c r="Q2294" s="33"/>
      <c r="R2294" s="33"/>
      <c r="S2294" s="33"/>
      <c r="T2294" s="33"/>
      <c r="U2294" s="33"/>
      <c r="V2294" s="33"/>
      <c r="W2294" s="33"/>
      <c r="X2294" s="33"/>
      <c r="Y2294" s="33"/>
      <c r="Z2294" s="33"/>
      <c r="AA2294" s="33"/>
      <c r="AB2294" s="33"/>
    </row>
    <row r="2295" spans="1:28" x14ac:dyDescent="0.15">
      <c r="A2295" s="46" t="s">
        <v>4641</v>
      </c>
      <c r="B2295" s="52" t="s">
        <v>7361</v>
      </c>
      <c r="C2295" s="53" t="s">
        <v>4642</v>
      </c>
      <c r="D2295" s="54" t="s">
        <v>9737</v>
      </c>
      <c r="E2295" s="50">
        <f t="shared" si="78"/>
        <v>31.38356164</v>
      </c>
      <c r="F2295" s="51">
        <f t="shared" si="78"/>
        <v>4.6098223200000001</v>
      </c>
      <c r="H2295" s="33"/>
      <c r="I2295" s="33"/>
      <c r="J2295" s="33"/>
      <c r="K2295" s="33"/>
      <c r="L2295" s="33"/>
      <c r="M2295" s="33"/>
      <c r="N2295" s="33"/>
      <c r="O2295" s="33"/>
      <c r="P2295" s="33"/>
      <c r="Q2295" s="33"/>
      <c r="R2295" s="33"/>
      <c r="S2295" s="33"/>
      <c r="T2295" s="33"/>
      <c r="U2295" s="33"/>
      <c r="V2295" s="33"/>
      <c r="W2295" s="33"/>
      <c r="X2295" s="33"/>
      <c r="Y2295" s="33"/>
      <c r="Z2295" s="33"/>
      <c r="AA2295" s="33"/>
      <c r="AB2295" s="33"/>
    </row>
    <row r="2296" spans="1:28" x14ac:dyDescent="0.15">
      <c r="A2296" s="46" t="s">
        <v>4643</v>
      </c>
      <c r="B2296" s="52" t="s">
        <v>7361</v>
      </c>
      <c r="C2296" s="53" t="s">
        <v>4644</v>
      </c>
      <c r="D2296" s="54" t="s">
        <v>9738</v>
      </c>
      <c r="E2296" s="50">
        <f t="shared" si="78"/>
        <v>31.39726027</v>
      </c>
      <c r="F2296" s="51">
        <f t="shared" si="78"/>
        <v>4.61000078</v>
      </c>
      <c r="H2296" s="33"/>
      <c r="I2296" s="33"/>
      <c r="J2296" s="33"/>
      <c r="K2296" s="33"/>
      <c r="L2296" s="33"/>
      <c r="M2296" s="33"/>
      <c r="N2296" s="33"/>
      <c r="O2296" s="33"/>
      <c r="P2296" s="33"/>
      <c r="Q2296" s="33"/>
      <c r="R2296" s="33"/>
      <c r="S2296" s="33"/>
      <c r="T2296" s="33"/>
      <c r="U2296" s="33"/>
      <c r="V2296" s="33"/>
      <c r="W2296" s="33"/>
      <c r="X2296" s="33"/>
      <c r="Y2296" s="33"/>
      <c r="Z2296" s="33"/>
      <c r="AA2296" s="33"/>
      <c r="AB2296" s="33"/>
    </row>
    <row r="2297" spans="1:28" x14ac:dyDescent="0.15">
      <c r="A2297" s="46" t="s">
        <v>4645</v>
      </c>
      <c r="B2297" s="52" t="s">
        <v>7361</v>
      </c>
      <c r="C2297" s="53" t="s">
        <v>4646</v>
      </c>
      <c r="D2297" s="54" t="s">
        <v>9739</v>
      </c>
      <c r="E2297" s="50">
        <f t="shared" si="78"/>
        <v>31.410958900000001</v>
      </c>
      <c r="F2297" s="51">
        <f t="shared" si="78"/>
        <v>4.61017995</v>
      </c>
      <c r="H2297" s="33"/>
      <c r="I2297" s="33"/>
      <c r="J2297" s="33"/>
      <c r="K2297" s="33"/>
      <c r="L2297" s="33"/>
      <c r="M2297" s="33"/>
      <c r="N2297" s="33"/>
      <c r="O2297" s="33"/>
      <c r="P2297" s="33"/>
      <c r="Q2297" s="33"/>
      <c r="R2297" s="33"/>
      <c r="S2297" s="33"/>
      <c r="T2297" s="33"/>
      <c r="U2297" s="33"/>
      <c r="V2297" s="33"/>
      <c r="W2297" s="33"/>
      <c r="X2297" s="33"/>
      <c r="Y2297" s="33"/>
      <c r="Z2297" s="33"/>
      <c r="AA2297" s="33"/>
      <c r="AB2297" s="33"/>
    </row>
    <row r="2298" spans="1:28" x14ac:dyDescent="0.15">
      <c r="A2298" s="46" t="s">
        <v>4647</v>
      </c>
      <c r="B2298" s="52" t="s">
        <v>7361</v>
      </c>
      <c r="C2298" s="53" t="s">
        <v>4648</v>
      </c>
      <c r="D2298" s="54" t="s">
        <v>9740</v>
      </c>
      <c r="E2298" s="50">
        <f t="shared" si="78"/>
        <v>31.424657530000001</v>
      </c>
      <c r="F2298" s="51">
        <f t="shared" si="78"/>
        <v>4.61036</v>
      </c>
      <c r="H2298" s="33"/>
      <c r="I2298" s="33"/>
      <c r="J2298" s="33"/>
      <c r="K2298" s="33"/>
      <c r="L2298" s="33"/>
      <c r="M2298" s="33"/>
      <c r="N2298" s="33"/>
      <c r="O2298" s="33"/>
      <c r="P2298" s="33"/>
      <c r="Q2298" s="33"/>
      <c r="R2298" s="33"/>
      <c r="S2298" s="33"/>
      <c r="T2298" s="33"/>
      <c r="U2298" s="33"/>
      <c r="V2298" s="33"/>
      <c r="W2298" s="33"/>
      <c r="X2298" s="33"/>
      <c r="Y2298" s="33"/>
      <c r="Z2298" s="33"/>
      <c r="AA2298" s="33"/>
      <c r="AB2298" s="33"/>
    </row>
    <row r="2299" spans="1:28" x14ac:dyDescent="0.15">
      <c r="A2299" s="46" t="s">
        <v>4649</v>
      </c>
      <c r="B2299" s="52" t="s">
        <v>7361</v>
      </c>
      <c r="C2299" s="53" t="s">
        <v>4650</v>
      </c>
      <c r="D2299" s="54" t="s">
        <v>9741</v>
      </c>
      <c r="E2299" s="50">
        <f t="shared" si="78"/>
        <v>31.438356160000001</v>
      </c>
      <c r="F2299" s="51">
        <f t="shared" si="78"/>
        <v>4.61054108</v>
      </c>
      <c r="H2299" s="33"/>
      <c r="I2299" s="33"/>
      <c r="J2299" s="33"/>
      <c r="K2299" s="33"/>
      <c r="L2299" s="33"/>
      <c r="M2299" s="33"/>
      <c r="N2299" s="33"/>
      <c r="O2299" s="33"/>
      <c r="P2299" s="33"/>
      <c r="Q2299" s="33"/>
      <c r="R2299" s="33"/>
      <c r="S2299" s="33"/>
      <c r="T2299" s="33"/>
      <c r="U2299" s="33"/>
      <c r="V2299" s="33"/>
      <c r="W2299" s="33"/>
      <c r="X2299" s="33"/>
      <c r="Y2299" s="33"/>
      <c r="Z2299" s="33"/>
      <c r="AA2299" s="33"/>
      <c r="AB2299" s="33"/>
    </row>
    <row r="2300" spans="1:28" x14ac:dyDescent="0.15">
      <c r="A2300" s="46" t="s">
        <v>4651</v>
      </c>
      <c r="B2300" s="52" t="s">
        <v>7361</v>
      </c>
      <c r="C2300" s="53" t="s">
        <v>4652</v>
      </c>
      <c r="D2300" s="54" t="s">
        <v>9742</v>
      </c>
      <c r="E2300" s="50">
        <f t="shared" si="78"/>
        <v>31.452054789999998</v>
      </c>
      <c r="F2300" s="51">
        <f t="shared" si="78"/>
        <v>4.6107233299999999</v>
      </c>
      <c r="H2300" s="33"/>
      <c r="I2300" s="33"/>
      <c r="J2300" s="33"/>
      <c r="K2300" s="33"/>
      <c r="L2300" s="33"/>
      <c r="M2300" s="33"/>
      <c r="N2300" s="33"/>
      <c r="O2300" s="33"/>
      <c r="P2300" s="33"/>
      <c r="Q2300" s="33"/>
      <c r="R2300" s="33"/>
      <c r="S2300" s="33"/>
      <c r="T2300" s="33"/>
      <c r="U2300" s="33"/>
      <c r="V2300" s="33"/>
      <c r="W2300" s="33"/>
      <c r="X2300" s="33"/>
      <c r="Y2300" s="33"/>
      <c r="Z2300" s="33"/>
      <c r="AA2300" s="33"/>
      <c r="AB2300" s="33"/>
    </row>
    <row r="2301" spans="1:28" x14ac:dyDescent="0.15">
      <c r="A2301" s="46" t="s">
        <v>4653</v>
      </c>
      <c r="B2301" s="52" t="s">
        <v>7361</v>
      </c>
      <c r="C2301" s="53" t="s">
        <v>4654</v>
      </c>
      <c r="D2301" s="54" t="s">
        <v>9743</v>
      </c>
      <c r="E2301" s="50">
        <f t="shared" si="78"/>
        <v>31.465753419999999</v>
      </c>
      <c r="F2301" s="51">
        <f t="shared" si="78"/>
        <v>4.6109069199999997</v>
      </c>
      <c r="H2301" s="33"/>
      <c r="I2301" s="33"/>
      <c r="J2301" s="33"/>
      <c r="K2301" s="33"/>
      <c r="L2301" s="33"/>
      <c r="M2301" s="33"/>
      <c r="N2301" s="33"/>
      <c r="O2301" s="33"/>
      <c r="P2301" s="33"/>
      <c r="Q2301" s="33"/>
      <c r="R2301" s="33"/>
      <c r="S2301" s="33"/>
      <c r="T2301" s="33"/>
      <c r="U2301" s="33"/>
      <c r="V2301" s="33"/>
      <c r="W2301" s="33"/>
      <c r="X2301" s="33"/>
      <c r="Y2301" s="33"/>
      <c r="Z2301" s="33"/>
      <c r="AA2301" s="33"/>
      <c r="AB2301" s="33"/>
    </row>
    <row r="2302" spans="1:28" x14ac:dyDescent="0.15">
      <c r="A2302" s="46" t="s">
        <v>4655</v>
      </c>
      <c r="B2302" s="52" t="s">
        <v>7361</v>
      </c>
      <c r="C2302" s="53" t="s">
        <v>4656</v>
      </c>
      <c r="D2302" s="54" t="s">
        <v>9744</v>
      </c>
      <c r="E2302" s="50">
        <f t="shared" si="78"/>
        <v>31.479452049999999</v>
      </c>
      <c r="F2302" s="51">
        <f t="shared" si="78"/>
        <v>4.6110920000000002</v>
      </c>
      <c r="H2302" s="33"/>
      <c r="I2302" s="33"/>
      <c r="J2302" s="33"/>
      <c r="K2302" s="33"/>
      <c r="L2302" s="33"/>
      <c r="M2302" s="33"/>
      <c r="N2302" s="33"/>
      <c r="O2302" s="33"/>
      <c r="P2302" s="33"/>
      <c r="Q2302" s="33"/>
      <c r="R2302" s="33"/>
      <c r="S2302" s="33"/>
      <c r="T2302" s="33"/>
      <c r="U2302" s="33"/>
      <c r="V2302" s="33"/>
      <c r="W2302" s="33"/>
      <c r="X2302" s="33"/>
      <c r="Y2302" s="33"/>
      <c r="Z2302" s="33"/>
      <c r="AA2302" s="33"/>
      <c r="AB2302" s="33"/>
    </row>
    <row r="2303" spans="1:28" x14ac:dyDescent="0.15">
      <c r="A2303" s="46" t="s">
        <v>4657</v>
      </c>
      <c r="B2303" s="52" t="s">
        <v>7361</v>
      </c>
      <c r="C2303" s="53" t="s">
        <v>4658</v>
      </c>
      <c r="D2303" s="54" t="s">
        <v>9745</v>
      </c>
      <c r="E2303" s="50">
        <f t="shared" si="78"/>
        <v>31.493150679999999</v>
      </c>
      <c r="F2303" s="51">
        <f t="shared" si="78"/>
        <v>4.6112787199999996</v>
      </c>
      <c r="H2303" s="33"/>
      <c r="I2303" s="33"/>
      <c r="J2303" s="33"/>
      <c r="K2303" s="33"/>
      <c r="L2303" s="33"/>
      <c r="M2303" s="33"/>
      <c r="N2303" s="33"/>
      <c r="O2303" s="33"/>
      <c r="P2303" s="33"/>
      <c r="Q2303" s="33"/>
      <c r="R2303" s="33"/>
      <c r="S2303" s="33"/>
      <c r="T2303" s="33"/>
      <c r="U2303" s="33"/>
      <c r="V2303" s="33"/>
      <c r="W2303" s="33"/>
      <c r="X2303" s="33"/>
      <c r="Y2303" s="33"/>
      <c r="Z2303" s="33"/>
      <c r="AA2303" s="33"/>
      <c r="AB2303" s="33"/>
    </row>
    <row r="2304" spans="1:28" x14ac:dyDescent="0.15">
      <c r="A2304" s="46" t="s">
        <v>4659</v>
      </c>
      <c r="B2304" s="52" t="s">
        <v>7361</v>
      </c>
      <c r="C2304" s="53" t="s">
        <v>4660</v>
      </c>
      <c r="D2304" s="54" t="s">
        <v>9746</v>
      </c>
      <c r="E2304" s="50">
        <f t="shared" si="78"/>
        <v>31.506849320000001</v>
      </c>
      <c r="F2304" s="51">
        <f t="shared" si="78"/>
        <v>4.6114665600000002</v>
      </c>
      <c r="H2304" s="33"/>
      <c r="I2304" s="33"/>
      <c r="J2304" s="33"/>
      <c r="K2304" s="33"/>
      <c r="L2304" s="33"/>
      <c r="M2304" s="33"/>
      <c r="N2304" s="33"/>
      <c r="O2304" s="33"/>
      <c r="P2304" s="33"/>
      <c r="Q2304" s="33"/>
      <c r="R2304" s="33"/>
      <c r="S2304" s="33"/>
      <c r="T2304" s="33"/>
      <c r="U2304" s="33"/>
      <c r="V2304" s="33"/>
      <c r="W2304" s="33"/>
      <c r="X2304" s="33"/>
      <c r="Y2304" s="33"/>
      <c r="Z2304" s="33"/>
      <c r="AA2304" s="33"/>
      <c r="AB2304" s="33"/>
    </row>
    <row r="2305" spans="1:28" x14ac:dyDescent="0.15">
      <c r="A2305" s="46" t="s">
        <v>4661</v>
      </c>
      <c r="B2305" s="52" t="s">
        <v>7361</v>
      </c>
      <c r="C2305" s="53" t="s">
        <v>4662</v>
      </c>
      <c r="D2305" s="54" t="s">
        <v>9747</v>
      </c>
      <c r="E2305" s="50">
        <f t="shared" si="78"/>
        <v>31.520547950000001</v>
      </c>
      <c r="F2305" s="51">
        <f t="shared" si="78"/>
        <v>4.6116516499999998</v>
      </c>
      <c r="H2305" s="33"/>
      <c r="I2305" s="33"/>
      <c r="J2305" s="33"/>
      <c r="K2305" s="33"/>
      <c r="L2305" s="33"/>
      <c r="M2305" s="33"/>
      <c r="N2305" s="33"/>
      <c r="O2305" s="33"/>
      <c r="P2305" s="33"/>
      <c r="Q2305" s="33"/>
      <c r="R2305" s="33"/>
      <c r="S2305" s="33"/>
      <c r="T2305" s="33"/>
      <c r="U2305" s="33"/>
      <c r="V2305" s="33"/>
      <c r="W2305" s="33"/>
      <c r="X2305" s="33"/>
      <c r="Y2305" s="33"/>
      <c r="Z2305" s="33"/>
      <c r="AA2305" s="33"/>
      <c r="AB2305" s="33"/>
    </row>
    <row r="2306" spans="1:28" x14ac:dyDescent="0.15">
      <c r="A2306" s="46" t="s">
        <v>4663</v>
      </c>
      <c r="B2306" s="52" t="s">
        <v>7361</v>
      </c>
      <c r="C2306" s="53" t="s">
        <v>4664</v>
      </c>
      <c r="D2306" s="54" t="s">
        <v>9748</v>
      </c>
      <c r="E2306" s="50">
        <f t="shared" si="78"/>
        <v>31.534246580000001</v>
      </c>
      <c r="F2306" s="51">
        <f t="shared" si="78"/>
        <v>4.6118334399999998</v>
      </c>
      <c r="H2306" s="33"/>
      <c r="I2306" s="33"/>
      <c r="J2306" s="33"/>
      <c r="K2306" s="33"/>
      <c r="L2306" s="33"/>
      <c r="M2306" s="33"/>
      <c r="N2306" s="33"/>
      <c r="O2306" s="33"/>
      <c r="P2306" s="33"/>
      <c r="Q2306" s="33"/>
      <c r="R2306" s="33"/>
      <c r="S2306" s="33"/>
      <c r="T2306" s="33"/>
      <c r="U2306" s="33"/>
      <c r="V2306" s="33"/>
      <c r="W2306" s="33"/>
      <c r="X2306" s="33"/>
      <c r="Y2306" s="33"/>
      <c r="Z2306" s="33"/>
      <c r="AA2306" s="33"/>
      <c r="AB2306" s="33"/>
    </row>
    <row r="2307" spans="1:28" x14ac:dyDescent="0.15">
      <c r="A2307" s="46" t="s">
        <v>4665</v>
      </c>
      <c r="B2307" s="52" t="s">
        <v>7361</v>
      </c>
      <c r="C2307" s="53" t="s">
        <v>4666</v>
      </c>
      <c r="D2307" s="54" t="s">
        <v>9749</v>
      </c>
      <c r="E2307" s="50">
        <f t="shared" si="78"/>
        <v>31.547945210000002</v>
      </c>
      <c r="F2307" s="51">
        <f t="shared" si="78"/>
        <v>4.6120121000000003</v>
      </c>
      <c r="H2307" s="33"/>
      <c r="I2307" s="33"/>
      <c r="J2307" s="33"/>
      <c r="K2307" s="33"/>
      <c r="L2307" s="33"/>
      <c r="M2307" s="33"/>
      <c r="N2307" s="33"/>
      <c r="O2307" s="33"/>
      <c r="P2307" s="33"/>
      <c r="Q2307" s="33"/>
      <c r="R2307" s="33"/>
      <c r="S2307" s="33"/>
      <c r="T2307" s="33"/>
      <c r="U2307" s="33"/>
      <c r="V2307" s="33"/>
      <c r="W2307" s="33"/>
      <c r="X2307" s="33"/>
      <c r="Y2307" s="33"/>
      <c r="Z2307" s="33"/>
      <c r="AA2307" s="33"/>
      <c r="AB2307" s="33"/>
    </row>
    <row r="2308" spans="1:28" x14ac:dyDescent="0.15">
      <c r="A2308" s="46" t="s">
        <v>4667</v>
      </c>
      <c r="B2308" s="52" t="s">
        <v>7361</v>
      </c>
      <c r="C2308" s="53" t="s">
        <v>4668</v>
      </c>
      <c r="D2308" s="54" t="s">
        <v>9750</v>
      </c>
      <c r="E2308" s="50">
        <f t="shared" si="78"/>
        <v>31.561643839999999</v>
      </c>
      <c r="F2308" s="51">
        <f t="shared" si="78"/>
        <v>4.6121877600000003</v>
      </c>
      <c r="H2308" s="33"/>
      <c r="I2308" s="33"/>
      <c r="J2308" s="33"/>
      <c r="K2308" s="33"/>
      <c r="L2308" s="33"/>
      <c r="M2308" s="33"/>
      <c r="N2308" s="33"/>
      <c r="O2308" s="33"/>
      <c r="P2308" s="33"/>
      <c r="Q2308" s="33"/>
      <c r="R2308" s="33"/>
      <c r="S2308" s="33"/>
      <c r="T2308" s="33"/>
      <c r="U2308" s="33"/>
      <c r="V2308" s="33"/>
      <c r="W2308" s="33"/>
      <c r="X2308" s="33"/>
      <c r="Y2308" s="33"/>
      <c r="Z2308" s="33"/>
      <c r="AA2308" s="33"/>
      <c r="AB2308" s="33"/>
    </row>
    <row r="2309" spans="1:28" x14ac:dyDescent="0.15">
      <c r="A2309" s="46" t="s">
        <v>4669</v>
      </c>
      <c r="B2309" s="52" t="s">
        <v>7361</v>
      </c>
      <c r="C2309" s="53" t="s">
        <v>4670</v>
      </c>
      <c r="D2309" s="54" t="s">
        <v>9751</v>
      </c>
      <c r="E2309" s="50">
        <f t="shared" si="78"/>
        <v>31.575342469999999</v>
      </c>
      <c r="F2309" s="51">
        <f t="shared" si="78"/>
        <v>4.6123605599999999</v>
      </c>
      <c r="H2309" s="33"/>
      <c r="I2309" s="33"/>
      <c r="J2309" s="33"/>
      <c r="K2309" s="33"/>
      <c r="L2309" s="33"/>
      <c r="M2309" s="33"/>
      <c r="N2309" s="33"/>
      <c r="O2309" s="33"/>
      <c r="P2309" s="33"/>
      <c r="Q2309" s="33"/>
      <c r="R2309" s="33"/>
      <c r="S2309" s="33"/>
      <c r="T2309" s="33"/>
      <c r="U2309" s="33"/>
      <c r="V2309" s="33"/>
      <c r="W2309" s="33"/>
      <c r="X2309" s="33"/>
      <c r="Y2309" s="33"/>
      <c r="Z2309" s="33"/>
      <c r="AA2309" s="33"/>
      <c r="AB2309" s="33"/>
    </row>
    <row r="2310" spans="1:28" x14ac:dyDescent="0.15">
      <c r="A2310" s="46" t="s">
        <v>4671</v>
      </c>
      <c r="B2310" s="52" t="s">
        <v>7361</v>
      </c>
      <c r="C2310" s="53" t="s">
        <v>4672</v>
      </c>
      <c r="D2310" s="54" t="s">
        <v>9752</v>
      </c>
      <c r="E2310" s="50">
        <f t="shared" si="78"/>
        <v>31.589041099999999</v>
      </c>
      <c r="F2310" s="51">
        <f t="shared" si="78"/>
        <v>4.61253066</v>
      </c>
      <c r="H2310" s="33"/>
      <c r="I2310" s="33"/>
      <c r="J2310" s="33"/>
      <c r="K2310" s="33"/>
      <c r="L2310" s="33"/>
      <c r="M2310" s="33"/>
      <c r="N2310" s="33"/>
      <c r="O2310" s="33"/>
      <c r="P2310" s="33"/>
      <c r="Q2310" s="33"/>
      <c r="R2310" s="33"/>
      <c r="S2310" s="33"/>
      <c r="T2310" s="33"/>
      <c r="U2310" s="33"/>
      <c r="V2310" s="33"/>
      <c r="W2310" s="33"/>
      <c r="X2310" s="33"/>
      <c r="Y2310" s="33"/>
      <c r="Z2310" s="33"/>
      <c r="AA2310" s="33"/>
      <c r="AB2310" s="33"/>
    </row>
    <row r="2311" spans="1:28" x14ac:dyDescent="0.15">
      <c r="A2311" s="46" t="s">
        <v>4673</v>
      </c>
      <c r="B2311" s="52" t="s">
        <v>7361</v>
      </c>
      <c r="C2311" s="53" t="s">
        <v>4674</v>
      </c>
      <c r="D2311" s="54" t="s">
        <v>9753</v>
      </c>
      <c r="E2311" s="50">
        <f t="shared" si="78"/>
        <v>31.60273973</v>
      </c>
      <c r="F2311" s="51">
        <f t="shared" si="78"/>
        <v>4.6126981899999997</v>
      </c>
      <c r="H2311" s="33"/>
      <c r="I2311" s="33"/>
      <c r="J2311" s="33"/>
      <c r="K2311" s="33"/>
      <c r="L2311" s="33"/>
      <c r="M2311" s="33"/>
      <c r="N2311" s="33"/>
      <c r="O2311" s="33"/>
      <c r="P2311" s="33"/>
      <c r="Q2311" s="33"/>
      <c r="R2311" s="33"/>
      <c r="S2311" s="33"/>
      <c r="T2311" s="33"/>
      <c r="U2311" s="33"/>
      <c r="V2311" s="33"/>
      <c r="W2311" s="33"/>
      <c r="X2311" s="33"/>
      <c r="Y2311" s="33"/>
      <c r="Z2311" s="33"/>
      <c r="AA2311" s="33"/>
      <c r="AB2311" s="33"/>
    </row>
    <row r="2312" spans="1:28" x14ac:dyDescent="0.15">
      <c r="A2312" s="46" t="s">
        <v>4675</v>
      </c>
      <c r="B2312" s="52" t="s">
        <v>7361</v>
      </c>
      <c r="C2312" s="53" t="s">
        <v>4676</v>
      </c>
      <c r="D2312" s="54" t="s">
        <v>9754</v>
      </c>
      <c r="E2312" s="50">
        <f t="shared" si="78"/>
        <v>31.61643836</v>
      </c>
      <c r="F2312" s="51">
        <f t="shared" si="78"/>
        <v>4.6128632899999999</v>
      </c>
      <c r="H2312" s="33"/>
      <c r="I2312" s="33"/>
      <c r="J2312" s="33"/>
      <c r="K2312" s="33"/>
      <c r="L2312" s="33"/>
      <c r="M2312" s="33"/>
      <c r="N2312" s="33"/>
      <c r="O2312" s="33"/>
      <c r="P2312" s="33"/>
      <c r="Q2312" s="33"/>
      <c r="R2312" s="33"/>
      <c r="S2312" s="33"/>
      <c r="T2312" s="33"/>
      <c r="U2312" s="33"/>
      <c r="V2312" s="33"/>
      <c r="W2312" s="33"/>
      <c r="X2312" s="33"/>
      <c r="Y2312" s="33"/>
      <c r="Z2312" s="33"/>
      <c r="AA2312" s="33"/>
      <c r="AB2312" s="33"/>
    </row>
    <row r="2313" spans="1:28" x14ac:dyDescent="0.15">
      <c r="A2313" s="46" t="s">
        <v>4677</v>
      </c>
      <c r="B2313" s="52" t="s">
        <v>7361</v>
      </c>
      <c r="C2313" s="53" t="s">
        <v>4678</v>
      </c>
      <c r="D2313" s="54" t="s">
        <v>9755</v>
      </c>
      <c r="E2313" s="50">
        <f t="shared" si="78"/>
        <v>31.63013699</v>
      </c>
      <c r="F2313" s="51">
        <f t="shared" si="78"/>
        <v>4.6130261199999998</v>
      </c>
      <c r="H2313" s="33"/>
      <c r="I2313" s="33"/>
      <c r="J2313" s="33"/>
      <c r="K2313" s="33"/>
      <c r="L2313" s="33"/>
      <c r="M2313" s="33"/>
      <c r="N2313" s="33"/>
      <c r="O2313" s="33"/>
      <c r="P2313" s="33"/>
      <c r="Q2313" s="33"/>
      <c r="R2313" s="33"/>
      <c r="S2313" s="33"/>
      <c r="T2313" s="33"/>
      <c r="U2313" s="33"/>
      <c r="V2313" s="33"/>
      <c r="W2313" s="33"/>
      <c r="X2313" s="33"/>
      <c r="Y2313" s="33"/>
      <c r="Z2313" s="33"/>
      <c r="AA2313" s="33"/>
      <c r="AB2313" s="33"/>
    </row>
    <row r="2314" spans="1:28" x14ac:dyDescent="0.15">
      <c r="A2314" s="46" t="s">
        <v>4679</v>
      </c>
      <c r="B2314" s="52" t="s">
        <v>7361</v>
      </c>
      <c r="C2314" s="53" t="s">
        <v>4680</v>
      </c>
      <c r="D2314" s="54" t="s">
        <v>9756</v>
      </c>
      <c r="E2314" s="50">
        <f t="shared" si="78"/>
        <v>31.643835620000001</v>
      </c>
      <c r="F2314" s="51">
        <f t="shared" si="78"/>
        <v>4.6131868100000002</v>
      </c>
      <c r="H2314" s="33"/>
      <c r="I2314" s="33"/>
      <c r="J2314" s="33"/>
      <c r="K2314" s="33"/>
      <c r="L2314" s="33"/>
      <c r="M2314" s="33"/>
      <c r="N2314" s="33"/>
      <c r="O2314" s="33"/>
      <c r="P2314" s="33"/>
      <c r="Q2314" s="33"/>
      <c r="R2314" s="33"/>
      <c r="S2314" s="33"/>
      <c r="T2314" s="33"/>
      <c r="U2314" s="33"/>
      <c r="V2314" s="33"/>
      <c r="W2314" s="33"/>
      <c r="X2314" s="33"/>
      <c r="Y2314" s="33"/>
      <c r="Z2314" s="33"/>
      <c r="AA2314" s="33"/>
      <c r="AB2314" s="33"/>
    </row>
    <row r="2315" spans="1:28" x14ac:dyDescent="0.15">
      <c r="A2315" s="46" t="s">
        <v>4681</v>
      </c>
      <c r="B2315" s="52" t="s">
        <v>7361</v>
      </c>
      <c r="C2315" s="53" t="s">
        <v>4682</v>
      </c>
      <c r="D2315" s="54" t="s">
        <v>9757</v>
      </c>
      <c r="E2315" s="50">
        <f t="shared" si="78"/>
        <v>31.657534250000001</v>
      </c>
      <c r="F2315" s="51">
        <f t="shared" si="78"/>
        <v>4.6133455100000003</v>
      </c>
      <c r="H2315" s="33"/>
      <c r="I2315" s="33"/>
      <c r="J2315" s="33"/>
      <c r="K2315" s="33"/>
      <c r="L2315" s="33"/>
      <c r="M2315" s="33"/>
      <c r="N2315" s="33"/>
      <c r="O2315" s="33"/>
      <c r="P2315" s="33"/>
      <c r="Q2315" s="33"/>
      <c r="R2315" s="33"/>
      <c r="S2315" s="33"/>
      <c r="T2315" s="33"/>
      <c r="U2315" s="33"/>
      <c r="V2315" s="33"/>
      <c r="W2315" s="33"/>
      <c r="X2315" s="33"/>
      <c r="Y2315" s="33"/>
      <c r="Z2315" s="33"/>
      <c r="AA2315" s="33"/>
      <c r="AB2315" s="33"/>
    </row>
    <row r="2316" spans="1:28" x14ac:dyDescent="0.15">
      <c r="A2316" s="46" t="s">
        <v>4683</v>
      </c>
      <c r="B2316" s="52" t="s">
        <v>7361</v>
      </c>
      <c r="C2316" s="53" t="s">
        <v>4684</v>
      </c>
      <c r="D2316" s="54" t="s">
        <v>9758</v>
      </c>
      <c r="E2316" s="50">
        <f t="shared" si="78"/>
        <v>31.671232880000002</v>
      </c>
      <c r="F2316" s="51">
        <f t="shared" si="78"/>
        <v>4.61350236</v>
      </c>
      <c r="H2316" s="33"/>
      <c r="I2316" s="33"/>
      <c r="J2316" s="33"/>
      <c r="K2316" s="33"/>
      <c r="L2316" s="33"/>
      <c r="M2316" s="33"/>
      <c r="N2316" s="33"/>
      <c r="O2316" s="33"/>
      <c r="P2316" s="33"/>
      <c r="Q2316" s="33"/>
      <c r="R2316" s="33"/>
      <c r="S2316" s="33"/>
      <c r="T2316" s="33"/>
      <c r="U2316" s="33"/>
      <c r="V2316" s="33"/>
      <c r="W2316" s="33"/>
      <c r="X2316" s="33"/>
      <c r="Y2316" s="33"/>
      <c r="Z2316" s="33"/>
      <c r="AA2316" s="33"/>
      <c r="AB2316" s="33"/>
    </row>
    <row r="2317" spans="1:28" x14ac:dyDescent="0.15">
      <c r="A2317" s="46" t="s">
        <v>4685</v>
      </c>
      <c r="B2317" s="52" t="s">
        <v>7361</v>
      </c>
      <c r="C2317" s="53" t="s">
        <v>4686</v>
      </c>
      <c r="D2317" s="54" t="s">
        <v>9759</v>
      </c>
      <c r="E2317" s="50">
        <f t="shared" ref="E2317:F2347" si="79">VALUE(C2317)</f>
        <v>31.684931509999998</v>
      </c>
      <c r="F2317" s="51">
        <f t="shared" si="79"/>
        <v>4.6136575100000004</v>
      </c>
      <c r="H2317" s="33"/>
      <c r="I2317" s="33"/>
      <c r="J2317" s="33"/>
      <c r="K2317" s="33"/>
      <c r="L2317" s="33"/>
      <c r="M2317" s="33"/>
      <c r="N2317" s="33"/>
      <c r="O2317" s="33"/>
      <c r="P2317" s="33"/>
      <c r="Q2317" s="33"/>
      <c r="R2317" s="33"/>
      <c r="S2317" s="33"/>
      <c r="T2317" s="33"/>
      <c r="U2317" s="33"/>
      <c r="V2317" s="33"/>
      <c r="W2317" s="33"/>
      <c r="X2317" s="33"/>
      <c r="Y2317" s="33"/>
      <c r="Z2317" s="33"/>
      <c r="AA2317" s="33"/>
      <c r="AB2317" s="33"/>
    </row>
    <row r="2318" spans="1:28" x14ac:dyDescent="0.15">
      <c r="A2318" s="46" t="s">
        <v>4687</v>
      </c>
      <c r="B2318" s="52" t="s">
        <v>7361</v>
      </c>
      <c r="C2318" s="53" t="s">
        <v>4688</v>
      </c>
      <c r="D2318" s="54" t="s">
        <v>9760</v>
      </c>
      <c r="E2318" s="50">
        <f t="shared" si="79"/>
        <v>31.698630139999999</v>
      </c>
      <c r="F2318" s="51">
        <f t="shared" si="79"/>
        <v>4.6138111000000004</v>
      </c>
      <c r="H2318" s="33"/>
      <c r="I2318" s="33"/>
      <c r="J2318" s="33"/>
      <c r="K2318" s="33"/>
      <c r="L2318" s="33"/>
      <c r="M2318" s="33"/>
      <c r="N2318" s="33"/>
      <c r="O2318" s="33"/>
      <c r="P2318" s="33"/>
      <c r="Q2318" s="33"/>
      <c r="R2318" s="33"/>
      <c r="S2318" s="33"/>
      <c r="T2318" s="33"/>
      <c r="U2318" s="33"/>
      <c r="V2318" s="33"/>
      <c r="W2318" s="33"/>
      <c r="X2318" s="33"/>
      <c r="Y2318" s="33"/>
      <c r="Z2318" s="33"/>
      <c r="AA2318" s="33"/>
      <c r="AB2318" s="33"/>
    </row>
    <row r="2319" spans="1:28" x14ac:dyDescent="0.15">
      <c r="A2319" s="46" t="s">
        <v>4689</v>
      </c>
      <c r="B2319" s="52" t="s">
        <v>7361</v>
      </c>
      <c r="C2319" s="53" t="s">
        <v>4690</v>
      </c>
      <c r="D2319" s="54" t="s">
        <v>9761</v>
      </c>
      <c r="E2319" s="50">
        <f t="shared" si="79"/>
        <v>31.712328769999999</v>
      </c>
      <c r="F2319" s="51">
        <f t="shared" si="79"/>
        <v>4.6139632800000001</v>
      </c>
      <c r="H2319" s="33"/>
      <c r="I2319" s="33"/>
      <c r="J2319" s="33"/>
      <c r="K2319" s="33"/>
      <c r="L2319" s="33"/>
      <c r="M2319" s="33"/>
      <c r="N2319" s="33"/>
      <c r="O2319" s="33"/>
      <c r="P2319" s="33"/>
      <c r="Q2319" s="33"/>
      <c r="R2319" s="33"/>
      <c r="S2319" s="33"/>
      <c r="T2319" s="33"/>
      <c r="U2319" s="33"/>
      <c r="V2319" s="33"/>
      <c r="W2319" s="33"/>
      <c r="X2319" s="33"/>
      <c r="Y2319" s="33"/>
      <c r="Z2319" s="33"/>
      <c r="AA2319" s="33"/>
      <c r="AB2319" s="33"/>
    </row>
    <row r="2320" spans="1:28" x14ac:dyDescent="0.15">
      <c r="A2320" s="46" t="s">
        <v>4691</v>
      </c>
      <c r="B2320" s="52" t="s">
        <v>7361</v>
      </c>
      <c r="C2320" s="53" t="s">
        <v>4692</v>
      </c>
      <c r="D2320" s="54" t="s">
        <v>9762</v>
      </c>
      <c r="E2320" s="50">
        <f t="shared" si="79"/>
        <v>31.7260274</v>
      </c>
      <c r="F2320" s="51">
        <f t="shared" si="79"/>
        <v>4.6141141799999996</v>
      </c>
      <c r="H2320" s="33"/>
      <c r="I2320" s="33"/>
      <c r="J2320" s="33"/>
      <c r="K2320" s="33"/>
      <c r="L2320" s="33"/>
      <c r="M2320" s="33"/>
      <c r="N2320" s="33"/>
      <c r="O2320" s="33"/>
      <c r="P2320" s="33"/>
      <c r="Q2320" s="33"/>
      <c r="R2320" s="33"/>
      <c r="S2320" s="33"/>
      <c r="T2320" s="33"/>
      <c r="U2320" s="33"/>
      <c r="V2320" s="33"/>
      <c r="W2320" s="33"/>
      <c r="X2320" s="33"/>
      <c r="Y2320" s="33"/>
      <c r="Z2320" s="33"/>
      <c r="AA2320" s="33"/>
      <c r="AB2320" s="33"/>
    </row>
    <row r="2321" spans="1:28" x14ac:dyDescent="0.15">
      <c r="A2321" s="46" t="s">
        <v>4693</v>
      </c>
      <c r="B2321" s="52" t="s">
        <v>7361</v>
      </c>
      <c r="C2321" s="53" t="s">
        <v>4694</v>
      </c>
      <c r="D2321" s="54" t="s">
        <v>9763</v>
      </c>
      <c r="E2321" s="50">
        <f t="shared" si="79"/>
        <v>31.73972603</v>
      </c>
      <c r="F2321" s="51">
        <f t="shared" si="79"/>
        <v>4.6142639599999997</v>
      </c>
      <c r="H2321" s="33"/>
      <c r="I2321" s="33"/>
      <c r="J2321" s="33"/>
      <c r="K2321" s="33"/>
      <c r="L2321" s="33"/>
      <c r="M2321" s="33"/>
      <c r="N2321" s="33"/>
      <c r="O2321" s="33"/>
      <c r="P2321" s="33"/>
      <c r="Q2321" s="33"/>
      <c r="R2321" s="33"/>
      <c r="S2321" s="33"/>
      <c r="T2321" s="33"/>
      <c r="U2321" s="33"/>
      <c r="V2321" s="33"/>
      <c r="W2321" s="33"/>
      <c r="X2321" s="33"/>
      <c r="Y2321" s="33"/>
      <c r="Z2321" s="33"/>
      <c r="AA2321" s="33"/>
      <c r="AB2321" s="33"/>
    </row>
    <row r="2322" spans="1:28" x14ac:dyDescent="0.15">
      <c r="A2322" s="46" t="s">
        <v>4695</v>
      </c>
      <c r="B2322" s="52" t="s">
        <v>7361</v>
      </c>
      <c r="C2322" s="53" t="s">
        <v>4696</v>
      </c>
      <c r="D2322" s="54" t="s">
        <v>9764</v>
      </c>
      <c r="E2322" s="50">
        <f t="shared" si="79"/>
        <v>31.75342466</v>
      </c>
      <c r="F2322" s="51">
        <f t="shared" si="79"/>
        <v>4.6144127599999996</v>
      </c>
      <c r="H2322" s="33"/>
      <c r="I2322" s="33"/>
      <c r="J2322" s="33"/>
      <c r="K2322" s="33"/>
      <c r="L2322" s="33"/>
      <c r="M2322" s="33"/>
      <c r="N2322" s="33"/>
      <c r="O2322" s="33"/>
      <c r="P2322" s="33"/>
      <c r="Q2322" s="33"/>
      <c r="R2322" s="33"/>
      <c r="S2322" s="33"/>
      <c r="T2322" s="33"/>
      <c r="U2322" s="33"/>
      <c r="V2322" s="33"/>
      <c r="W2322" s="33"/>
      <c r="X2322" s="33"/>
      <c r="Y2322" s="33"/>
      <c r="Z2322" s="33"/>
      <c r="AA2322" s="33"/>
      <c r="AB2322" s="33"/>
    </row>
    <row r="2323" spans="1:28" x14ac:dyDescent="0.15">
      <c r="A2323" s="46" t="s">
        <v>4697</v>
      </c>
      <c r="B2323" s="52" t="s">
        <v>7361</v>
      </c>
      <c r="C2323" s="53" t="s">
        <v>4698</v>
      </c>
      <c r="D2323" s="54" t="s">
        <v>9765</v>
      </c>
      <c r="E2323" s="50">
        <f t="shared" si="79"/>
        <v>31.767123290000001</v>
      </c>
      <c r="F2323" s="51">
        <f t="shared" si="79"/>
        <v>4.6145607100000001</v>
      </c>
      <c r="H2323" s="33"/>
      <c r="I2323" s="33"/>
      <c r="J2323" s="33"/>
      <c r="K2323" s="33"/>
      <c r="L2323" s="33"/>
      <c r="M2323" s="33"/>
      <c r="N2323" s="33"/>
      <c r="O2323" s="33"/>
      <c r="P2323" s="33"/>
      <c r="Q2323" s="33"/>
      <c r="R2323" s="33"/>
      <c r="S2323" s="33"/>
      <c r="T2323" s="33"/>
      <c r="U2323" s="33"/>
      <c r="V2323" s="33"/>
      <c r="W2323" s="33"/>
      <c r="X2323" s="33"/>
      <c r="Y2323" s="33"/>
      <c r="Z2323" s="33"/>
      <c r="AA2323" s="33"/>
      <c r="AB2323" s="33"/>
    </row>
    <row r="2324" spans="1:28" x14ac:dyDescent="0.15">
      <c r="A2324" s="46" t="s">
        <v>4699</v>
      </c>
      <c r="B2324" s="52" t="s">
        <v>7361</v>
      </c>
      <c r="C2324" s="53" t="s">
        <v>4700</v>
      </c>
      <c r="D2324" s="54" t="s">
        <v>9766</v>
      </c>
      <c r="E2324" s="50">
        <f t="shared" si="79"/>
        <v>31.780821920000001</v>
      </c>
      <c r="F2324" s="51">
        <f t="shared" si="79"/>
        <v>4.6147079700000004</v>
      </c>
      <c r="H2324" s="33"/>
      <c r="I2324" s="33"/>
      <c r="J2324" s="33"/>
      <c r="K2324" s="33"/>
      <c r="L2324" s="33"/>
      <c r="M2324" s="33"/>
      <c r="N2324" s="33"/>
      <c r="O2324" s="33"/>
      <c r="P2324" s="33"/>
      <c r="Q2324" s="33"/>
      <c r="R2324" s="33"/>
      <c r="S2324" s="33"/>
      <c r="T2324" s="33"/>
      <c r="U2324" s="33"/>
      <c r="V2324" s="33"/>
      <c r="W2324" s="33"/>
      <c r="X2324" s="33"/>
      <c r="Y2324" s="33"/>
      <c r="Z2324" s="33"/>
      <c r="AA2324" s="33"/>
      <c r="AB2324" s="33"/>
    </row>
    <row r="2325" spans="1:28" x14ac:dyDescent="0.15">
      <c r="A2325" s="46" t="s">
        <v>4701</v>
      </c>
      <c r="B2325" s="52" t="s">
        <v>7361</v>
      </c>
      <c r="C2325" s="53" t="s">
        <v>4702</v>
      </c>
      <c r="D2325" s="54" t="s">
        <v>9767</v>
      </c>
      <c r="E2325" s="50">
        <f t="shared" si="79"/>
        <v>31.794520550000001</v>
      </c>
      <c r="F2325" s="51">
        <f t="shared" si="79"/>
        <v>4.6148546799999997</v>
      </c>
      <c r="H2325" s="33"/>
      <c r="I2325" s="33"/>
      <c r="J2325" s="33"/>
      <c r="K2325" s="33"/>
      <c r="L2325" s="33"/>
      <c r="M2325" s="33"/>
      <c r="N2325" s="33"/>
      <c r="O2325" s="33"/>
      <c r="P2325" s="33"/>
      <c r="Q2325" s="33"/>
      <c r="R2325" s="33"/>
      <c r="S2325" s="33"/>
      <c r="T2325" s="33"/>
      <c r="U2325" s="33"/>
      <c r="V2325" s="33"/>
      <c r="W2325" s="33"/>
      <c r="X2325" s="33"/>
      <c r="Y2325" s="33"/>
      <c r="Z2325" s="33"/>
      <c r="AA2325" s="33"/>
      <c r="AB2325" s="33"/>
    </row>
    <row r="2326" spans="1:28" x14ac:dyDescent="0.15">
      <c r="A2326" s="46" t="s">
        <v>4703</v>
      </c>
      <c r="B2326" s="52" t="s">
        <v>7361</v>
      </c>
      <c r="C2326" s="53" t="s">
        <v>4704</v>
      </c>
      <c r="D2326" s="54" t="s">
        <v>9768</v>
      </c>
      <c r="E2326" s="50">
        <f t="shared" si="79"/>
        <v>31.808219179999998</v>
      </c>
      <c r="F2326" s="51">
        <f t="shared" si="79"/>
        <v>4.6150009799999996</v>
      </c>
      <c r="H2326" s="33"/>
      <c r="I2326" s="33"/>
      <c r="J2326" s="33"/>
      <c r="K2326" s="33"/>
      <c r="L2326" s="33"/>
      <c r="M2326" s="33"/>
      <c r="N2326" s="33"/>
      <c r="O2326" s="33"/>
      <c r="P2326" s="33"/>
      <c r="Q2326" s="33"/>
      <c r="R2326" s="33"/>
      <c r="S2326" s="33"/>
      <c r="T2326" s="33"/>
      <c r="U2326" s="33"/>
      <c r="V2326" s="33"/>
      <c r="W2326" s="33"/>
      <c r="X2326" s="33"/>
      <c r="Y2326" s="33"/>
      <c r="Z2326" s="33"/>
      <c r="AA2326" s="33"/>
      <c r="AB2326" s="33"/>
    </row>
    <row r="2327" spans="1:28" x14ac:dyDescent="0.15">
      <c r="A2327" s="46" t="s">
        <v>4705</v>
      </c>
      <c r="B2327" s="52" t="s">
        <v>7361</v>
      </c>
      <c r="C2327" s="53" t="s">
        <v>4706</v>
      </c>
      <c r="D2327" s="54" t="s">
        <v>9769</v>
      </c>
      <c r="E2327" s="50">
        <f t="shared" si="79"/>
        <v>31.821917809999999</v>
      </c>
      <c r="F2327" s="51">
        <f t="shared" si="79"/>
        <v>4.6151470100000003</v>
      </c>
      <c r="H2327" s="33"/>
      <c r="I2327" s="33"/>
      <c r="J2327" s="33"/>
      <c r="K2327" s="33"/>
      <c r="L2327" s="33"/>
      <c r="M2327" s="33"/>
      <c r="N2327" s="33"/>
      <c r="O2327" s="33"/>
      <c r="P2327" s="33"/>
      <c r="Q2327" s="33"/>
      <c r="R2327" s="33"/>
      <c r="S2327" s="33"/>
      <c r="T2327" s="33"/>
      <c r="U2327" s="33"/>
      <c r="V2327" s="33"/>
      <c r="W2327" s="33"/>
      <c r="X2327" s="33"/>
      <c r="Y2327" s="33"/>
      <c r="Z2327" s="33"/>
      <c r="AA2327" s="33"/>
      <c r="AB2327" s="33"/>
    </row>
    <row r="2328" spans="1:28" x14ac:dyDescent="0.15">
      <c r="A2328" s="46" t="s">
        <v>4707</v>
      </c>
      <c r="B2328" s="52" t="s">
        <v>7361</v>
      </c>
      <c r="C2328" s="53" t="s">
        <v>4708</v>
      </c>
      <c r="D2328" s="54" t="s">
        <v>9770</v>
      </c>
      <c r="E2328" s="50">
        <f t="shared" si="79"/>
        <v>31.835616439999999</v>
      </c>
      <c r="F2328" s="51">
        <f t="shared" si="79"/>
        <v>4.6152929299999998</v>
      </c>
      <c r="H2328" s="33"/>
      <c r="I2328" s="33"/>
      <c r="J2328" s="33"/>
      <c r="K2328" s="33"/>
      <c r="L2328" s="33"/>
      <c r="M2328" s="33"/>
      <c r="N2328" s="33"/>
      <c r="O2328" s="33"/>
      <c r="P2328" s="33"/>
      <c r="Q2328" s="33"/>
      <c r="R2328" s="33"/>
      <c r="S2328" s="33"/>
      <c r="T2328" s="33"/>
      <c r="U2328" s="33"/>
      <c r="V2328" s="33"/>
      <c r="W2328" s="33"/>
      <c r="X2328" s="33"/>
      <c r="Y2328" s="33"/>
      <c r="Z2328" s="33"/>
      <c r="AA2328" s="33"/>
      <c r="AB2328" s="33"/>
    </row>
    <row r="2329" spans="1:28" x14ac:dyDescent="0.15">
      <c r="A2329" s="46" t="s">
        <v>4709</v>
      </c>
      <c r="B2329" s="52" t="s">
        <v>7361</v>
      </c>
      <c r="C2329" s="53" t="s">
        <v>4710</v>
      </c>
      <c r="D2329" s="54" t="s">
        <v>9771</v>
      </c>
      <c r="E2329" s="50">
        <f t="shared" si="79"/>
        <v>31.849315069999999</v>
      </c>
      <c r="F2329" s="51">
        <f t="shared" si="79"/>
        <v>4.6154388700000002</v>
      </c>
      <c r="H2329" s="33"/>
      <c r="I2329" s="33"/>
      <c r="J2329" s="33"/>
      <c r="K2329" s="33"/>
      <c r="L2329" s="33"/>
      <c r="M2329" s="33"/>
      <c r="N2329" s="33"/>
      <c r="O2329" s="33"/>
      <c r="P2329" s="33"/>
      <c r="Q2329" s="33"/>
      <c r="R2329" s="33"/>
      <c r="S2329" s="33"/>
      <c r="T2329" s="33"/>
      <c r="U2329" s="33"/>
      <c r="V2329" s="33"/>
      <c r="W2329" s="33"/>
      <c r="X2329" s="33"/>
      <c r="Y2329" s="33"/>
      <c r="Z2329" s="33"/>
      <c r="AA2329" s="33"/>
      <c r="AB2329" s="33"/>
    </row>
    <row r="2330" spans="1:28" x14ac:dyDescent="0.15">
      <c r="A2330" s="46" t="s">
        <v>4711</v>
      </c>
      <c r="B2330" s="52" t="s">
        <v>7361</v>
      </c>
      <c r="C2330" s="53" t="s">
        <v>4712</v>
      </c>
      <c r="D2330" s="54" t="s">
        <v>9772</v>
      </c>
      <c r="E2330" s="50">
        <f t="shared" si="79"/>
        <v>31.8630137</v>
      </c>
      <c r="F2330" s="51">
        <f t="shared" si="79"/>
        <v>4.6155849800000004</v>
      </c>
      <c r="H2330" s="33"/>
      <c r="I2330" s="33"/>
      <c r="J2330" s="33"/>
      <c r="K2330" s="33"/>
      <c r="L2330" s="33"/>
      <c r="M2330" s="33"/>
      <c r="N2330" s="33"/>
      <c r="O2330" s="33"/>
      <c r="P2330" s="33"/>
      <c r="Q2330" s="33"/>
      <c r="R2330" s="33"/>
      <c r="S2330" s="33"/>
      <c r="T2330" s="33"/>
      <c r="U2330" s="33"/>
      <c r="V2330" s="33"/>
      <c r="W2330" s="33"/>
      <c r="X2330" s="33"/>
      <c r="Y2330" s="33"/>
      <c r="Z2330" s="33"/>
      <c r="AA2330" s="33"/>
      <c r="AB2330" s="33"/>
    </row>
    <row r="2331" spans="1:28" x14ac:dyDescent="0.15">
      <c r="A2331" s="46" t="s">
        <v>4713</v>
      </c>
      <c r="B2331" s="52" t="s">
        <v>7361</v>
      </c>
      <c r="C2331" s="53" t="s">
        <v>4714</v>
      </c>
      <c r="D2331" s="54" t="s">
        <v>9773</v>
      </c>
      <c r="E2331" s="50">
        <f t="shared" si="79"/>
        <v>31.87671233</v>
      </c>
      <c r="F2331" s="51">
        <f t="shared" si="79"/>
        <v>4.6157313999999996</v>
      </c>
      <c r="H2331" s="33"/>
      <c r="I2331" s="33"/>
      <c r="J2331" s="33"/>
      <c r="K2331" s="33"/>
      <c r="L2331" s="33"/>
      <c r="M2331" s="33"/>
      <c r="N2331" s="33"/>
      <c r="O2331" s="33"/>
      <c r="P2331" s="33"/>
      <c r="Q2331" s="33"/>
      <c r="R2331" s="33"/>
      <c r="S2331" s="33"/>
      <c r="T2331" s="33"/>
      <c r="U2331" s="33"/>
      <c r="V2331" s="33"/>
      <c r="W2331" s="33"/>
      <c r="X2331" s="33"/>
      <c r="Y2331" s="33"/>
      <c r="Z2331" s="33"/>
      <c r="AA2331" s="33"/>
      <c r="AB2331" s="33"/>
    </row>
    <row r="2332" spans="1:28" x14ac:dyDescent="0.15">
      <c r="A2332" s="46" t="s">
        <v>4715</v>
      </c>
      <c r="B2332" s="52" t="s">
        <v>7361</v>
      </c>
      <c r="C2332" s="53" t="s">
        <v>4716</v>
      </c>
      <c r="D2332" s="54" t="s">
        <v>9774</v>
      </c>
      <c r="E2332" s="50">
        <f t="shared" si="79"/>
        <v>31.890410960000001</v>
      </c>
      <c r="F2332" s="51">
        <f t="shared" si="79"/>
        <v>4.6158782699999996</v>
      </c>
      <c r="H2332" s="33"/>
      <c r="I2332" s="33"/>
      <c r="J2332" s="33"/>
      <c r="K2332" s="33"/>
      <c r="L2332" s="33"/>
      <c r="M2332" s="33"/>
      <c r="N2332" s="33"/>
      <c r="O2332" s="33"/>
      <c r="P2332" s="33"/>
      <c r="Q2332" s="33"/>
      <c r="R2332" s="33"/>
      <c r="S2332" s="33"/>
      <c r="T2332" s="33"/>
      <c r="U2332" s="33"/>
      <c r="V2332" s="33"/>
      <c r="W2332" s="33"/>
      <c r="X2332" s="33"/>
      <c r="Y2332" s="33"/>
      <c r="Z2332" s="33"/>
      <c r="AA2332" s="33"/>
      <c r="AB2332" s="33"/>
    </row>
    <row r="2333" spans="1:28" x14ac:dyDescent="0.15">
      <c r="A2333" s="46" t="s">
        <v>4717</v>
      </c>
      <c r="B2333" s="52" t="s">
        <v>7361</v>
      </c>
      <c r="C2333" s="53" t="s">
        <v>4718</v>
      </c>
      <c r="D2333" s="54" t="s">
        <v>9775</v>
      </c>
      <c r="E2333" s="50">
        <f t="shared" si="79"/>
        <v>31.904109590000001</v>
      </c>
      <c r="F2333" s="51">
        <f t="shared" si="79"/>
        <v>4.6160257500000004</v>
      </c>
      <c r="H2333" s="33"/>
      <c r="I2333" s="33"/>
      <c r="J2333" s="33"/>
      <c r="K2333" s="33"/>
      <c r="L2333" s="33"/>
      <c r="M2333" s="33"/>
      <c r="N2333" s="33"/>
      <c r="O2333" s="33"/>
      <c r="P2333" s="33"/>
      <c r="Q2333" s="33"/>
      <c r="R2333" s="33"/>
      <c r="S2333" s="33"/>
      <c r="T2333" s="33"/>
      <c r="U2333" s="33"/>
      <c r="V2333" s="33"/>
      <c r="W2333" s="33"/>
      <c r="X2333" s="33"/>
      <c r="Y2333" s="33"/>
      <c r="Z2333" s="33"/>
      <c r="AA2333" s="33"/>
      <c r="AB2333" s="33"/>
    </row>
    <row r="2334" spans="1:28" x14ac:dyDescent="0.15">
      <c r="A2334" s="46" t="s">
        <v>4719</v>
      </c>
      <c r="B2334" s="52" t="s">
        <v>7361</v>
      </c>
      <c r="C2334" s="53" t="s">
        <v>4720</v>
      </c>
      <c r="D2334" s="54" t="s">
        <v>9776</v>
      </c>
      <c r="E2334" s="50">
        <f t="shared" si="79"/>
        <v>31.917808220000001</v>
      </c>
      <c r="F2334" s="51">
        <f t="shared" si="79"/>
        <v>4.6161739600000002</v>
      </c>
      <c r="H2334" s="33"/>
      <c r="I2334" s="33"/>
      <c r="J2334" s="33"/>
      <c r="K2334" s="33"/>
      <c r="L2334" s="33"/>
      <c r="M2334" s="33"/>
      <c r="N2334" s="33"/>
      <c r="O2334" s="33"/>
      <c r="P2334" s="33"/>
      <c r="Q2334" s="33"/>
      <c r="R2334" s="33"/>
      <c r="S2334" s="33"/>
      <c r="T2334" s="33"/>
      <c r="U2334" s="33"/>
      <c r="V2334" s="33"/>
      <c r="W2334" s="33"/>
      <c r="X2334" s="33"/>
      <c r="Y2334" s="33"/>
      <c r="Z2334" s="33"/>
      <c r="AA2334" s="33"/>
      <c r="AB2334" s="33"/>
    </row>
    <row r="2335" spans="1:28" x14ac:dyDescent="0.15">
      <c r="A2335" s="46" t="s">
        <v>4721</v>
      </c>
      <c r="B2335" s="52" t="s">
        <v>7361</v>
      </c>
      <c r="C2335" s="53" t="s">
        <v>4722</v>
      </c>
      <c r="D2335" s="54" t="s">
        <v>9777</v>
      </c>
      <c r="E2335" s="50">
        <f t="shared" si="79"/>
        <v>31.931506850000002</v>
      </c>
      <c r="F2335" s="51">
        <f t="shared" si="79"/>
        <v>4.61632307</v>
      </c>
      <c r="H2335" s="33"/>
      <c r="I2335" s="33"/>
      <c r="J2335" s="33"/>
      <c r="K2335" s="33"/>
      <c r="L2335" s="33"/>
      <c r="M2335" s="33"/>
      <c r="N2335" s="33"/>
      <c r="O2335" s="33"/>
      <c r="P2335" s="33"/>
      <c r="Q2335" s="33"/>
      <c r="R2335" s="33"/>
      <c r="S2335" s="33"/>
      <c r="T2335" s="33"/>
      <c r="U2335" s="33"/>
      <c r="V2335" s="33"/>
      <c r="W2335" s="33"/>
      <c r="X2335" s="33"/>
      <c r="Y2335" s="33"/>
      <c r="Z2335" s="33"/>
      <c r="AA2335" s="33"/>
      <c r="AB2335" s="33"/>
    </row>
    <row r="2336" spans="1:28" x14ac:dyDescent="0.15">
      <c r="A2336" s="46" t="s">
        <v>4723</v>
      </c>
      <c r="B2336" s="52" t="s">
        <v>7361</v>
      </c>
      <c r="C2336" s="53" t="s">
        <v>4724</v>
      </c>
      <c r="D2336" s="54" t="s">
        <v>9778</v>
      </c>
      <c r="E2336" s="50">
        <f t="shared" si="79"/>
        <v>31.945205479999998</v>
      </c>
      <c r="F2336" s="51">
        <f t="shared" si="79"/>
        <v>4.6164732099999997</v>
      </c>
      <c r="H2336" s="33"/>
      <c r="I2336" s="33"/>
      <c r="J2336" s="33"/>
      <c r="K2336" s="33"/>
      <c r="L2336" s="33"/>
      <c r="M2336" s="33"/>
      <c r="N2336" s="33"/>
      <c r="O2336" s="33"/>
      <c r="P2336" s="33"/>
      <c r="Q2336" s="33"/>
      <c r="R2336" s="33"/>
      <c r="S2336" s="33"/>
      <c r="T2336" s="33"/>
      <c r="U2336" s="33"/>
      <c r="V2336" s="33"/>
      <c r="W2336" s="33"/>
      <c r="X2336" s="33"/>
      <c r="Y2336" s="33"/>
      <c r="Z2336" s="33"/>
      <c r="AA2336" s="33"/>
      <c r="AB2336" s="33"/>
    </row>
    <row r="2337" spans="1:28" x14ac:dyDescent="0.15">
      <c r="A2337" s="46" t="s">
        <v>4725</v>
      </c>
      <c r="B2337" s="52" t="s">
        <v>7361</v>
      </c>
      <c r="C2337" s="53" t="s">
        <v>4726</v>
      </c>
      <c r="D2337" s="54" t="s">
        <v>9779</v>
      </c>
      <c r="E2337" s="50">
        <f t="shared" si="79"/>
        <v>31.958904109999999</v>
      </c>
      <c r="F2337" s="51">
        <f t="shared" si="79"/>
        <v>4.6166245200000002</v>
      </c>
      <c r="H2337" s="33"/>
      <c r="I2337" s="33"/>
      <c r="J2337" s="33"/>
      <c r="K2337" s="33"/>
      <c r="L2337" s="33"/>
      <c r="M2337" s="33"/>
      <c r="N2337" s="33"/>
      <c r="O2337" s="33"/>
      <c r="P2337" s="33"/>
      <c r="Q2337" s="33"/>
      <c r="R2337" s="33"/>
      <c r="S2337" s="33"/>
      <c r="T2337" s="33"/>
      <c r="U2337" s="33"/>
      <c r="V2337" s="33"/>
      <c r="W2337" s="33"/>
      <c r="X2337" s="33"/>
      <c r="Y2337" s="33"/>
      <c r="Z2337" s="33"/>
      <c r="AA2337" s="33"/>
      <c r="AB2337" s="33"/>
    </row>
    <row r="2338" spans="1:28" x14ac:dyDescent="0.15">
      <c r="A2338" s="46" t="s">
        <v>4727</v>
      </c>
      <c r="B2338" s="52" t="s">
        <v>7361</v>
      </c>
      <c r="C2338" s="53" t="s">
        <v>4728</v>
      </c>
      <c r="D2338" s="54" t="s">
        <v>9780</v>
      </c>
      <c r="E2338" s="50">
        <f t="shared" si="79"/>
        <v>31.972602739999999</v>
      </c>
      <c r="F2338" s="51">
        <f t="shared" si="79"/>
        <v>4.6167771499999999</v>
      </c>
      <c r="H2338" s="33"/>
      <c r="I2338" s="33"/>
      <c r="J2338" s="33"/>
      <c r="K2338" s="33"/>
      <c r="L2338" s="33"/>
      <c r="M2338" s="33"/>
      <c r="N2338" s="33"/>
      <c r="O2338" s="33"/>
      <c r="P2338" s="33"/>
      <c r="Q2338" s="33"/>
      <c r="R2338" s="33"/>
      <c r="S2338" s="33"/>
      <c r="T2338" s="33"/>
      <c r="U2338" s="33"/>
      <c r="V2338" s="33"/>
      <c r="W2338" s="33"/>
      <c r="X2338" s="33"/>
      <c r="Y2338" s="33"/>
      <c r="Z2338" s="33"/>
      <c r="AA2338" s="33"/>
      <c r="AB2338" s="33"/>
    </row>
    <row r="2339" spans="1:28" x14ac:dyDescent="0.15">
      <c r="A2339" s="46" t="s">
        <v>4729</v>
      </c>
      <c r="B2339" s="52" t="s">
        <v>7361</v>
      </c>
      <c r="C2339" s="53" t="s">
        <v>4730</v>
      </c>
      <c r="D2339" s="54" t="s">
        <v>9781</v>
      </c>
      <c r="E2339" s="50">
        <f t="shared" si="79"/>
        <v>31.98630137</v>
      </c>
      <c r="F2339" s="51">
        <f t="shared" si="79"/>
        <v>4.6169312500000004</v>
      </c>
      <c r="H2339" s="33"/>
      <c r="I2339" s="33"/>
      <c r="J2339" s="33"/>
      <c r="K2339" s="33"/>
      <c r="L2339" s="33"/>
      <c r="M2339" s="33"/>
      <c r="N2339" s="33"/>
      <c r="O2339" s="33"/>
      <c r="P2339" s="33"/>
      <c r="Q2339" s="33"/>
      <c r="R2339" s="33"/>
      <c r="S2339" s="33"/>
      <c r="T2339" s="33"/>
      <c r="U2339" s="33"/>
      <c r="V2339" s="33"/>
      <c r="W2339" s="33"/>
      <c r="X2339" s="33"/>
      <c r="Y2339" s="33"/>
      <c r="Z2339" s="33"/>
      <c r="AA2339" s="33"/>
      <c r="AB2339" s="33"/>
    </row>
    <row r="2340" spans="1:28" x14ac:dyDescent="0.15">
      <c r="A2340" s="46" t="s">
        <v>4731</v>
      </c>
      <c r="B2340" s="52" t="s">
        <v>7361</v>
      </c>
      <c r="C2340" s="53" t="s">
        <v>4732</v>
      </c>
      <c r="D2340" s="54" t="s">
        <v>9782</v>
      </c>
      <c r="E2340" s="50">
        <f t="shared" si="79"/>
        <v>32</v>
      </c>
      <c r="F2340" s="51">
        <f t="shared" si="79"/>
        <v>4.61708695</v>
      </c>
      <c r="H2340" s="33"/>
      <c r="I2340" s="33"/>
      <c r="J2340" s="33"/>
      <c r="K2340" s="33"/>
      <c r="L2340" s="33"/>
      <c r="M2340" s="33"/>
      <c r="N2340" s="33"/>
      <c r="O2340" s="33"/>
      <c r="P2340" s="33"/>
      <c r="Q2340" s="33"/>
      <c r="R2340" s="33"/>
      <c r="S2340" s="33"/>
      <c r="T2340" s="33"/>
      <c r="U2340" s="33"/>
      <c r="V2340" s="33"/>
      <c r="W2340" s="33"/>
      <c r="X2340" s="33"/>
      <c r="Y2340" s="33"/>
      <c r="Z2340" s="33"/>
      <c r="AA2340" s="33"/>
      <c r="AB2340" s="33"/>
    </row>
    <row r="2341" spans="1:28" x14ac:dyDescent="0.15">
      <c r="A2341" s="46" t="s">
        <v>4733</v>
      </c>
      <c r="B2341" s="52" t="s">
        <v>7361</v>
      </c>
      <c r="C2341" s="53" t="s">
        <v>4734</v>
      </c>
      <c r="D2341" s="54" t="s">
        <v>9783</v>
      </c>
      <c r="E2341" s="50">
        <f t="shared" si="79"/>
        <v>32.01369863</v>
      </c>
      <c r="F2341" s="51">
        <f t="shared" si="79"/>
        <v>4.6172418999999998</v>
      </c>
      <c r="H2341" s="33"/>
      <c r="I2341" s="33"/>
      <c r="J2341" s="33"/>
      <c r="K2341" s="33"/>
      <c r="L2341" s="33"/>
      <c r="M2341" s="33"/>
      <c r="N2341" s="33"/>
      <c r="O2341" s="33"/>
      <c r="P2341" s="33"/>
      <c r="Q2341" s="33"/>
      <c r="R2341" s="33"/>
      <c r="S2341" s="33"/>
      <c r="T2341" s="33"/>
      <c r="U2341" s="33"/>
      <c r="V2341" s="33"/>
      <c r="W2341" s="33"/>
      <c r="X2341" s="33"/>
      <c r="Y2341" s="33"/>
      <c r="Z2341" s="33"/>
      <c r="AA2341" s="33"/>
      <c r="AB2341" s="33"/>
    </row>
    <row r="2342" spans="1:28" x14ac:dyDescent="0.15">
      <c r="A2342" s="46" t="s">
        <v>4735</v>
      </c>
      <c r="B2342" s="52" t="s">
        <v>7361</v>
      </c>
      <c r="C2342" s="53" t="s">
        <v>4736</v>
      </c>
      <c r="D2342" s="54" t="s">
        <v>9784</v>
      </c>
      <c r="E2342" s="50">
        <f t="shared" si="79"/>
        <v>32.027397260000001</v>
      </c>
      <c r="F2342" s="51">
        <f t="shared" si="79"/>
        <v>4.6173937499999997</v>
      </c>
      <c r="H2342" s="33"/>
      <c r="I2342" s="33"/>
      <c r="J2342" s="33"/>
      <c r="K2342" s="33"/>
      <c r="L2342" s="33"/>
      <c r="M2342" s="33"/>
      <c r="N2342" s="33"/>
      <c r="O2342" s="33"/>
      <c r="P2342" s="33"/>
      <c r="Q2342" s="33"/>
      <c r="R2342" s="33"/>
      <c r="S2342" s="33"/>
      <c r="T2342" s="33"/>
      <c r="U2342" s="33"/>
      <c r="V2342" s="33"/>
      <c r="W2342" s="33"/>
      <c r="X2342" s="33"/>
      <c r="Y2342" s="33"/>
      <c r="Z2342" s="33"/>
      <c r="AA2342" s="33"/>
      <c r="AB2342" s="33"/>
    </row>
    <row r="2343" spans="1:28" x14ac:dyDescent="0.15">
      <c r="A2343" s="46" t="s">
        <v>4737</v>
      </c>
      <c r="B2343" s="52" t="s">
        <v>7361</v>
      </c>
      <c r="C2343" s="53" t="s">
        <v>4738</v>
      </c>
      <c r="D2343" s="54" t="s">
        <v>9785</v>
      </c>
      <c r="E2343" s="50">
        <f t="shared" si="79"/>
        <v>32.041095890000001</v>
      </c>
      <c r="F2343" s="51">
        <f t="shared" si="79"/>
        <v>4.6175426100000001</v>
      </c>
      <c r="H2343" s="33"/>
      <c r="I2343" s="33"/>
      <c r="J2343" s="33"/>
      <c r="K2343" s="33"/>
      <c r="L2343" s="33"/>
      <c r="M2343" s="33"/>
      <c r="N2343" s="33"/>
      <c r="O2343" s="33"/>
      <c r="P2343" s="33"/>
      <c r="Q2343" s="33"/>
      <c r="R2343" s="33"/>
      <c r="S2343" s="33"/>
      <c r="T2343" s="33"/>
      <c r="U2343" s="33"/>
      <c r="V2343" s="33"/>
      <c r="W2343" s="33"/>
      <c r="X2343" s="33"/>
      <c r="Y2343" s="33"/>
      <c r="Z2343" s="33"/>
      <c r="AA2343" s="33"/>
      <c r="AB2343" s="33"/>
    </row>
    <row r="2344" spans="1:28" x14ac:dyDescent="0.15">
      <c r="A2344" s="46" t="s">
        <v>4739</v>
      </c>
      <c r="B2344" s="52" t="s">
        <v>7361</v>
      </c>
      <c r="C2344" s="53" t="s">
        <v>4740</v>
      </c>
      <c r="D2344" s="54" t="s">
        <v>9786</v>
      </c>
      <c r="E2344" s="50">
        <f t="shared" si="79"/>
        <v>32.054794520000002</v>
      </c>
      <c r="F2344" s="51">
        <f t="shared" si="79"/>
        <v>4.6176886399999999</v>
      </c>
      <c r="H2344" s="33"/>
      <c r="I2344" s="33"/>
      <c r="J2344" s="33"/>
      <c r="K2344" s="33"/>
      <c r="L2344" s="33"/>
      <c r="M2344" s="33"/>
      <c r="N2344" s="33"/>
      <c r="O2344" s="33"/>
      <c r="P2344" s="33"/>
      <c r="Q2344" s="33"/>
      <c r="R2344" s="33"/>
      <c r="S2344" s="33"/>
      <c r="T2344" s="33"/>
      <c r="U2344" s="33"/>
      <c r="V2344" s="33"/>
      <c r="W2344" s="33"/>
      <c r="X2344" s="33"/>
      <c r="Y2344" s="33"/>
      <c r="Z2344" s="33"/>
      <c r="AA2344" s="33"/>
      <c r="AB2344" s="33"/>
    </row>
    <row r="2345" spans="1:28" x14ac:dyDescent="0.15">
      <c r="A2345" s="46" t="s">
        <v>4741</v>
      </c>
      <c r="B2345" s="52" t="s">
        <v>7361</v>
      </c>
      <c r="C2345" s="53" t="s">
        <v>4742</v>
      </c>
      <c r="D2345" s="54" t="s">
        <v>9787</v>
      </c>
      <c r="E2345" s="50">
        <f t="shared" si="79"/>
        <v>32.068493150000002</v>
      </c>
      <c r="F2345" s="51">
        <f t="shared" si="79"/>
        <v>4.6178319500000002</v>
      </c>
      <c r="H2345" s="33"/>
      <c r="I2345" s="33"/>
      <c r="J2345" s="33"/>
      <c r="K2345" s="33"/>
      <c r="L2345" s="33"/>
      <c r="M2345" s="33"/>
      <c r="N2345" s="33"/>
      <c r="O2345" s="33"/>
      <c r="P2345" s="33"/>
      <c r="Q2345" s="33"/>
      <c r="R2345" s="33"/>
      <c r="S2345" s="33"/>
      <c r="T2345" s="33"/>
      <c r="U2345" s="33"/>
      <c r="V2345" s="33"/>
      <c r="W2345" s="33"/>
      <c r="X2345" s="33"/>
      <c r="Y2345" s="33"/>
      <c r="Z2345" s="33"/>
      <c r="AA2345" s="33"/>
      <c r="AB2345" s="33"/>
    </row>
    <row r="2346" spans="1:28" x14ac:dyDescent="0.15">
      <c r="A2346" s="46" t="s">
        <v>4743</v>
      </c>
      <c r="B2346" s="52" t="s">
        <v>7361</v>
      </c>
      <c r="C2346" s="53" t="s">
        <v>4744</v>
      </c>
      <c r="D2346" s="54" t="s">
        <v>9788</v>
      </c>
      <c r="E2346" s="50">
        <f t="shared" si="79"/>
        <v>32.082191780000002</v>
      </c>
      <c r="F2346" s="51">
        <f t="shared" si="79"/>
        <v>4.6179726800000003</v>
      </c>
      <c r="H2346" s="33"/>
      <c r="I2346" s="33"/>
      <c r="J2346" s="33"/>
      <c r="K2346" s="33"/>
      <c r="L2346" s="33"/>
      <c r="M2346" s="33"/>
      <c r="N2346" s="33"/>
      <c r="O2346" s="33"/>
      <c r="P2346" s="33"/>
      <c r="Q2346" s="33"/>
      <c r="R2346" s="33"/>
      <c r="S2346" s="33"/>
      <c r="T2346" s="33"/>
      <c r="U2346" s="33"/>
      <c r="V2346" s="33"/>
      <c r="W2346" s="33"/>
      <c r="X2346" s="33"/>
      <c r="Y2346" s="33"/>
      <c r="Z2346" s="33"/>
      <c r="AA2346" s="33"/>
      <c r="AB2346" s="33"/>
    </row>
    <row r="2347" spans="1:28" x14ac:dyDescent="0.15">
      <c r="A2347" s="46" t="s">
        <v>4745</v>
      </c>
      <c r="B2347" s="52" t="s">
        <v>7361</v>
      </c>
      <c r="C2347" s="53" t="s">
        <v>4746</v>
      </c>
      <c r="D2347" s="54" t="s">
        <v>9789</v>
      </c>
      <c r="E2347" s="50">
        <f t="shared" si="79"/>
        <v>32.095890410000003</v>
      </c>
      <c r="F2347" s="51">
        <f t="shared" si="79"/>
        <v>4.61811097</v>
      </c>
      <c r="H2347" s="33"/>
      <c r="I2347" s="33"/>
      <c r="J2347" s="33"/>
      <c r="K2347" s="33"/>
      <c r="L2347" s="33"/>
      <c r="M2347" s="33"/>
      <c r="N2347" s="33"/>
      <c r="O2347" s="33"/>
      <c r="P2347" s="33"/>
      <c r="Q2347" s="33"/>
      <c r="R2347" s="33"/>
      <c r="S2347" s="33"/>
      <c r="T2347" s="33"/>
      <c r="U2347" s="33"/>
      <c r="V2347" s="33"/>
      <c r="W2347" s="33"/>
      <c r="X2347" s="33"/>
      <c r="Y2347" s="33"/>
      <c r="Z2347" s="33"/>
      <c r="AA2347" s="33"/>
      <c r="AB2347" s="33"/>
    </row>
    <row r="2348" spans="1:28" x14ac:dyDescent="0.15">
      <c r="A2348" s="46" t="s">
        <v>4747</v>
      </c>
      <c r="B2348" s="52" t="s">
        <v>7361</v>
      </c>
      <c r="C2348" s="53" t="s">
        <v>4748</v>
      </c>
      <c r="D2348" s="54" t="s">
        <v>9790</v>
      </c>
      <c r="E2348" s="50">
        <f t="shared" ref="E2348:F2377" si="80">VALUE(C2348)</f>
        <v>32.109589040000003</v>
      </c>
      <c r="F2348" s="51">
        <f t="shared" si="80"/>
        <v>4.6182469499999996</v>
      </c>
      <c r="H2348" s="33"/>
      <c r="I2348" s="33"/>
      <c r="J2348" s="33"/>
      <c r="K2348" s="33"/>
      <c r="L2348" s="33"/>
      <c r="M2348" s="33"/>
      <c r="N2348" s="33"/>
      <c r="O2348" s="33"/>
      <c r="P2348" s="33"/>
      <c r="Q2348" s="33"/>
      <c r="R2348" s="33"/>
      <c r="S2348" s="33"/>
      <c r="T2348" s="33"/>
      <c r="U2348" s="33"/>
      <c r="V2348" s="33"/>
      <c r="W2348" s="33"/>
      <c r="X2348" s="33"/>
      <c r="Y2348" s="33"/>
      <c r="Z2348" s="33"/>
      <c r="AA2348" s="33"/>
      <c r="AB2348" s="33"/>
    </row>
    <row r="2349" spans="1:28" x14ac:dyDescent="0.15">
      <c r="A2349" s="46" t="s">
        <v>4749</v>
      </c>
      <c r="B2349" s="52" t="s">
        <v>7361</v>
      </c>
      <c r="C2349" s="53" t="s">
        <v>4750</v>
      </c>
      <c r="D2349" s="54" t="s">
        <v>9791</v>
      </c>
      <c r="E2349" s="50">
        <f t="shared" si="80"/>
        <v>32.123287670000003</v>
      </c>
      <c r="F2349" s="51">
        <f t="shared" si="80"/>
        <v>4.61838075</v>
      </c>
      <c r="H2349" s="33"/>
      <c r="I2349" s="33"/>
      <c r="J2349" s="33"/>
      <c r="K2349" s="33"/>
      <c r="L2349" s="33"/>
      <c r="M2349" s="33"/>
      <c r="N2349" s="33"/>
      <c r="O2349" s="33"/>
      <c r="P2349" s="33"/>
      <c r="Q2349" s="33"/>
      <c r="R2349" s="33"/>
      <c r="S2349" s="33"/>
      <c r="T2349" s="33"/>
      <c r="U2349" s="33"/>
      <c r="V2349" s="33"/>
      <c r="W2349" s="33"/>
      <c r="X2349" s="33"/>
      <c r="Y2349" s="33"/>
      <c r="Z2349" s="33"/>
      <c r="AA2349" s="33"/>
      <c r="AB2349" s="33"/>
    </row>
    <row r="2350" spans="1:28" x14ac:dyDescent="0.15">
      <c r="A2350" s="46" t="s">
        <v>4751</v>
      </c>
      <c r="B2350" s="52" t="s">
        <v>7361</v>
      </c>
      <c r="C2350" s="53" t="s">
        <v>4752</v>
      </c>
      <c r="D2350" s="54" t="s">
        <v>9792</v>
      </c>
      <c r="E2350" s="50">
        <f t="shared" si="80"/>
        <v>32.136986299999997</v>
      </c>
      <c r="F2350" s="51">
        <f t="shared" si="80"/>
        <v>4.6185125100000004</v>
      </c>
      <c r="H2350" s="33"/>
      <c r="I2350" s="33"/>
      <c r="J2350" s="33"/>
      <c r="K2350" s="33"/>
      <c r="L2350" s="33"/>
      <c r="M2350" s="33"/>
      <c r="N2350" s="33"/>
      <c r="O2350" s="33"/>
      <c r="P2350" s="33"/>
      <c r="Q2350" s="33"/>
      <c r="R2350" s="33"/>
      <c r="S2350" s="33"/>
      <c r="T2350" s="33"/>
      <c r="U2350" s="33"/>
      <c r="V2350" s="33"/>
      <c r="W2350" s="33"/>
      <c r="X2350" s="33"/>
      <c r="Y2350" s="33"/>
      <c r="Z2350" s="33"/>
      <c r="AA2350" s="33"/>
      <c r="AB2350" s="33"/>
    </row>
    <row r="2351" spans="1:28" x14ac:dyDescent="0.15">
      <c r="A2351" s="46" t="s">
        <v>4753</v>
      </c>
      <c r="B2351" s="52" t="s">
        <v>7361</v>
      </c>
      <c r="C2351" s="53" t="s">
        <v>4754</v>
      </c>
      <c r="D2351" s="54" t="s">
        <v>9793</v>
      </c>
      <c r="E2351" s="50">
        <f t="shared" si="80"/>
        <v>32.150684929999997</v>
      </c>
      <c r="F2351" s="51">
        <f t="shared" si="80"/>
        <v>4.6186423599999999</v>
      </c>
      <c r="H2351" s="33"/>
      <c r="I2351" s="33"/>
      <c r="J2351" s="33"/>
      <c r="K2351" s="33"/>
      <c r="L2351" s="33"/>
      <c r="M2351" s="33"/>
      <c r="N2351" s="33"/>
      <c r="O2351" s="33"/>
      <c r="P2351" s="33"/>
      <c r="Q2351" s="33"/>
      <c r="R2351" s="33"/>
      <c r="S2351" s="33"/>
      <c r="T2351" s="33"/>
      <c r="U2351" s="33"/>
      <c r="V2351" s="33"/>
      <c r="W2351" s="33"/>
      <c r="X2351" s="33"/>
      <c r="Y2351" s="33"/>
      <c r="Z2351" s="33"/>
      <c r="AA2351" s="33"/>
      <c r="AB2351" s="33"/>
    </row>
    <row r="2352" spans="1:28" x14ac:dyDescent="0.15">
      <c r="A2352" s="46" t="s">
        <v>4755</v>
      </c>
      <c r="B2352" s="52" t="s">
        <v>7361</v>
      </c>
      <c r="C2352" s="53" t="s">
        <v>4756</v>
      </c>
      <c r="D2352" s="54" t="s">
        <v>9794</v>
      </c>
      <c r="E2352" s="50">
        <f t="shared" si="80"/>
        <v>32.164383559999997</v>
      </c>
      <c r="F2352" s="51">
        <f t="shared" si="80"/>
        <v>4.6187704299999996</v>
      </c>
      <c r="H2352" s="33"/>
      <c r="I2352" s="33"/>
      <c r="J2352" s="33"/>
      <c r="K2352" s="33"/>
      <c r="L2352" s="33"/>
      <c r="M2352" s="33"/>
      <c r="N2352" s="33"/>
      <c r="O2352" s="33"/>
      <c r="P2352" s="33"/>
      <c r="Q2352" s="33"/>
      <c r="R2352" s="33"/>
      <c r="S2352" s="33"/>
      <c r="T2352" s="33"/>
      <c r="U2352" s="33"/>
      <c r="V2352" s="33"/>
      <c r="W2352" s="33"/>
      <c r="X2352" s="33"/>
      <c r="Y2352" s="33"/>
      <c r="Z2352" s="33"/>
      <c r="AA2352" s="33"/>
      <c r="AB2352" s="33"/>
    </row>
    <row r="2353" spans="1:28" x14ac:dyDescent="0.15">
      <c r="A2353" s="46" t="s">
        <v>4757</v>
      </c>
      <c r="B2353" s="52" t="s">
        <v>7361</v>
      </c>
      <c r="C2353" s="53" t="s">
        <v>4758</v>
      </c>
      <c r="D2353" s="54" t="s">
        <v>9795</v>
      </c>
      <c r="E2353" s="50">
        <f t="shared" si="80"/>
        <v>32.178082189999998</v>
      </c>
      <c r="F2353" s="51">
        <f t="shared" si="80"/>
        <v>4.6188968499999996</v>
      </c>
      <c r="H2353" s="33"/>
      <c r="I2353" s="33"/>
      <c r="J2353" s="33"/>
      <c r="K2353" s="33"/>
      <c r="L2353" s="33"/>
      <c r="M2353" s="33"/>
      <c r="N2353" s="33"/>
      <c r="O2353" s="33"/>
      <c r="P2353" s="33"/>
      <c r="Q2353" s="33"/>
      <c r="R2353" s="33"/>
      <c r="S2353" s="33"/>
      <c r="T2353" s="33"/>
      <c r="U2353" s="33"/>
      <c r="V2353" s="33"/>
      <c r="W2353" s="33"/>
      <c r="X2353" s="33"/>
      <c r="Y2353" s="33"/>
      <c r="Z2353" s="33"/>
      <c r="AA2353" s="33"/>
      <c r="AB2353" s="33"/>
    </row>
    <row r="2354" spans="1:28" x14ac:dyDescent="0.15">
      <c r="A2354" s="46" t="s">
        <v>4759</v>
      </c>
      <c r="B2354" s="52" t="s">
        <v>7361</v>
      </c>
      <c r="C2354" s="53" t="s">
        <v>4760</v>
      </c>
      <c r="D2354" s="54" t="s">
        <v>9796</v>
      </c>
      <c r="E2354" s="50">
        <f t="shared" si="80"/>
        <v>32.191780819999998</v>
      </c>
      <c r="F2354" s="51">
        <f t="shared" si="80"/>
        <v>4.6190217699999998</v>
      </c>
      <c r="H2354" s="33"/>
      <c r="I2354" s="33"/>
      <c r="J2354" s="33"/>
      <c r="K2354" s="33"/>
      <c r="L2354" s="33"/>
      <c r="M2354" s="33"/>
      <c r="N2354" s="33"/>
      <c r="O2354" s="33"/>
      <c r="P2354" s="33"/>
      <c r="Q2354" s="33"/>
      <c r="R2354" s="33"/>
      <c r="S2354" s="33"/>
      <c r="T2354" s="33"/>
      <c r="U2354" s="33"/>
      <c r="V2354" s="33"/>
      <c r="W2354" s="33"/>
      <c r="X2354" s="33"/>
      <c r="Y2354" s="33"/>
      <c r="Z2354" s="33"/>
      <c r="AA2354" s="33"/>
      <c r="AB2354" s="33"/>
    </row>
    <row r="2355" spans="1:28" x14ac:dyDescent="0.15">
      <c r="A2355" s="46" t="s">
        <v>4761</v>
      </c>
      <c r="B2355" s="52" t="s">
        <v>7361</v>
      </c>
      <c r="C2355" s="53" t="s">
        <v>4762</v>
      </c>
      <c r="D2355" s="54" t="s">
        <v>9797</v>
      </c>
      <c r="E2355" s="50">
        <f t="shared" si="80"/>
        <v>32.205479449999999</v>
      </c>
      <c r="F2355" s="51">
        <f t="shared" si="80"/>
        <v>4.6191453100000004</v>
      </c>
      <c r="H2355" s="33"/>
      <c r="I2355" s="33"/>
      <c r="J2355" s="33"/>
      <c r="K2355" s="33"/>
      <c r="L2355" s="33"/>
      <c r="M2355" s="33"/>
      <c r="N2355" s="33"/>
      <c r="O2355" s="33"/>
      <c r="P2355" s="33"/>
      <c r="Q2355" s="33"/>
      <c r="R2355" s="33"/>
      <c r="S2355" s="33"/>
      <c r="T2355" s="33"/>
      <c r="U2355" s="33"/>
      <c r="V2355" s="33"/>
      <c r="W2355" s="33"/>
      <c r="X2355" s="33"/>
      <c r="Y2355" s="33"/>
      <c r="Z2355" s="33"/>
      <c r="AA2355" s="33"/>
      <c r="AB2355" s="33"/>
    </row>
    <row r="2356" spans="1:28" x14ac:dyDescent="0.15">
      <c r="A2356" s="46" t="s">
        <v>4763</v>
      </c>
      <c r="B2356" s="52" t="s">
        <v>7361</v>
      </c>
      <c r="C2356" s="53" t="s">
        <v>4764</v>
      </c>
      <c r="D2356" s="54" t="s">
        <v>9798</v>
      </c>
      <c r="E2356" s="50">
        <f t="shared" si="80"/>
        <v>32.219178079999999</v>
      </c>
      <c r="F2356" s="51">
        <f t="shared" si="80"/>
        <v>4.6192675999999997</v>
      </c>
      <c r="H2356" s="33"/>
      <c r="I2356" s="33"/>
      <c r="J2356" s="33"/>
      <c r="K2356" s="33"/>
      <c r="L2356" s="33"/>
      <c r="M2356" s="33"/>
      <c r="N2356" s="33"/>
      <c r="O2356" s="33"/>
      <c r="P2356" s="33"/>
      <c r="Q2356" s="33"/>
      <c r="R2356" s="33"/>
      <c r="S2356" s="33"/>
      <c r="T2356" s="33"/>
      <c r="U2356" s="33"/>
      <c r="V2356" s="33"/>
      <c r="W2356" s="33"/>
      <c r="X2356" s="33"/>
      <c r="Y2356" s="33"/>
      <c r="Z2356" s="33"/>
      <c r="AA2356" s="33"/>
      <c r="AB2356" s="33"/>
    </row>
    <row r="2357" spans="1:28" x14ac:dyDescent="0.15">
      <c r="A2357" s="46" t="s">
        <v>4765</v>
      </c>
      <c r="B2357" s="52" t="s">
        <v>7361</v>
      </c>
      <c r="C2357" s="53" t="s">
        <v>4766</v>
      </c>
      <c r="D2357" s="54" t="s">
        <v>9799</v>
      </c>
      <c r="E2357" s="50">
        <f t="shared" si="80"/>
        <v>32.232876709999999</v>
      </c>
      <c r="F2357" s="51">
        <f t="shared" si="80"/>
        <v>4.6193887800000004</v>
      </c>
      <c r="H2357" s="33"/>
      <c r="I2357" s="33"/>
      <c r="J2357" s="33"/>
      <c r="K2357" s="33"/>
      <c r="L2357" s="33"/>
      <c r="M2357" s="33"/>
      <c r="N2357" s="33"/>
      <c r="O2357" s="33"/>
      <c r="P2357" s="33"/>
      <c r="Q2357" s="33"/>
      <c r="R2357" s="33"/>
      <c r="S2357" s="33"/>
      <c r="T2357" s="33"/>
      <c r="U2357" s="33"/>
      <c r="V2357" s="33"/>
      <c r="W2357" s="33"/>
      <c r="X2357" s="33"/>
      <c r="Y2357" s="33"/>
      <c r="Z2357" s="33"/>
      <c r="AA2357" s="33"/>
      <c r="AB2357" s="33"/>
    </row>
    <row r="2358" spans="1:28" x14ac:dyDescent="0.15">
      <c r="A2358" s="46" t="s">
        <v>4767</v>
      </c>
      <c r="B2358" s="52" t="s">
        <v>7361</v>
      </c>
      <c r="C2358" s="53" t="s">
        <v>4768</v>
      </c>
      <c r="D2358" s="54" t="s">
        <v>9800</v>
      </c>
      <c r="E2358" s="50">
        <f t="shared" si="80"/>
        <v>32.24657534</v>
      </c>
      <c r="F2358" s="51">
        <f t="shared" si="80"/>
        <v>4.6195089899999999</v>
      </c>
      <c r="H2358" s="33"/>
      <c r="I2358" s="33"/>
      <c r="J2358" s="33"/>
      <c r="K2358" s="33"/>
      <c r="L2358" s="33"/>
      <c r="M2358" s="33"/>
      <c r="N2358" s="33"/>
      <c r="O2358" s="33"/>
      <c r="P2358" s="33"/>
      <c r="Q2358" s="33"/>
      <c r="R2358" s="33"/>
      <c r="S2358" s="33"/>
      <c r="T2358" s="33"/>
      <c r="U2358" s="33"/>
      <c r="V2358" s="33"/>
      <c r="W2358" s="33"/>
      <c r="X2358" s="33"/>
      <c r="Y2358" s="33"/>
      <c r="Z2358" s="33"/>
      <c r="AA2358" s="33"/>
      <c r="AB2358" s="33"/>
    </row>
    <row r="2359" spans="1:28" x14ac:dyDescent="0.15">
      <c r="A2359" s="46" t="s">
        <v>4769</v>
      </c>
      <c r="B2359" s="52" t="s">
        <v>7361</v>
      </c>
      <c r="C2359" s="53" t="s">
        <v>4770</v>
      </c>
      <c r="D2359" s="54" t="s">
        <v>9801</v>
      </c>
      <c r="E2359" s="50">
        <f t="shared" si="80"/>
        <v>32.26027397</v>
      </c>
      <c r="F2359" s="51">
        <f t="shared" si="80"/>
        <v>4.6196283500000002</v>
      </c>
      <c r="H2359" s="33"/>
      <c r="I2359" s="33"/>
      <c r="J2359" s="33"/>
      <c r="K2359" s="33"/>
      <c r="L2359" s="33"/>
      <c r="M2359" s="33"/>
      <c r="N2359" s="33"/>
      <c r="O2359" s="33"/>
      <c r="P2359" s="33"/>
      <c r="Q2359" s="33"/>
      <c r="R2359" s="33"/>
      <c r="S2359" s="33"/>
      <c r="T2359" s="33"/>
      <c r="U2359" s="33"/>
      <c r="V2359" s="33"/>
      <c r="W2359" s="33"/>
      <c r="X2359" s="33"/>
      <c r="Y2359" s="33"/>
      <c r="Z2359" s="33"/>
      <c r="AA2359" s="33"/>
      <c r="AB2359" s="33"/>
    </row>
    <row r="2360" spans="1:28" x14ac:dyDescent="0.15">
      <c r="A2360" s="46" t="s">
        <v>4771</v>
      </c>
      <c r="B2360" s="52" t="s">
        <v>7361</v>
      </c>
      <c r="C2360" s="53" t="s">
        <v>4772</v>
      </c>
      <c r="D2360" s="54" t="s">
        <v>9802</v>
      </c>
      <c r="E2360" s="50">
        <f t="shared" si="80"/>
        <v>32.2739726</v>
      </c>
      <c r="F2360" s="51">
        <f t="shared" si="80"/>
        <v>4.6197470000000003</v>
      </c>
      <c r="H2360" s="33"/>
      <c r="I2360" s="33"/>
      <c r="J2360" s="33"/>
      <c r="K2360" s="33"/>
      <c r="L2360" s="33"/>
      <c r="M2360" s="33"/>
      <c r="N2360" s="33"/>
      <c r="O2360" s="33"/>
      <c r="P2360" s="33"/>
      <c r="Q2360" s="33"/>
      <c r="R2360" s="33"/>
      <c r="S2360" s="33"/>
      <c r="T2360" s="33"/>
      <c r="U2360" s="33"/>
      <c r="V2360" s="33"/>
      <c r="W2360" s="33"/>
      <c r="X2360" s="33"/>
      <c r="Y2360" s="33"/>
      <c r="Z2360" s="33"/>
      <c r="AA2360" s="33"/>
      <c r="AB2360" s="33"/>
    </row>
    <row r="2361" spans="1:28" x14ac:dyDescent="0.15">
      <c r="A2361" s="46" t="s">
        <v>4773</v>
      </c>
      <c r="B2361" s="52" t="s">
        <v>7361</v>
      </c>
      <c r="C2361" s="53" t="s">
        <v>4774</v>
      </c>
      <c r="D2361" s="54" t="s">
        <v>9803</v>
      </c>
      <c r="E2361" s="50">
        <f t="shared" si="80"/>
        <v>32.287671230000001</v>
      </c>
      <c r="F2361" s="51">
        <f t="shared" si="80"/>
        <v>4.6198650700000004</v>
      </c>
      <c r="H2361" s="33"/>
      <c r="I2361" s="33"/>
      <c r="J2361" s="33"/>
      <c r="K2361" s="33"/>
      <c r="L2361" s="33"/>
      <c r="M2361" s="33"/>
      <c r="N2361" s="33"/>
      <c r="O2361" s="33"/>
      <c r="P2361" s="33"/>
      <c r="Q2361" s="33"/>
      <c r="R2361" s="33"/>
      <c r="S2361" s="33"/>
      <c r="T2361" s="33"/>
      <c r="U2361" s="33"/>
      <c r="V2361" s="33"/>
      <c r="W2361" s="33"/>
      <c r="X2361" s="33"/>
      <c r="Y2361" s="33"/>
      <c r="Z2361" s="33"/>
      <c r="AA2361" s="33"/>
      <c r="AB2361" s="33"/>
    </row>
    <row r="2362" spans="1:28" x14ac:dyDescent="0.15">
      <c r="A2362" s="46" t="s">
        <v>4775</v>
      </c>
      <c r="B2362" s="52" t="s">
        <v>7361</v>
      </c>
      <c r="C2362" s="53" t="s">
        <v>4776</v>
      </c>
      <c r="D2362" s="54" t="s">
        <v>9804</v>
      </c>
      <c r="E2362" s="50">
        <f t="shared" si="80"/>
        <v>32.301369860000001</v>
      </c>
      <c r="F2362" s="51">
        <f t="shared" si="80"/>
        <v>4.6199827000000004</v>
      </c>
      <c r="H2362" s="33"/>
      <c r="I2362" s="33"/>
      <c r="J2362" s="33"/>
      <c r="K2362" s="33"/>
      <c r="L2362" s="33"/>
      <c r="M2362" s="33"/>
      <c r="N2362" s="33"/>
      <c r="O2362" s="33"/>
      <c r="P2362" s="33"/>
      <c r="Q2362" s="33"/>
      <c r="R2362" s="33"/>
      <c r="S2362" s="33"/>
      <c r="T2362" s="33"/>
      <c r="U2362" s="33"/>
      <c r="V2362" s="33"/>
      <c r="W2362" s="33"/>
      <c r="X2362" s="33"/>
      <c r="Y2362" s="33"/>
      <c r="Z2362" s="33"/>
      <c r="AA2362" s="33"/>
      <c r="AB2362" s="33"/>
    </row>
    <row r="2363" spans="1:28" x14ac:dyDescent="0.15">
      <c r="A2363" s="46" t="s">
        <v>4777</v>
      </c>
      <c r="B2363" s="52" t="s">
        <v>7361</v>
      </c>
      <c r="C2363" s="53" t="s">
        <v>4778</v>
      </c>
      <c r="D2363" s="54" t="s">
        <v>9805</v>
      </c>
      <c r="E2363" s="50">
        <f t="shared" si="80"/>
        <v>32.315068490000002</v>
      </c>
      <c r="F2363" s="51">
        <f t="shared" si="80"/>
        <v>4.6201000099999998</v>
      </c>
      <c r="H2363" s="33"/>
      <c r="I2363" s="33"/>
      <c r="J2363" s="33"/>
      <c r="K2363" s="33"/>
      <c r="L2363" s="33"/>
      <c r="M2363" s="33"/>
      <c r="N2363" s="33"/>
      <c r="O2363" s="33"/>
      <c r="P2363" s="33"/>
      <c r="Q2363" s="33"/>
      <c r="R2363" s="33"/>
      <c r="S2363" s="33"/>
      <c r="T2363" s="33"/>
      <c r="U2363" s="33"/>
      <c r="V2363" s="33"/>
      <c r="W2363" s="33"/>
      <c r="X2363" s="33"/>
      <c r="Y2363" s="33"/>
      <c r="Z2363" s="33"/>
      <c r="AA2363" s="33"/>
      <c r="AB2363" s="33"/>
    </row>
    <row r="2364" spans="1:28" x14ac:dyDescent="0.15">
      <c r="A2364" s="46" t="s">
        <v>4779</v>
      </c>
      <c r="B2364" s="52" t="s">
        <v>7361</v>
      </c>
      <c r="C2364" s="53" t="s">
        <v>4780</v>
      </c>
      <c r="D2364" s="54" t="s">
        <v>9806</v>
      </c>
      <c r="E2364" s="50">
        <f t="shared" si="80"/>
        <v>32.328767120000002</v>
      </c>
      <c r="F2364" s="51">
        <f t="shared" si="80"/>
        <v>4.6202171500000002</v>
      </c>
      <c r="H2364" s="33"/>
      <c r="I2364" s="33"/>
      <c r="J2364" s="33"/>
      <c r="K2364" s="33"/>
      <c r="L2364" s="33"/>
      <c r="M2364" s="33"/>
      <c r="N2364" s="33"/>
      <c r="O2364" s="33"/>
      <c r="P2364" s="33"/>
      <c r="Q2364" s="33"/>
      <c r="R2364" s="33"/>
      <c r="S2364" s="33"/>
      <c r="T2364" s="33"/>
      <c r="U2364" s="33"/>
      <c r="V2364" s="33"/>
      <c r="W2364" s="33"/>
      <c r="X2364" s="33"/>
      <c r="Y2364" s="33"/>
      <c r="Z2364" s="33"/>
      <c r="AA2364" s="33"/>
      <c r="AB2364" s="33"/>
    </row>
    <row r="2365" spans="1:28" x14ac:dyDescent="0.15">
      <c r="A2365" s="46" t="s">
        <v>4781</v>
      </c>
      <c r="B2365" s="52" t="s">
        <v>7361</v>
      </c>
      <c r="C2365" s="53" t="s">
        <v>4782</v>
      </c>
      <c r="D2365" s="54" t="s">
        <v>9807</v>
      </c>
      <c r="E2365" s="50">
        <f t="shared" si="80"/>
        <v>32.342465750000002</v>
      </c>
      <c r="F2365" s="51">
        <f t="shared" si="80"/>
        <v>4.62033424</v>
      </c>
      <c r="H2365" s="33"/>
      <c r="I2365" s="33"/>
      <c r="J2365" s="33"/>
      <c r="K2365" s="33"/>
      <c r="L2365" s="33"/>
      <c r="M2365" s="33"/>
      <c r="N2365" s="33"/>
      <c r="O2365" s="33"/>
      <c r="P2365" s="33"/>
      <c r="Q2365" s="33"/>
      <c r="R2365" s="33"/>
      <c r="S2365" s="33"/>
      <c r="T2365" s="33"/>
      <c r="U2365" s="33"/>
      <c r="V2365" s="33"/>
      <c r="W2365" s="33"/>
      <c r="X2365" s="33"/>
      <c r="Y2365" s="33"/>
      <c r="Z2365" s="33"/>
      <c r="AA2365" s="33"/>
      <c r="AB2365" s="33"/>
    </row>
    <row r="2366" spans="1:28" x14ac:dyDescent="0.15">
      <c r="A2366" s="46" t="s">
        <v>4783</v>
      </c>
      <c r="B2366" s="52" t="s">
        <v>7361</v>
      </c>
      <c r="C2366" s="53" t="s">
        <v>4784</v>
      </c>
      <c r="D2366" s="54" t="s">
        <v>9808</v>
      </c>
      <c r="E2366" s="50">
        <f t="shared" si="80"/>
        <v>32.356164380000003</v>
      </c>
      <c r="F2366" s="51">
        <f t="shared" si="80"/>
        <v>4.6204514300000001</v>
      </c>
      <c r="H2366" s="33"/>
      <c r="I2366" s="33"/>
      <c r="J2366" s="33"/>
      <c r="K2366" s="33"/>
      <c r="L2366" s="33"/>
      <c r="M2366" s="33"/>
      <c r="N2366" s="33"/>
      <c r="O2366" s="33"/>
      <c r="P2366" s="33"/>
      <c r="Q2366" s="33"/>
      <c r="R2366" s="33"/>
      <c r="S2366" s="33"/>
      <c r="T2366" s="33"/>
      <c r="U2366" s="33"/>
      <c r="V2366" s="33"/>
      <c r="W2366" s="33"/>
      <c r="X2366" s="33"/>
      <c r="Y2366" s="33"/>
      <c r="Z2366" s="33"/>
      <c r="AA2366" s="33"/>
      <c r="AB2366" s="33"/>
    </row>
    <row r="2367" spans="1:28" x14ac:dyDescent="0.15">
      <c r="A2367" s="46" t="s">
        <v>4785</v>
      </c>
      <c r="B2367" s="52" t="s">
        <v>7361</v>
      </c>
      <c r="C2367" s="53" t="s">
        <v>4786</v>
      </c>
      <c r="D2367" s="54" t="s">
        <v>9809</v>
      </c>
      <c r="E2367" s="50">
        <f t="shared" si="80"/>
        <v>32.369863010000003</v>
      </c>
      <c r="F2367" s="51">
        <f t="shared" si="80"/>
        <v>4.6205688299999998</v>
      </c>
      <c r="H2367" s="33"/>
      <c r="I2367" s="33"/>
      <c r="J2367" s="33"/>
      <c r="K2367" s="33"/>
      <c r="L2367" s="33"/>
      <c r="M2367" s="33"/>
      <c r="N2367" s="33"/>
      <c r="O2367" s="33"/>
      <c r="P2367" s="33"/>
      <c r="Q2367" s="33"/>
      <c r="R2367" s="33"/>
      <c r="S2367" s="33"/>
      <c r="T2367" s="33"/>
      <c r="U2367" s="33"/>
      <c r="V2367" s="33"/>
      <c r="W2367" s="33"/>
      <c r="X2367" s="33"/>
      <c r="Y2367" s="33"/>
      <c r="Z2367" s="33"/>
      <c r="AA2367" s="33"/>
      <c r="AB2367" s="33"/>
    </row>
    <row r="2368" spans="1:28" x14ac:dyDescent="0.15">
      <c r="A2368" s="46" t="s">
        <v>4787</v>
      </c>
      <c r="B2368" s="52" t="s">
        <v>7361</v>
      </c>
      <c r="C2368" s="53" t="s">
        <v>4788</v>
      </c>
      <c r="D2368" s="54" t="s">
        <v>9810</v>
      </c>
      <c r="E2368" s="50">
        <f t="shared" si="80"/>
        <v>32.383561640000003</v>
      </c>
      <c r="F2368" s="51">
        <f t="shared" si="80"/>
        <v>4.62068659</v>
      </c>
      <c r="H2368" s="33"/>
      <c r="I2368" s="33"/>
      <c r="J2368" s="33"/>
      <c r="K2368" s="33"/>
      <c r="L2368" s="33"/>
      <c r="M2368" s="33"/>
      <c r="N2368" s="33"/>
      <c r="O2368" s="33"/>
      <c r="P2368" s="33"/>
      <c r="Q2368" s="33"/>
      <c r="R2368" s="33"/>
      <c r="S2368" s="33"/>
      <c r="T2368" s="33"/>
      <c r="U2368" s="33"/>
      <c r="V2368" s="33"/>
      <c r="W2368" s="33"/>
      <c r="X2368" s="33"/>
      <c r="Y2368" s="33"/>
      <c r="Z2368" s="33"/>
      <c r="AA2368" s="33"/>
      <c r="AB2368" s="33"/>
    </row>
    <row r="2369" spans="1:28" x14ac:dyDescent="0.15">
      <c r="A2369" s="46" t="s">
        <v>4789</v>
      </c>
      <c r="B2369" s="52" t="s">
        <v>7361</v>
      </c>
      <c r="C2369" s="53" t="s">
        <v>4790</v>
      </c>
      <c r="D2369" s="54" t="s">
        <v>9811</v>
      </c>
      <c r="E2369" s="50">
        <f t="shared" si="80"/>
        <v>32.397260269999997</v>
      </c>
      <c r="F2369" s="51">
        <f t="shared" si="80"/>
        <v>4.6208048399999999</v>
      </c>
      <c r="H2369" s="33"/>
      <c r="I2369" s="33"/>
      <c r="J2369" s="33"/>
      <c r="K2369" s="33"/>
      <c r="L2369" s="33"/>
      <c r="M2369" s="33"/>
      <c r="N2369" s="33"/>
      <c r="O2369" s="33"/>
      <c r="P2369" s="33"/>
      <c r="Q2369" s="33"/>
      <c r="R2369" s="33"/>
      <c r="S2369" s="33"/>
      <c r="T2369" s="33"/>
      <c r="U2369" s="33"/>
      <c r="V2369" s="33"/>
      <c r="W2369" s="33"/>
      <c r="X2369" s="33"/>
      <c r="Y2369" s="33"/>
      <c r="Z2369" s="33"/>
      <c r="AA2369" s="33"/>
      <c r="AB2369" s="33"/>
    </row>
    <row r="2370" spans="1:28" x14ac:dyDescent="0.15">
      <c r="A2370" s="46" t="s">
        <v>4791</v>
      </c>
      <c r="B2370" s="52" t="s">
        <v>7361</v>
      </c>
      <c r="C2370" s="53" t="s">
        <v>4792</v>
      </c>
      <c r="D2370" s="54" t="s">
        <v>9812</v>
      </c>
      <c r="E2370" s="50">
        <f t="shared" si="80"/>
        <v>32.410958899999997</v>
      </c>
      <c r="F2370" s="51">
        <f t="shared" si="80"/>
        <v>4.6209237099999996</v>
      </c>
      <c r="H2370" s="33"/>
      <c r="I2370" s="33"/>
      <c r="J2370" s="33"/>
      <c r="K2370" s="33"/>
      <c r="L2370" s="33"/>
      <c r="M2370" s="33"/>
      <c r="N2370" s="33"/>
      <c r="O2370" s="33"/>
      <c r="P2370" s="33"/>
      <c r="Q2370" s="33"/>
      <c r="R2370" s="33"/>
      <c r="S2370" s="33"/>
      <c r="T2370" s="33"/>
      <c r="U2370" s="33"/>
      <c r="V2370" s="33"/>
      <c r="W2370" s="33"/>
      <c r="X2370" s="33"/>
      <c r="Y2370" s="33"/>
      <c r="Z2370" s="33"/>
      <c r="AA2370" s="33"/>
      <c r="AB2370" s="33"/>
    </row>
    <row r="2371" spans="1:28" x14ac:dyDescent="0.15">
      <c r="A2371" s="46" t="s">
        <v>4793</v>
      </c>
      <c r="B2371" s="52" t="s">
        <v>7361</v>
      </c>
      <c r="C2371" s="53" t="s">
        <v>4794</v>
      </c>
      <c r="D2371" s="54" t="s">
        <v>9813</v>
      </c>
      <c r="E2371" s="50">
        <f t="shared" si="80"/>
        <v>32.424657529999998</v>
      </c>
      <c r="F2371" s="51">
        <f t="shared" si="80"/>
        <v>4.6210433399999999</v>
      </c>
      <c r="H2371" s="33"/>
      <c r="I2371" s="33"/>
      <c r="J2371" s="33"/>
      <c r="K2371" s="33"/>
      <c r="L2371" s="33"/>
      <c r="M2371" s="33"/>
      <c r="N2371" s="33"/>
      <c r="O2371" s="33"/>
      <c r="P2371" s="33"/>
      <c r="Q2371" s="33"/>
      <c r="R2371" s="33"/>
      <c r="S2371" s="33"/>
      <c r="T2371" s="33"/>
      <c r="U2371" s="33"/>
      <c r="V2371" s="33"/>
      <c r="W2371" s="33"/>
      <c r="X2371" s="33"/>
      <c r="Y2371" s="33"/>
      <c r="Z2371" s="33"/>
      <c r="AA2371" s="33"/>
      <c r="AB2371" s="33"/>
    </row>
    <row r="2372" spans="1:28" x14ac:dyDescent="0.15">
      <c r="A2372" s="46" t="s">
        <v>4795</v>
      </c>
      <c r="B2372" s="52" t="s">
        <v>7361</v>
      </c>
      <c r="C2372" s="53" t="s">
        <v>4796</v>
      </c>
      <c r="D2372" s="54" t="s">
        <v>9814</v>
      </c>
      <c r="E2372" s="50">
        <f t="shared" si="80"/>
        <v>32.438356159999998</v>
      </c>
      <c r="F2372" s="51">
        <f t="shared" si="80"/>
        <v>4.6211638600000002</v>
      </c>
      <c r="H2372" s="33"/>
      <c r="I2372" s="33"/>
      <c r="J2372" s="33"/>
      <c r="K2372" s="33"/>
      <c r="L2372" s="33"/>
      <c r="M2372" s="33"/>
      <c r="N2372" s="33"/>
      <c r="O2372" s="33"/>
      <c r="P2372" s="33"/>
      <c r="Q2372" s="33"/>
      <c r="R2372" s="33"/>
      <c r="S2372" s="33"/>
      <c r="T2372" s="33"/>
      <c r="U2372" s="33"/>
      <c r="V2372" s="33"/>
      <c r="W2372" s="33"/>
      <c r="X2372" s="33"/>
      <c r="Y2372" s="33"/>
      <c r="Z2372" s="33"/>
      <c r="AA2372" s="33"/>
      <c r="AB2372" s="33"/>
    </row>
    <row r="2373" spans="1:28" x14ac:dyDescent="0.15">
      <c r="A2373" s="46" t="s">
        <v>4797</v>
      </c>
      <c r="B2373" s="52" t="s">
        <v>7361</v>
      </c>
      <c r="C2373" s="53" t="s">
        <v>4798</v>
      </c>
      <c r="D2373" s="54" t="s">
        <v>9815</v>
      </c>
      <c r="E2373" s="50">
        <f t="shared" si="80"/>
        <v>32.452054789999998</v>
      </c>
      <c r="F2373" s="51">
        <f t="shared" si="80"/>
        <v>4.6212853899999997</v>
      </c>
      <c r="H2373" s="33"/>
      <c r="I2373" s="33"/>
      <c r="J2373" s="33"/>
      <c r="K2373" s="33"/>
      <c r="L2373" s="33"/>
      <c r="M2373" s="33"/>
      <c r="N2373" s="33"/>
      <c r="O2373" s="33"/>
      <c r="P2373" s="33"/>
      <c r="Q2373" s="33"/>
      <c r="R2373" s="33"/>
      <c r="S2373" s="33"/>
      <c r="T2373" s="33"/>
      <c r="U2373" s="33"/>
      <c r="V2373" s="33"/>
      <c r="W2373" s="33"/>
      <c r="X2373" s="33"/>
      <c r="Y2373" s="33"/>
      <c r="Z2373" s="33"/>
      <c r="AA2373" s="33"/>
      <c r="AB2373" s="33"/>
    </row>
    <row r="2374" spans="1:28" x14ac:dyDescent="0.15">
      <c r="A2374" s="46" t="s">
        <v>4799</v>
      </c>
      <c r="B2374" s="52" t="s">
        <v>7361</v>
      </c>
      <c r="C2374" s="53" t="s">
        <v>4800</v>
      </c>
      <c r="D2374" s="54" t="s">
        <v>9816</v>
      </c>
      <c r="E2374" s="50">
        <f t="shared" si="80"/>
        <v>32.465753419999999</v>
      </c>
      <c r="F2374" s="51">
        <f t="shared" si="80"/>
        <v>4.6214080900000001</v>
      </c>
      <c r="H2374" s="33"/>
      <c r="I2374" s="33"/>
      <c r="J2374" s="33"/>
      <c r="K2374" s="33"/>
      <c r="L2374" s="33"/>
      <c r="M2374" s="33"/>
      <c r="N2374" s="33"/>
      <c r="O2374" s="33"/>
      <c r="P2374" s="33"/>
      <c r="Q2374" s="33"/>
      <c r="R2374" s="33"/>
      <c r="S2374" s="33"/>
      <c r="T2374" s="33"/>
      <c r="U2374" s="33"/>
      <c r="V2374" s="33"/>
      <c r="W2374" s="33"/>
      <c r="X2374" s="33"/>
      <c r="Y2374" s="33"/>
      <c r="Z2374" s="33"/>
      <c r="AA2374" s="33"/>
      <c r="AB2374" s="33"/>
    </row>
    <row r="2375" spans="1:28" x14ac:dyDescent="0.15">
      <c r="A2375" s="46" t="s">
        <v>4801</v>
      </c>
      <c r="B2375" s="52" t="s">
        <v>7361</v>
      </c>
      <c r="C2375" s="53" t="s">
        <v>4802</v>
      </c>
      <c r="D2375" s="54" t="s">
        <v>9817</v>
      </c>
      <c r="E2375" s="50">
        <f t="shared" si="80"/>
        <v>32.479452049999999</v>
      </c>
      <c r="F2375" s="51">
        <f t="shared" si="80"/>
        <v>4.6215320699999998</v>
      </c>
      <c r="H2375" s="33"/>
      <c r="I2375" s="33"/>
      <c r="J2375" s="33"/>
      <c r="K2375" s="33"/>
      <c r="L2375" s="33"/>
      <c r="M2375" s="33"/>
      <c r="N2375" s="33"/>
      <c r="O2375" s="33"/>
      <c r="P2375" s="33"/>
      <c r="Q2375" s="33"/>
      <c r="R2375" s="33"/>
      <c r="S2375" s="33"/>
      <c r="T2375" s="33"/>
      <c r="U2375" s="33"/>
      <c r="V2375" s="33"/>
      <c r="W2375" s="33"/>
      <c r="X2375" s="33"/>
      <c r="Y2375" s="33"/>
      <c r="Z2375" s="33"/>
      <c r="AA2375" s="33"/>
      <c r="AB2375" s="33"/>
    </row>
    <row r="2376" spans="1:28" x14ac:dyDescent="0.15">
      <c r="A2376" s="46" t="s">
        <v>4803</v>
      </c>
      <c r="B2376" s="52" t="s">
        <v>7361</v>
      </c>
      <c r="C2376" s="53" t="s">
        <v>4804</v>
      </c>
      <c r="D2376" s="54" t="s">
        <v>9818</v>
      </c>
      <c r="E2376" s="50">
        <f t="shared" si="80"/>
        <v>32.493150679999999</v>
      </c>
      <c r="F2376" s="51">
        <f t="shared" si="80"/>
        <v>4.6216574699999997</v>
      </c>
      <c r="H2376" s="33"/>
      <c r="I2376" s="33"/>
      <c r="J2376" s="33"/>
      <c r="K2376" s="33"/>
      <c r="L2376" s="33"/>
      <c r="M2376" s="33"/>
      <c r="N2376" s="33"/>
      <c r="O2376" s="33"/>
      <c r="P2376" s="33"/>
      <c r="Q2376" s="33"/>
      <c r="R2376" s="33"/>
      <c r="S2376" s="33"/>
      <c r="T2376" s="33"/>
      <c r="U2376" s="33"/>
      <c r="V2376" s="33"/>
      <c r="W2376" s="33"/>
      <c r="X2376" s="33"/>
      <c r="Y2376" s="33"/>
      <c r="Z2376" s="33"/>
      <c r="AA2376" s="33"/>
      <c r="AB2376" s="33"/>
    </row>
    <row r="2377" spans="1:28" x14ac:dyDescent="0.15">
      <c r="A2377" s="46" t="s">
        <v>4805</v>
      </c>
      <c r="B2377" s="52" t="s">
        <v>7361</v>
      </c>
      <c r="C2377" s="53" t="s">
        <v>4806</v>
      </c>
      <c r="D2377" s="54" t="s">
        <v>9819</v>
      </c>
      <c r="E2377" s="50">
        <f t="shared" si="80"/>
        <v>32.506849320000001</v>
      </c>
      <c r="F2377" s="51">
        <f t="shared" si="80"/>
        <v>4.6217838599999999</v>
      </c>
      <c r="H2377" s="33"/>
      <c r="I2377" s="33"/>
      <c r="J2377" s="33"/>
      <c r="K2377" s="33"/>
      <c r="L2377" s="33"/>
      <c r="M2377" s="33"/>
      <c r="N2377" s="33"/>
      <c r="O2377" s="33"/>
      <c r="P2377" s="33"/>
      <c r="Q2377" s="33"/>
      <c r="R2377" s="33"/>
      <c r="S2377" s="33"/>
      <c r="T2377" s="33"/>
      <c r="U2377" s="33"/>
      <c r="V2377" s="33"/>
      <c r="W2377" s="33"/>
      <c r="X2377" s="33"/>
      <c r="Y2377" s="33"/>
      <c r="Z2377" s="33"/>
      <c r="AA2377" s="33"/>
      <c r="AB2377" s="33"/>
    </row>
    <row r="2378" spans="1:28" x14ac:dyDescent="0.15">
      <c r="A2378" s="46" t="s">
        <v>4807</v>
      </c>
      <c r="B2378" s="52" t="s">
        <v>7361</v>
      </c>
      <c r="C2378" s="53" t="s">
        <v>4808</v>
      </c>
      <c r="D2378" s="54" t="s">
        <v>9820</v>
      </c>
      <c r="E2378" s="50">
        <f t="shared" ref="E2378:F2408" si="81">VALUE(C2378)</f>
        <v>32.520547950000001</v>
      </c>
      <c r="F2378" s="51">
        <f t="shared" si="81"/>
        <v>4.62190791</v>
      </c>
      <c r="H2378" s="33"/>
      <c r="I2378" s="33"/>
      <c r="J2378" s="33"/>
      <c r="K2378" s="33"/>
      <c r="L2378" s="33"/>
      <c r="M2378" s="33"/>
      <c r="N2378" s="33"/>
      <c r="O2378" s="33"/>
      <c r="P2378" s="33"/>
      <c r="Q2378" s="33"/>
      <c r="R2378" s="33"/>
      <c r="S2378" s="33"/>
      <c r="T2378" s="33"/>
      <c r="U2378" s="33"/>
      <c r="V2378" s="33"/>
      <c r="W2378" s="33"/>
      <c r="X2378" s="33"/>
      <c r="Y2378" s="33"/>
      <c r="Z2378" s="33"/>
      <c r="AA2378" s="33"/>
      <c r="AB2378" s="33"/>
    </row>
    <row r="2379" spans="1:28" x14ac:dyDescent="0.15">
      <c r="A2379" s="46" t="s">
        <v>4809</v>
      </c>
      <c r="B2379" s="52" t="s">
        <v>7361</v>
      </c>
      <c r="C2379" s="53" t="s">
        <v>4810</v>
      </c>
      <c r="D2379" s="54" t="s">
        <v>9821</v>
      </c>
      <c r="E2379" s="50">
        <f t="shared" si="81"/>
        <v>32.534246580000001</v>
      </c>
      <c r="F2379" s="51">
        <f t="shared" si="81"/>
        <v>4.6220291600000003</v>
      </c>
      <c r="H2379" s="33"/>
      <c r="I2379" s="33"/>
      <c r="J2379" s="33"/>
      <c r="K2379" s="33"/>
      <c r="L2379" s="33"/>
      <c r="M2379" s="33"/>
      <c r="N2379" s="33"/>
      <c r="O2379" s="33"/>
      <c r="P2379" s="33"/>
      <c r="Q2379" s="33"/>
      <c r="R2379" s="33"/>
      <c r="S2379" s="33"/>
      <c r="T2379" s="33"/>
      <c r="U2379" s="33"/>
      <c r="V2379" s="33"/>
      <c r="W2379" s="33"/>
      <c r="X2379" s="33"/>
      <c r="Y2379" s="33"/>
      <c r="Z2379" s="33"/>
      <c r="AA2379" s="33"/>
      <c r="AB2379" s="33"/>
    </row>
    <row r="2380" spans="1:28" x14ac:dyDescent="0.15">
      <c r="A2380" s="46" t="s">
        <v>4811</v>
      </c>
      <c r="B2380" s="52" t="s">
        <v>7361</v>
      </c>
      <c r="C2380" s="53" t="s">
        <v>4812</v>
      </c>
      <c r="D2380" s="54" t="s">
        <v>9822</v>
      </c>
      <c r="E2380" s="50">
        <f t="shared" si="81"/>
        <v>32.547945210000002</v>
      </c>
      <c r="F2380" s="51">
        <f t="shared" si="81"/>
        <v>4.6221477599999998</v>
      </c>
      <c r="H2380" s="33"/>
      <c r="I2380" s="33"/>
      <c r="J2380" s="33"/>
      <c r="K2380" s="33"/>
      <c r="L2380" s="33"/>
      <c r="M2380" s="33"/>
      <c r="N2380" s="33"/>
      <c r="O2380" s="33"/>
      <c r="P2380" s="33"/>
      <c r="Q2380" s="33"/>
      <c r="R2380" s="33"/>
      <c r="S2380" s="33"/>
      <c r="T2380" s="33"/>
      <c r="U2380" s="33"/>
      <c r="V2380" s="33"/>
      <c r="W2380" s="33"/>
      <c r="X2380" s="33"/>
      <c r="Y2380" s="33"/>
      <c r="Z2380" s="33"/>
      <c r="AA2380" s="33"/>
      <c r="AB2380" s="33"/>
    </row>
    <row r="2381" spans="1:28" x14ac:dyDescent="0.15">
      <c r="A2381" s="46" t="s">
        <v>4813</v>
      </c>
      <c r="B2381" s="52" t="s">
        <v>7361</v>
      </c>
      <c r="C2381" s="53" t="s">
        <v>4814</v>
      </c>
      <c r="D2381" s="54" t="s">
        <v>9823</v>
      </c>
      <c r="E2381" s="50">
        <f t="shared" si="81"/>
        <v>32.561643840000002</v>
      </c>
      <c r="F2381" s="51">
        <f t="shared" si="81"/>
        <v>4.6222637999999998</v>
      </c>
      <c r="H2381" s="33"/>
      <c r="I2381" s="33"/>
      <c r="J2381" s="33"/>
      <c r="K2381" s="33"/>
      <c r="L2381" s="33"/>
      <c r="M2381" s="33"/>
      <c r="N2381" s="33"/>
      <c r="O2381" s="33"/>
      <c r="P2381" s="33"/>
      <c r="Q2381" s="33"/>
      <c r="R2381" s="33"/>
      <c r="S2381" s="33"/>
      <c r="T2381" s="33"/>
      <c r="U2381" s="33"/>
      <c r="V2381" s="33"/>
      <c r="W2381" s="33"/>
      <c r="X2381" s="33"/>
      <c r="Y2381" s="33"/>
      <c r="Z2381" s="33"/>
      <c r="AA2381" s="33"/>
      <c r="AB2381" s="33"/>
    </row>
    <row r="2382" spans="1:28" x14ac:dyDescent="0.15">
      <c r="A2382" s="46" t="s">
        <v>4815</v>
      </c>
      <c r="B2382" s="52" t="s">
        <v>7361</v>
      </c>
      <c r="C2382" s="53" t="s">
        <v>4816</v>
      </c>
      <c r="D2382" s="54" t="s">
        <v>9824</v>
      </c>
      <c r="E2382" s="50">
        <f t="shared" si="81"/>
        <v>32.575342470000002</v>
      </c>
      <c r="F2382" s="51">
        <f t="shared" si="81"/>
        <v>4.6223774300000002</v>
      </c>
      <c r="H2382" s="33"/>
      <c r="I2382" s="33"/>
      <c r="J2382" s="33"/>
      <c r="K2382" s="33"/>
      <c r="L2382" s="33"/>
      <c r="M2382" s="33"/>
      <c r="N2382" s="33"/>
      <c r="O2382" s="33"/>
      <c r="P2382" s="33"/>
      <c r="Q2382" s="33"/>
      <c r="R2382" s="33"/>
      <c r="S2382" s="33"/>
      <c r="T2382" s="33"/>
      <c r="U2382" s="33"/>
      <c r="V2382" s="33"/>
      <c r="W2382" s="33"/>
      <c r="X2382" s="33"/>
      <c r="Y2382" s="33"/>
      <c r="Z2382" s="33"/>
      <c r="AA2382" s="33"/>
      <c r="AB2382" s="33"/>
    </row>
    <row r="2383" spans="1:28" x14ac:dyDescent="0.15">
      <c r="A2383" s="46" t="s">
        <v>4817</v>
      </c>
      <c r="B2383" s="52" t="s">
        <v>7361</v>
      </c>
      <c r="C2383" s="53" t="s">
        <v>4818</v>
      </c>
      <c r="D2383" s="54" t="s">
        <v>9825</v>
      </c>
      <c r="E2383" s="50">
        <f t="shared" si="81"/>
        <v>32.589041100000003</v>
      </c>
      <c r="F2383" s="51">
        <f t="shared" si="81"/>
        <v>4.6224887499999996</v>
      </c>
      <c r="H2383" s="33"/>
      <c r="I2383" s="33"/>
      <c r="J2383" s="33"/>
      <c r="K2383" s="33"/>
      <c r="L2383" s="33"/>
      <c r="M2383" s="33"/>
      <c r="N2383" s="33"/>
      <c r="O2383" s="33"/>
      <c r="P2383" s="33"/>
      <c r="Q2383" s="33"/>
      <c r="R2383" s="33"/>
      <c r="S2383" s="33"/>
      <c r="T2383" s="33"/>
      <c r="U2383" s="33"/>
      <c r="V2383" s="33"/>
      <c r="W2383" s="33"/>
      <c r="X2383" s="33"/>
      <c r="Y2383" s="33"/>
      <c r="Z2383" s="33"/>
      <c r="AA2383" s="33"/>
      <c r="AB2383" s="33"/>
    </row>
    <row r="2384" spans="1:28" x14ac:dyDescent="0.15">
      <c r="A2384" s="46" t="s">
        <v>4819</v>
      </c>
      <c r="B2384" s="52" t="s">
        <v>7361</v>
      </c>
      <c r="C2384" s="53" t="s">
        <v>4820</v>
      </c>
      <c r="D2384" s="54" t="s">
        <v>9826</v>
      </c>
      <c r="E2384" s="50">
        <f t="shared" si="81"/>
        <v>32.602739730000003</v>
      </c>
      <c r="F2384" s="51">
        <f t="shared" si="81"/>
        <v>4.6225978999999997</v>
      </c>
      <c r="H2384" s="33"/>
      <c r="I2384" s="33"/>
      <c r="J2384" s="33"/>
      <c r="K2384" s="33"/>
      <c r="L2384" s="33"/>
      <c r="M2384" s="33"/>
      <c r="N2384" s="33"/>
      <c r="O2384" s="33"/>
      <c r="P2384" s="33"/>
      <c r="Q2384" s="33"/>
      <c r="R2384" s="33"/>
      <c r="S2384" s="33"/>
      <c r="T2384" s="33"/>
      <c r="U2384" s="33"/>
      <c r="V2384" s="33"/>
      <c r="W2384" s="33"/>
      <c r="X2384" s="33"/>
      <c r="Y2384" s="33"/>
      <c r="Z2384" s="33"/>
      <c r="AA2384" s="33"/>
      <c r="AB2384" s="33"/>
    </row>
    <row r="2385" spans="1:28" x14ac:dyDescent="0.15">
      <c r="A2385" s="46" t="s">
        <v>4821</v>
      </c>
      <c r="B2385" s="52" t="s">
        <v>7361</v>
      </c>
      <c r="C2385" s="53" t="s">
        <v>4822</v>
      </c>
      <c r="D2385" s="54" t="s">
        <v>9827</v>
      </c>
      <c r="E2385" s="50">
        <f t="shared" si="81"/>
        <v>32.616438359999997</v>
      </c>
      <c r="F2385" s="51">
        <f t="shared" si="81"/>
        <v>4.6227049899999999</v>
      </c>
      <c r="H2385" s="33"/>
      <c r="I2385" s="33"/>
      <c r="J2385" s="33"/>
      <c r="K2385" s="33"/>
      <c r="L2385" s="33"/>
      <c r="M2385" s="33"/>
      <c r="N2385" s="33"/>
      <c r="O2385" s="33"/>
      <c r="P2385" s="33"/>
      <c r="Q2385" s="33"/>
      <c r="R2385" s="33"/>
      <c r="S2385" s="33"/>
      <c r="T2385" s="33"/>
      <c r="U2385" s="33"/>
      <c r="V2385" s="33"/>
      <c r="W2385" s="33"/>
      <c r="X2385" s="33"/>
      <c r="Y2385" s="33"/>
      <c r="Z2385" s="33"/>
      <c r="AA2385" s="33"/>
      <c r="AB2385" s="33"/>
    </row>
    <row r="2386" spans="1:28" x14ac:dyDescent="0.15">
      <c r="A2386" s="46" t="s">
        <v>4823</v>
      </c>
      <c r="B2386" s="52" t="s">
        <v>7361</v>
      </c>
      <c r="C2386" s="53" t="s">
        <v>4824</v>
      </c>
      <c r="D2386" s="54" t="s">
        <v>9828</v>
      </c>
      <c r="E2386" s="50">
        <f t="shared" si="81"/>
        <v>32.630136989999997</v>
      </c>
      <c r="F2386" s="51">
        <f t="shared" si="81"/>
        <v>4.6228101400000003</v>
      </c>
      <c r="H2386" s="33"/>
      <c r="I2386" s="33"/>
      <c r="J2386" s="33"/>
      <c r="K2386" s="33"/>
      <c r="L2386" s="33"/>
      <c r="M2386" s="33"/>
      <c r="N2386" s="33"/>
      <c r="O2386" s="33"/>
      <c r="P2386" s="33"/>
      <c r="Q2386" s="33"/>
      <c r="R2386" s="33"/>
      <c r="S2386" s="33"/>
      <c r="T2386" s="33"/>
      <c r="U2386" s="33"/>
      <c r="V2386" s="33"/>
      <c r="W2386" s="33"/>
      <c r="X2386" s="33"/>
      <c r="Y2386" s="33"/>
      <c r="Z2386" s="33"/>
      <c r="AA2386" s="33"/>
      <c r="AB2386" s="33"/>
    </row>
    <row r="2387" spans="1:28" x14ac:dyDescent="0.15">
      <c r="A2387" s="46" t="s">
        <v>4825</v>
      </c>
      <c r="B2387" s="52" t="s">
        <v>7361</v>
      </c>
      <c r="C2387" s="53" t="s">
        <v>4826</v>
      </c>
      <c r="D2387" s="54" t="s">
        <v>9829</v>
      </c>
      <c r="E2387" s="50">
        <f t="shared" si="81"/>
        <v>32.643835619999997</v>
      </c>
      <c r="F2387" s="51">
        <f t="shared" si="81"/>
        <v>4.6229134800000002</v>
      </c>
      <c r="H2387" s="33"/>
      <c r="I2387" s="33"/>
      <c r="J2387" s="33"/>
      <c r="K2387" s="33"/>
      <c r="L2387" s="33"/>
      <c r="M2387" s="33"/>
      <c r="N2387" s="33"/>
      <c r="O2387" s="33"/>
      <c r="P2387" s="33"/>
      <c r="Q2387" s="33"/>
      <c r="R2387" s="33"/>
      <c r="S2387" s="33"/>
      <c r="T2387" s="33"/>
      <c r="U2387" s="33"/>
      <c r="V2387" s="33"/>
      <c r="W2387" s="33"/>
      <c r="X2387" s="33"/>
      <c r="Y2387" s="33"/>
      <c r="Z2387" s="33"/>
      <c r="AA2387" s="33"/>
      <c r="AB2387" s="33"/>
    </row>
    <row r="2388" spans="1:28" x14ac:dyDescent="0.15">
      <c r="A2388" s="46" t="s">
        <v>4827</v>
      </c>
      <c r="B2388" s="52" t="s">
        <v>7361</v>
      </c>
      <c r="C2388" s="53" t="s">
        <v>4828</v>
      </c>
      <c r="D2388" s="54" t="s">
        <v>9830</v>
      </c>
      <c r="E2388" s="50">
        <f t="shared" si="81"/>
        <v>32.657534249999998</v>
      </c>
      <c r="F2388" s="51">
        <f t="shared" si="81"/>
        <v>4.6230151399999997</v>
      </c>
      <c r="H2388" s="33"/>
      <c r="I2388" s="33"/>
      <c r="J2388" s="33"/>
      <c r="K2388" s="33"/>
      <c r="L2388" s="33"/>
      <c r="M2388" s="33"/>
      <c r="N2388" s="33"/>
      <c r="O2388" s="33"/>
      <c r="P2388" s="33"/>
      <c r="Q2388" s="33"/>
      <c r="R2388" s="33"/>
      <c r="S2388" s="33"/>
      <c r="T2388" s="33"/>
      <c r="U2388" s="33"/>
      <c r="V2388" s="33"/>
      <c r="W2388" s="33"/>
      <c r="X2388" s="33"/>
      <c r="Y2388" s="33"/>
      <c r="Z2388" s="33"/>
      <c r="AA2388" s="33"/>
      <c r="AB2388" s="33"/>
    </row>
    <row r="2389" spans="1:28" x14ac:dyDescent="0.15">
      <c r="A2389" s="46" t="s">
        <v>4829</v>
      </c>
      <c r="B2389" s="52" t="s">
        <v>7361</v>
      </c>
      <c r="C2389" s="53" t="s">
        <v>4830</v>
      </c>
      <c r="D2389" s="54" t="s">
        <v>9831</v>
      </c>
      <c r="E2389" s="50">
        <f t="shared" si="81"/>
        <v>32.671232879999998</v>
      </c>
      <c r="F2389" s="51">
        <f t="shared" si="81"/>
        <v>4.6231152299999998</v>
      </c>
      <c r="H2389" s="33"/>
      <c r="I2389" s="33"/>
      <c r="J2389" s="33"/>
      <c r="K2389" s="33"/>
      <c r="L2389" s="33"/>
      <c r="M2389" s="33"/>
      <c r="N2389" s="33"/>
      <c r="O2389" s="33"/>
      <c r="P2389" s="33"/>
      <c r="Q2389" s="33"/>
      <c r="R2389" s="33"/>
      <c r="S2389" s="33"/>
      <c r="T2389" s="33"/>
      <c r="U2389" s="33"/>
      <c r="V2389" s="33"/>
      <c r="W2389" s="33"/>
      <c r="X2389" s="33"/>
      <c r="Y2389" s="33"/>
      <c r="Z2389" s="33"/>
      <c r="AA2389" s="33"/>
      <c r="AB2389" s="33"/>
    </row>
    <row r="2390" spans="1:28" x14ac:dyDescent="0.15">
      <c r="A2390" s="46" t="s">
        <v>4831</v>
      </c>
      <c r="B2390" s="52" t="s">
        <v>7361</v>
      </c>
      <c r="C2390" s="53" t="s">
        <v>4832</v>
      </c>
      <c r="D2390" s="54" t="s">
        <v>9832</v>
      </c>
      <c r="E2390" s="50">
        <f t="shared" si="81"/>
        <v>32.684931509999998</v>
      </c>
      <c r="F2390" s="51">
        <f t="shared" si="81"/>
        <v>4.6232138699999998</v>
      </c>
      <c r="H2390" s="33"/>
      <c r="I2390" s="33"/>
      <c r="J2390" s="33"/>
      <c r="K2390" s="33"/>
      <c r="L2390" s="33"/>
      <c r="M2390" s="33"/>
      <c r="N2390" s="33"/>
      <c r="O2390" s="33"/>
      <c r="P2390" s="33"/>
      <c r="Q2390" s="33"/>
      <c r="R2390" s="33"/>
      <c r="S2390" s="33"/>
      <c r="T2390" s="33"/>
      <c r="U2390" s="33"/>
      <c r="V2390" s="33"/>
      <c r="W2390" s="33"/>
      <c r="X2390" s="33"/>
      <c r="Y2390" s="33"/>
      <c r="Z2390" s="33"/>
      <c r="AA2390" s="33"/>
      <c r="AB2390" s="33"/>
    </row>
    <row r="2391" spans="1:28" x14ac:dyDescent="0.15">
      <c r="A2391" s="46" t="s">
        <v>4833</v>
      </c>
      <c r="B2391" s="52" t="s">
        <v>7361</v>
      </c>
      <c r="C2391" s="53" t="s">
        <v>4834</v>
      </c>
      <c r="D2391" s="54" t="s">
        <v>9833</v>
      </c>
      <c r="E2391" s="50">
        <f t="shared" si="81"/>
        <v>32.698630139999999</v>
      </c>
      <c r="F2391" s="51">
        <f t="shared" si="81"/>
        <v>4.62331118</v>
      </c>
      <c r="H2391" s="33"/>
      <c r="I2391" s="33"/>
      <c r="J2391" s="33"/>
      <c r="K2391" s="33"/>
      <c r="L2391" s="33"/>
      <c r="M2391" s="33"/>
      <c r="N2391" s="33"/>
      <c r="O2391" s="33"/>
      <c r="P2391" s="33"/>
      <c r="Q2391" s="33"/>
      <c r="R2391" s="33"/>
      <c r="S2391" s="33"/>
      <c r="T2391" s="33"/>
      <c r="U2391" s="33"/>
      <c r="V2391" s="33"/>
      <c r="W2391" s="33"/>
      <c r="X2391" s="33"/>
      <c r="Y2391" s="33"/>
      <c r="Z2391" s="33"/>
      <c r="AA2391" s="33"/>
      <c r="AB2391" s="33"/>
    </row>
    <row r="2392" spans="1:28" x14ac:dyDescent="0.15">
      <c r="A2392" s="46" t="s">
        <v>4835</v>
      </c>
      <c r="B2392" s="52" t="s">
        <v>7361</v>
      </c>
      <c r="C2392" s="53" t="s">
        <v>4836</v>
      </c>
      <c r="D2392" s="54" t="s">
        <v>9834</v>
      </c>
      <c r="E2392" s="50">
        <f t="shared" si="81"/>
        <v>32.712328769999999</v>
      </c>
      <c r="F2392" s="51">
        <f t="shared" si="81"/>
        <v>4.6234073000000002</v>
      </c>
      <c r="H2392" s="33"/>
      <c r="I2392" s="33"/>
      <c r="J2392" s="33"/>
      <c r="K2392" s="33"/>
      <c r="L2392" s="33"/>
      <c r="M2392" s="33"/>
      <c r="N2392" s="33"/>
      <c r="O2392" s="33"/>
      <c r="P2392" s="33"/>
      <c r="Q2392" s="33"/>
      <c r="R2392" s="33"/>
      <c r="S2392" s="33"/>
      <c r="T2392" s="33"/>
      <c r="U2392" s="33"/>
      <c r="V2392" s="33"/>
      <c r="W2392" s="33"/>
      <c r="X2392" s="33"/>
      <c r="Y2392" s="33"/>
      <c r="Z2392" s="33"/>
      <c r="AA2392" s="33"/>
      <c r="AB2392" s="33"/>
    </row>
    <row r="2393" spans="1:28" x14ac:dyDescent="0.15">
      <c r="A2393" s="46" t="s">
        <v>4837</v>
      </c>
      <c r="B2393" s="52" t="s">
        <v>7361</v>
      </c>
      <c r="C2393" s="53" t="s">
        <v>4838</v>
      </c>
      <c r="D2393" s="54" t="s">
        <v>9835</v>
      </c>
      <c r="E2393" s="50">
        <f t="shared" si="81"/>
        <v>32.7260274</v>
      </c>
      <c r="F2393" s="51">
        <f t="shared" si="81"/>
        <v>4.6235023399999999</v>
      </c>
      <c r="H2393" s="33"/>
      <c r="I2393" s="33"/>
      <c r="J2393" s="33"/>
      <c r="K2393" s="33"/>
      <c r="L2393" s="33"/>
      <c r="M2393" s="33"/>
      <c r="N2393" s="33"/>
      <c r="O2393" s="33"/>
      <c r="P2393" s="33"/>
      <c r="Q2393" s="33"/>
      <c r="R2393" s="33"/>
      <c r="S2393" s="33"/>
      <c r="T2393" s="33"/>
      <c r="U2393" s="33"/>
      <c r="V2393" s="33"/>
      <c r="W2393" s="33"/>
      <c r="X2393" s="33"/>
      <c r="Y2393" s="33"/>
      <c r="Z2393" s="33"/>
      <c r="AA2393" s="33"/>
      <c r="AB2393" s="33"/>
    </row>
    <row r="2394" spans="1:28" x14ac:dyDescent="0.15">
      <c r="A2394" s="46" t="s">
        <v>4839</v>
      </c>
      <c r="B2394" s="52" t="s">
        <v>7361</v>
      </c>
      <c r="C2394" s="53" t="s">
        <v>4840</v>
      </c>
      <c r="D2394" s="54" t="s">
        <v>9836</v>
      </c>
      <c r="E2394" s="50">
        <f t="shared" si="81"/>
        <v>32.73972603</v>
      </c>
      <c r="F2394" s="51">
        <f t="shared" si="81"/>
        <v>4.6235964200000002</v>
      </c>
      <c r="H2394" s="33"/>
      <c r="I2394" s="33"/>
      <c r="J2394" s="33"/>
      <c r="K2394" s="33"/>
      <c r="L2394" s="33"/>
      <c r="M2394" s="33"/>
      <c r="N2394" s="33"/>
      <c r="O2394" s="33"/>
      <c r="P2394" s="33"/>
      <c r="Q2394" s="33"/>
      <c r="R2394" s="33"/>
      <c r="S2394" s="33"/>
      <c r="T2394" s="33"/>
      <c r="U2394" s="33"/>
      <c r="V2394" s="33"/>
      <c r="W2394" s="33"/>
      <c r="X2394" s="33"/>
      <c r="Y2394" s="33"/>
      <c r="Z2394" s="33"/>
      <c r="AA2394" s="33"/>
      <c r="AB2394" s="33"/>
    </row>
    <row r="2395" spans="1:28" x14ac:dyDescent="0.15">
      <c r="A2395" s="46" t="s">
        <v>4841</v>
      </c>
      <c r="B2395" s="52" t="s">
        <v>7361</v>
      </c>
      <c r="C2395" s="53" t="s">
        <v>4842</v>
      </c>
      <c r="D2395" s="54" t="s">
        <v>9837</v>
      </c>
      <c r="E2395" s="50">
        <f t="shared" si="81"/>
        <v>32.75342466</v>
      </c>
      <c r="F2395" s="51">
        <f t="shared" si="81"/>
        <v>4.6236896700000001</v>
      </c>
      <c r="H2395" s="33"/>
      <c r="I2395" s="33"/>
      <c r="J2395" s="33"/>
      <c r="K2395" s="33"/>
      <c r="L2395" s="33"/>
      <c r="M2395" s="33"/>
      <c r="N2395" s="33"/>
      <c r="O2395" s="33"/>
      <c r="P2395" s="33"/>
      <c r="Q2395" s="33"/>
      <c r="R2395" s="33"/>
      <c r="S2395" s="33"/>
      <c r="T2395" s="33"/>
      <c r="U2395" s="33"/>
      <c r="V2395" s="33"/>
      <c r="W2395" s="33"/>
      <c r="X2395" s="33"/>
      <c r="Y2395" s="33"/>
      <c r="Z2395" s="33"/>
      <c r="AA2395" s="33"/>
      <c r="AB2395" s="33"/>
    </row>
    <row r="2396" spans="1:28" x14ac:dyDescent="0.15">
      <c r="A2396" s="46" t="s">
        <v>4843</v>
      </c>
      <c r="B2396" s="52" t="s">
        <v>7361</v>
      </c>
      <c r="C2396" s="53" t="s">
        <v>4844</v>
      </c>
      <c r="D2396" s="54" t="s">
        <v>9838</v>
      </c>
      <c r="E2396" s="50">
        <f t="shared" si="81"/>
        <v>32.767123290000001</v>
      </c>
      <c r="F2396" s="51">
        <f t="shared" si="81"/>
        <v>4.6237822</v>
      </c>
      <c r="H2396" s="33"/>
      <c r="I2396" s="33"/>
      <c r="J2396" s="33"/>
      <c r="K2396" s="33"/>
      <c r="L2396" s="33"/>
      <c r="M2396" s="33"/>
      <c r="N2396" s="33"/>
      <c r="O2396" s="33"/>
      <c r="P2396" s="33"/>
      <c r="Q2396" s="33"/>
      <c r="R2396" s="33"/>
      <c r="S2396" s="33"/>
      <c r="T2396" s="33"/>
      <c r="U2396" s="33"/>
      <c r="V2396" s="33"/>
      <c r="W2396" s="33"/>
      <c r="X2396" s="33"/>
      <c r="Y2396" s="33"/>
      <c r="Z2396" s="33"/>
      <c r="AA2396" s="33"/>
      <c r="AB2396" s="33"/>
    </row>
    <row r="2397" spans="1:28" x14ac:dyDescent="0.15">
      <c r="A2397" s="46" t="s">
        <v>4845</v>
      </c>
      <c r="B2397" s="52" t="s">
        <v>7361</v>
      </c>
      <c r="C2397" s="53" t="s">
        <v>4846</v>
      </c>
      <c r="D2397" s="54" t="s">
        <v>9839</v>
      </c>
      <c r="E2397" s="50">
        <f t="shared" si="81"/>
        <v>32.780821920000001</v>
      </c>
      <c r="F2397" s="51">
        <f t="shared" si="81"/>
        <v>4.6238741399999999</v>
      </c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  <c r="AA2397" s="33"/>
      <c r="AB2397" s="33"/>
    </row>
    <row r="2398" spans="1:28" x14ac:dyDescent="0.15">
      <c r="A2398" s="46" t="s">
        <v>4847</v>
      </c>
      <c r="B2398" s="52" t="s">
        <v>7361</v>
      </c>
      <c r="C2398" s="53" t="s">
        <v>4848</v>
      </c>
      <c r="D2398" s="54" t="s">
        <v>9840</v>
      </c>
      <c r="E2398" s="50">
        <f t="shared" si="81"/>
        <v>32.794520550000001</v>
      </c>
      <c r="F2398" s="51">
        <f t="shared" si="81"/>
        <v>4.6239656199999999</v>
      </c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  <c r="AA2398" s="33"/>
      <c r="AB2398" s="33"/>
    </row>
    <row r="2399" spans="1:28" x14ac:dyDescent="0.15">
      <c r="A2399" s="46" t="s">
        <v>4849</v>
      </c>
      <c r="B2399" s="52" t="s">
        <v>7361</v>
      </c>
      <c r="C2399" s="53" t="s">
        <v>4850</v>
      </c>
      <c r="D2399" s="54" t="s">
        <v>9841</v>
      </c>
      <c r="E2399" s="50">
        <f t="shared" si="81"/>
        <v>32.808219180000002</v>
      </c>
      <c r="F2399" s="51">
        <f t="shared" si="81"/>
        <v>4.6240567500000003</v>
      </c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  <c r="AA2399" s="33"/>
      <c r="AB2399" s="33"/>
    </row>
    <row r="2400" spans="1:28" x14ac:dyDescent="0.15">
      <c r="A2400" s="46" t="s">
        <v>4851</v>
      </c>
      <c r="B2400" s="52" t="s">
        <v>7361</v>
      </c>
      <c r="C2400" s="53" t="s">
        <v>4852</v>
      </c>
      <c r="D2400" s="54" t="s">
        <v>9842</v>
      </c>
      <c r="E2400" s="50">
        <f t="shared" si="81"/>
        <v>32.821917810000002</v>
      </c>
      <c r="F2400" s="51">
        <f t="shared" si="81"/>
        <v>4.6241476500000003</v>
      </c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  <c r="AA2400" s="33"/>
      <c r="AB2400" s="33"/>
    </row>
    <row r="2401" spans="1:28" x14ac:dyDescent="0.15">
      <c r="A2401" s="46" t="s">
        <v>4853</v>
      </c>
      <c r="B2401" s="52" t="s">
        <v>7361</v>
      </c>
      <c r="C2401" s="53" t="s">
        <v>4854</v>
      </c>
      <c r="D2401" s="54" t="s">
        <v>9843</v>
      </c>
      <c r="E2401" s="50">
        <f t="shared" si="81"/>
        <v>32.835616440000003</v>
      </c>
      <c r="F2401" s="51">
        <f t="shared" si="81"/>
        <v>4.6242384599999999</v>
      </c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  <c r="AA2401" s="33"/>
      <c r="AB2401" s="33"/>
    </row>
    <row r="2402" spans="1:28" x14ac:dyDescent="0.15">
      <c r="A2402" s="46" t="s">
        <v>4855</v>
      </c>
      <c r="B2402" s="52" t="s">
        <v>7361</v>
      </c>
      <c r="C2402" s="53" t="s">
        <v>4856</v>
      </c>
      <c r="D2402" s="54" t="s">
        <v>9844</v>
      </c>
      <c r="E2402" s="50">
        <f t="shared" si="81"/>
        <v>32.849315070000003</v>
      </c>
      <c r="F2402" s="51">
        <f t="shared" si="81"/>
        <v>4.6243292800000004</v>
      </c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  <c r="AA2402" s="33"/>
      <c r="AB2402" s="33"/>
    </row>
    <row r="2403" spans="1:28" x14ac:dyDescent="0.15">
      <c r="A2403" s="46" t="s">
        <v>4857</v>
      </c>
      <c r="B2403" s="52" t="s">
        <v>7361</v>
      </c>
      <c r="C2403" s="53" t="s">
        <v>4858</v>
      </c>
      <c r="D2403" s="54" t="s">
        <v>9845</v>
      </c>
      <c r="E2403" s="50">
        <f t="shared" si="81"/>
        <v>32.863013700000003</v>
      </c>
      <c r="F2403" s="51">
        <f t="shared" si="81"/>
        <v>4.62442025</v>
      </c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  <c r="AA2403" s="33"/>
      <c r="AB2403" s="33"/>
    </row>
    <row r="2404" spans="1:28" x14ac:dyDescent="0.15">
      <c r="A2404" s="46" t="s">
        <v>4859</v>
      </c>
      <c r="B2404" s="52" t="s">
        <v>7361</v>
      </c>
      <c r="C2404" s="53" t="s">
        <v>4860</v>
      </c>
      <c r="D2404" s="54" t="s">
        <v>9846</v>
      </c>
      <c r="E2404" s="50">
        <f t="shared" si="81"/>
        <v>32.876712329999997</v>
      </c>
      <c r="F2404" s="51">
        <f t="shared" si="81"/>
        <v>4.6245114799999998</v>
      </c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  <c r="AA2404" s="33"/>
      <c r="AB2404" s="33"/>
    </row>
    <row r="2405" spans="1:28" x14ac:dyDescent="0.15">
      <c r="A2405" s="46" t="s">
        <v>4861</v>
      </c>
      <c r="B2405" s="52" t="s">
        <v>7361</v>
      </c>
      <c r="C2405" s="53" t="s">
        <v>4862</v>
      </c>
      <c r="D2405" s="54" t="s">
        <v>9847</v>
      </c>
      <c r="E2405" s="50">
        <f t="shared" si="81"/>
        <v>32.890410959999997</v>
      </c>
      <c r="F2405" s="51">
        <f t="shared" si="81"/>
        <v>4.6246030999999999</v>
      </c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  <c r="AA2405" s="33"/>
      <c r="AB2405" s="33"/>
    </row>
    <row r="2406" spans="1:28" x14ac:dyDescent="0.15">
      <c r="A2406" s="46" t="s">
        <v>4863</v>
      </c>
      <c r="B2406" s="52" t="s">
        <v>7361</v>
      </c>
      <c r="C2406" s="53" t="s">
        <v>4864</v>
      </c>
      <c r="D2406" s="54" t="s">
        <v>9848</v>
      </c>
      <c r="E2406" s="50">
        <f t="shared" si="81"/>
        <v>32.904109589999997</v>
      </c>
      <c r="F2406" s="51">
        <f t="shared" si="81"/>
        <v>4.6246952200000004</v>
      </c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  <c r="AA2406" s="33"/>
      <c r="AB2406" s="33"/>
    </row>
    <row r="2407" spans="1:28" x14ac:dyDescent="0.15">
      <c r="A2407" s="46" t="s">
        <v>4865</v>
      </c>
      <c r="B2407" s="52" t="s">
        <v>7361</v>
      </c>
      <c r="C2407" s="53" t="s">
        <v>4866</v>
      </c>
      <c r="D2407" s="54" t="s">
        <v>9849</v>
      </c>
      <c r="E2407" s="50">
        <f t="shared" si="81"/>
        <v>32.917808219999998</v>
      </c>
      <c r="F2407" s="51">
        <f t="shared" si="81"/>
        <v>4.6247879799999998</v>
      </c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  <c r="AA2407" s="33"/>
      <c r="AB2407" s="33"/>
    </row>
    <row r="2408" spans="1:28" x14ac:dyDescent="0.15">
      <c r="A2408" s="46" t="s">
        <v>4867</v>
      </c>
      <c r="B2408" s="52" t="s">
        <v>7361</v>
      </c>
      <c r="C2408" s="53" t="s">
        <v>4868</v>
      </c>
      <c r="D2408" s="54" t="s">
        <v>9850</v>
      </c>
      <c r="E2408" s="50">
        <f t="shared" si="81"/>
        <v>32.931506849999998</v>
      </c>
      <c r="F2408" s="51">
        <f t="shared" si="81"/>
        <v>4.6248814899999999</v>
      </c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  <c r="AA2408" s="33"/>
      <c r="AB2408" s="33"/>
    </row>
    <row r="2409" spans="1:28" x14ac:dyDescent="0.15">
      <c r="A2409" s="46" t="s">
        <v>4869</v>
      </c>
      <c r="B2409" s="52" t="s">
        <v>7361</v>
      </c>
      <c r="C2409" s="53" t="s">
        <v>4870</v>
      </c>
      <c r="D2409" s="54" t="s">
        <v>9851</v>
      </c>
      <c r="E2409" s="50">
        <f t="shared" ref="E2409:F2438" si="82">VALUE(C2409)</f>
        <v>32.945205479999998</v>
      </c>
      <c r="F2409" s="51">
        <f t="shared" si="82"/>
        <v>4.62497588</v>
      </c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  <c r="AA2409" s="33"/>
      <c r="AB2409" s="33"/>
    </row>
    <row r="2410" spans="1:28" x14ac:dyDescent="0.15">
      <c r="A2410" s="46" t="s">
        <v>4871</v>
      </c>
      <c r="B2410" s="52" t="s">
        <v>7361</v>
      </c>
      <c r="C2410" s="53" t="s">
        <v>4872</v>
      </c>
      <c r="D2410" s="54" t="s">
        <v>9852</v>
      </c>
      <c r="E2410" s="50">
        <f t="shared" si="82"/>
        <v>32.958904109999999</v>
      </c>
      <c r="F2410" s="51">
        <f t="shared" si="82"/>
        <v>4.6250712600000004</v>
      </c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  <c r="AA2410" s="33"/>
      <c r="AB2410" s="33"/>
    </row>
    <row r="2411" spans="1:28" x14ac:dyDescent="0.15">
      <c r="A2411" s="46" t="s">
        <v>4873</v>
      </c>
      <c r="B2411" s="52" t="s">
        <v>7361</v>
      </c>
      <c r="C2411" s="53" t="s">
        <v>4874</v>
      </c>
      <c r="D2411" s="54" t="s">
        <v>9853</v>
      </c>
      <c r="E2411" s="50">
        <f t="shared" si="82"/>
        <v>32.972602739999999</v>
      </c>
      <c r="F2411" s="51">
        <f t="shared" si="82"/>
        <v>4.62516777</v>
      </c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  <c r="AA2411" s="33"/>
      <c r="AB2411" s="33"/>
    </row>
    <row r="2412" spans="1:28" x14ac:dyDescent="0.15">
      <c r="A2412" s="46" t="s">
        <v>4875</v>
      </c>
      <c r="B2412" s="52" t="s">
        <v>7361</v>
      </c>
      <c r="C2412" s="53" t="s">
        <v>4876</v>
      </c>
      <c r="D2412" s="54" t="s">
        <v>9854</v>
      </c>
      <c r="E2412" s="50">
        <f t="shared" si="82"/>
        <v>32.98630137</v>
      </c>
      <c r="F2412" s="51">
        <f t="shared" si="82"/>
        <v>4.6252655100000002</v>
      </c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  <c r="AA2412" s="33"/>
      <c r="AB2412" s="33"/>
    </row>
    <row r="2413" spans="1:28" x14ac:dyDescent="0.15">
      <c r="A2413" s="46" t="s">
        <v>4877</v>
      </c>
      <c r="B2413" s="52" t="s">
        <v>7361</v>
      </c>
      <c r="C2413" s="53" t="s">
        <v>4878</v>
      </c>
      <c r="D2413" s="54" t="s">
        <v>9855</v>
      </c>
      <c r="E2413" s="50">
        <f t="shared" si="82"/>
        <v>33</v>
      </c>
      <c r="F2413" s="51">
        <f t="shared" si="82"/>
        <v>4.62536462</v>
      </c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  <c r="AA2413" s="33"/>
      <c r="AB2413" s="33"/>
    </row>
    <row r="2414" spans="1:28" x14ac:dyDescent="0.15">
      <c r="A2414" s="46" t="s">
        <v>4879</v>
      </c>
      <c r="B2414" s="52" t="s">
        <v>7361</v>
      </c>
      <c r="C2414" s="53" t="s">
        <v>4880</v>
      </c>
      <c r="D2414" s="54" t="s">
        <v>9856</v>
      </c>
      <c r="E2414" s="50">
        <f t="shared" si="82"/>
        <v>33.01369863</v>
      </c>
      <c r="F2414" s="51">
        <f t="shared" si="82"/>
        <v>4.62546313</v>
      </c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  <c r="AA2414" s="33"/>
      <c r="AB2414" s="33"/>
    </row>
    <row r="2415" spans="1:28" x14ac:dyDescent="0.15">
      <c r="A2415" s="46" t="s">
        <v>4881</v>
      </c>
      <c r="B2415" s="52" t="s">
        <v>7361</v>
      </c>
      <c r="C2415" s="53" t="s">
        <v>4882</v>
      </c>
      <c r="D2415" s="54" t="s">
        <v>9857</v>
      </c>
      <c r="E2415" s="50">
        <f t="shared" si="82"/>
        <v>33.027397260000001</v>
      </c>
      <c r="F2415" s="51">
        <f t="shared" si="82"/>
        <v>4.6255590599999996</v>
      </c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  <c r="AA2415" s="33"/>
      <c r="AB2415" s="33"/>
    </row>
    <row r="2416" spans="1:28" x14ac:dyDescent="0.15">
      <c r="A2416" s="46" t="s">
        <v>4883</v>
      </c>
      <c r="B2416" s="52" t="s">
        <v>7361</v>
      </c>
      <c r="C2416" s="53" t="s">
        <v>4884</v>
      </c>
      <c r="D2416" s="54" t="s">
        <v>9858</v>
      </c>
      <c r="E2416" s="50">
        <f t="shared" si="82"/>
        <v>33.041095890000001</v>
      </c>
      <c r="F2416" s="51">
        <f t="shared" si="82"/>
        <v>4.62565252</v>
      </c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  <c r="AA2416" s="33"/>
      <c r="AB2416" s="33"/>
    </row>
    <row r="2417" spans="1:28" x14ac:dyDescent="0.15">
      <c r="A2417" s="46" t="s">
        <v>4885</v>
      </c>
      <c r="B2417" s="52" t="s">
        <v>7361</v>
      </c>
      <c r="C2417" s="53" t="s">
        <v>4886</v>
      </c>
      <c r="D2417" s="54" t="s">
        <v>9859</v>
      </c>
      <c r="E2417" s="50">
        <f t="shared" si="82"/>
        <v>33.054794520000002</v>
      </c>
      <c r="F2417" s="51">
        <f t="shared" si="82"/>
        <v>4.6257436299999997</v>
      </c>
      <c r="H2417" s="33"/>
      <c r="I2417" s="3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  <c r="T2417" s="33"/>
      <c r="U2417" s="33"/>
      <c r="V2417" s="33"/>
      <c r="W2417" s="33"/>
      <c r="X2417" s="33"/>
      <c r="Y2417" s="33"/>
      <c r="Z2417" s="33"/>
      <c r="AA2417" s="33"/>
      <c r="AB2417" s="33"/>
    </row>
    <row r="2418" spans="1:28" x14ac:dyDescent="0.15">
      <c r="A2418" s="46" t="s">
        <v>4887</v>
      </c>
      <c r="B2418" s="52" t="s">
        <v>7361</v>
      </c>
      <c r="C2418" s="53" t="s">
        <v>4888</v>
      </c>
      <c r="D2418" s="54" t="s">
        <v>9860</v>
      </c>
      <c r="E2418" s="50">
        <f t="shared" si="82"/>
        <v>33.068493150000002</v>
      </c>
      <c r="F2418" s="51">
        <f t="shared" si="82"/>
        <v>4.6258324899999996</v>
      </c>
      <c r="H2418" s="33"/>
      <c r="I2418" s="3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  <c r="AA2418" s="33"/>
      <c r="AB2418" s="33"/>
    </row>
    <row r="2419" spans="1:28" x14ac:dyDescent="0.15">
      <c r="A2419" s="46" t="s">
        <v>4889</v>
      </c>
      <c r="B2419" s="52" t="s">
        <v>7361</v>
      </c>
      <c r="C2419" s="53" t="s">
        <v>4890</v>
      </c>
      <c r="D2419" s="54" t="s">
        <v>9861</v>
      </c>
      <c r="E2419" s="50">
        <f t="shared" si="82"/>
        <v>33.082191780000002</v>
      </c>
      <c r="F2419" s="51">
        <f t="shared" si="82"/>
        <v>4.6259192200000001</v>
      </c>
      <c r="H2419" s="33"/>
      <c r="I2419" s="3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  <c r="AA2419" s="33"/>
      <c r="AB2419" s="33"/>
    </row>
    <row r="2420" spans="1:28" x14ac:dyDescent="0.15">
      <c r="A2420" s="46" t="s">
        <v>4891</v>
      </c>
      <c r="B2420" s="52" t="s">
        <v>7361</v>
      </c>
      <c r="C2420" s="53" t="s">
        <v>4892</v>
      </c>
      <c r="D2420" s="54" t="s">
        <v>9862</v>
      </c>
      <c r="E2420" s="50">
        <f t="shared" si="82"/>
        <v>33.095890410000003</v>
      </c>
      <c r="F2420" s="51">
        <f t="shared" si="82"/>
        <v>4.6260039199999996</v>
      </c>
      <c r="H2420" s="33"/>
      <c r="I2420" s="3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  <c r="T2420" s="33"/>
      <c r="U2420" s="33"/>
      <c r="V2420" s="33"/>
      <c r="W2420" s="33"/>
      <c r="X2420" s="33"/>
      <c r="Y2420" s="33"/>
      <c r="Z2420" s="33"/>
      <c r="AA2420" s="33"/>
      <c r="AB2420" s="33"/>
    </row>
    <row r="2421" spans="1:28" x14ac:dyDescent="0.15">
      <c r="A2421" s="46" t="s">
        <v>4893</v>
      </c>
      <c r="B2421" s="52" t="s">
        <v>7361</v>
      </c>
      <c r="C2421" s="53" t="s">
        <v>4894</v>
      </c>
      <c r="D2421" s="54" t="s">
        <v>9863</v>
      </c>
      <c r="E2421" s="50">
        <f t="shared" si="82"/>
        <v>33.109589040000003</v>
      </c>
      <c r="F2421" s="51">
        <f t="shared" si="82"/>
        <v>4.62608671</v>
      </c>
      <c r="H2421" s="33"/>
      <c r="I2421" s="3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  <c r="T2421" s="33"/>
      <c r="U2421" s="33"/>
      <c r="V2421" s="33"/>
      <c r="W2421" s="33"/>
      <c r="X2421" s="33"/>
      <c r="Y2421" s="33"/>
      <c r="Z2421" s="33"/>
      <c r="AA2421" s="33"/>
      <c r="AB2421" s="33"/>
    </row>
    <row r="2422" spans="1:28" x14ac:dyDescent="0.15">
      <c r="A2422" s="46" t="s">
        <v>4895</v>
      </c>
      <c r="B2422" s="52" t="s">
        <v>7361</v>
      </c>
      <c r="C2422" s="53" t="s">
        <v>4896</v>
      </c>
      <c r="D2422" s="54" t="s">
        <v>9864</v>
      </c>
      <c r="E2422" s="50">
        <f t="shared" si="82"/>
        <v>33.123287670000003</v>
      </c>
      <c r="F2422" s="51">
        <f t="shared" si="82"/>
        <v>4.6261676999999999</v>
      </c>
      <c r="H2422" s="33"/>
      <c r="I2422" s="3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  <c r="T2422" s="33"/>
      <c r="U2422" s="33"/>
      <c r="V2422" s="33"/>
      <c r="W2422" s="33"/>
      <c r="X2422" s="33"/>
      <c r="Y2422" s="33"/>
      <c r="Z2422" s="33"/>
      <c r="AA2422" s="33"/>
      <c r="AB2422" s="33"/>
    </row>
    <row r="2423" spans="1:28" x14ac:dyDescent="0.15">
      <c r="A2423" s="46" t="s">
        <v>4897</v>
      </c>
      <c r="B2423" s="52" t="s">
        <v>7361</v>
      </c>
      <c r="C2423" s="53" t="s">
        <v>4898</v>
      </c>
      <c r="D2423" s="54" t="s">
        <v>9865</v>
      </c>
      <c r="E2423" s="50">
        <f t="shared" si="82"/>
        <v>33.136986299999997</v>
      </c>
      <c r="F2423" s="51">
        <f t="shared" si="82"/>
        <v>4.6262469900000003</v>
      </c>
      <c r="H2423" s="33"/>
      <c r="I2423" s="33"/>
      <c r="J2423" s="33"/>
      <c r="K2423" s="33"/>
      <c r="L2423" s="33"/>
      <c r="M2423" s="33"/>
      <c r="N2423" s="33"/>
      <c r="O2423" s="33"/>
      <c r="P2423" s="33"/>
      <c r="Q2423" s="33"/>
      <c r="R2423" s="33"/>
      <c r="S2423" s="33"/>
      <c r="T2423" s="33"/>
      <c r="U2423" s="33"/>
      <c r="V2423" s="33"/>
      <c r="W2423" s="33"/>
      <c r="X2423" s="33"/>
      <c r="Y2423" s="33"/>
      <c r="Z2423" s="33"/>
      <c r="AA2423" s="33"/>
      <c r="AB2423" s="33"/>
    </row>
    <row r="2424" spans="1:28" x14ac:dyDescent="0.15">
      <c r="A2424" s="46" t="s">
        <v>4899</v>
      </c>
      <c r="B2424" s="52" t="s">
        <v>7361</v>
      </c>
      <c r="C2424" s="53" t="s">
        <v>4900</v>
      </c>
      <c r="D2424" s="54" t="s">
        <v>9866</v>
      </c>
      <c r="E2424" s="50">
        <f t="shared" si="82"/>
        <v>33.150684929999997</v>
      </c>
      <c r="F2424" s="51">
        <f t="shared" si="82"/>
        <v>4.6263246999999996</v>
      </c>
      <c r="H2424" s="33"/>
      <c r="I2424" s="33"/>
      <c r="J2424" s="33"/>
      <c r="K2424" s="33"/>
      <c r="L2424" s="33"/>
      <c r="M2424" s="33"/>
      <c r="N2424" s="33"/>
      <c r="O2424" s="33"/>
      <c r="P2424" s="33"/>
      <c r="Q2424" s="33"/>
      <c r="R2424" s="33"/>
      <c r="S2424" s="33"/>
      <c r="T2424" s="33"/>
      <c r="U2424" s="33"/>
      <c r="V2424" s="33"/>
      <c r="W2424" s="33"/>
      <c r="X2424" s="33"/>
      <c r="Y2424" s="33"/>
      <c r="Z2424" s="33"/>
      <c r="AA2424" s="33"/>
      <c r="AB2424" s="33"/>
    </row>
    <row r="2425" spans="1:28" x14ac:dyDescent="0.15">
      <c r="A2425" s="46" t="s">
        <v>4901</v>
      </c>
      <c r="B2425" s="52" t="s">
        <v>7361</v>
      </c>
      <c r="C2425" s="53" t="s">
        <v>4902</v>
      </c>
      <c r="D2425" s="54" t="s">
        <v>9867</v>
      </c>
      <c r="E2425" s="50">
        <f t="shared" si="82"/>
        <v>33.164383559999997</v>
      </c>
      <c r="F2425" s="51">
        <f t="shared" si="82"/>
        <v>4.6264009399999999</v>
      </c>
      <c r="H2425" s="33"/>
      <c r="I2425" s="33"/>
      <c r="J2425" s="33"/>
      <c r="K2425" s="33"/>
      <c r="L2425" s="33"/>
      <c r="M2425" s="33"/>
      <c r="N2425" s="33"/>
      <c r="O2425" s="33"/>
      <c r="P2425" s="33"/>
      <c r="Q2425" s="33"/>
      <c r="R2425" s="33"/>
      <c r="S2425" s="33"/>
      <c r="T2425" s="33"/>
      <c r="U2425" s="33"/>
      <c r="V2425" s="33"/>
      <c r="W2425" s="33"/>
      <c r="X2425" s="33"/>
      <c r="Y2425" s="33"/>
      <c r="Z2425" s="33"/>
      <c r="AA2425" s="33"/>
      <c r="AB2425" s="33"/>
    </row>
    <row r="2426" spans="1:28" x14ac:dyDescent="0.15">
      <c r="A2426" s="46" t="s">
        <v>4903</v>
      </c>
      <c r="B2426" s="52" t="s">
        <v>7361</v>
      </c>
      <c r="C2426" s="53" t="s">
        <v>4904</v>
      </c>
      <c r="D2426" s="54" t="s">
        <v>9868</v>
      </c>
      <c r="E2426" s="50">
        <f t="shared" si="82"/>
        <v>33.178082189999998</v>
      </c>
      <c r="F2426" s="51">
        <f t="shared" si="82"/>
        <v>4.6264758199999996</v>
      </c>
      <c r="H2426" s="33"/>
      <c r="I2426" s="33"/>
      <c r="J2426" s="33"/>
      <c r="K2426" s="33"/>
      <c r="L2426" s="33"/>
      <c r="M2426" s="33"/>
      <c r="N2426" s="33"/>
      <c r="O2426" s="33"/>
      <c r="P2426" s="33"/>
      <c r="Q2426" s="33"/>
      <c r="R2426" s="33"/>
      <c r="S2426" s="33"/>
      <c r="T2426" s="33"/>
      <c r="U2426" s="33"/>
      <c r="V2426" s="33"/>
      <c r="W2426" s="33"/>
      <c r="X2426" s="33"/>
      <c r="Y2426" s="33"/>
      <c r="Z2426" s="33"/>
      <c r="AA2426" s="33"/>
      <c r="AB2426" s="33"/>
    </row>
    <row r="2427" spans="1:28" x14ac:dyDescent="0.15">
      <c r="A2427" s="46" t="s">
        <v>4905</v>
      </c>
      <c r="B2427" s="52" t="s">
        <v>7361</v>
      </c>
      <c r="C2427" s="53" t="s">
        <v>4906</v>
      </c>
      <c r="D2427" s="54" t="s">
        <v>9869</v>
      </c>
      <c r="E2427" s="50">
        <f t="shared" si="82"/>
        <v>33.191780819999998</v>
      </c>
      <c r="F2427" s="51">
        <f t="shared" si="82"/>
        <v>4.6265494399999998</v>
      </c>
      <c r="H2427" s="33"/>
      <c r="I2427" s="33"/>
      <c r="J2427" s="33"/>
      <c r="K2427" s="33"/>
      <c r="L2427" s="33"/>
      <c r="M2427" s="33"/>
      <c r="N2427" s="33"/>
      <c r="O2427" s="33"/>
      <c r="P2427" s="33"/>
      <c r="Q2427" s="33"/>
      <c r="R2427" s="33"/>
      <c r="S2427" s="33"/>
      <c r="T2427" s="33"/>
      <c r="U2427" s="33"/>
      <c r="V2427" s="33"/>
      <c r="W2427" s="33"/>
      <c r="X2427" s="33"/>
      <c r="Y2427" s="33"/>
      <c r="Z2427" s="33"/>
      <c r="AA2427" s="33"/>
      <c r="AB2427" s="33"/>
    </row>
    <row r="2428" spans="1:28" x14ac:dyDescent="0.15">
      <c r="A2428" s="46" t="s">
        <v>4907</v>
      </c>
      <c r="B2428" s="52" t="s">
        <v>7361</v>
      </c>
      <c r="C2428" s="53" t="s">
        <v>4908</v>
      </c>
      <c r="D2428" s="54" t="s">
        <v>9870</v>
      </c>
      <c r="E2428" s="50">
        <f t="shared" si="82"/>
        <v>33.205479449999999</v>
      </c>
      <c r="F2428" s="51">
        <f t="shared" si="82"/>
        <v>4.6266219199999998</v>
      </c>
      <c r="H2428" s="33"/>
      <c r="I2428" s="33"/>
      <c r="J2428" s="33"/>
      <c r="K2428" s="33"/>
      <c r="L2428" s="33"/>
      <c r="M2428" s="33"/>
      <c r="N2428" s="33"/>
      <c r="O2428" s="33"/>
      <c r="P2428" s="33"/>
      <c r="Q2428" s="33"/>
      <c r="R2428" s="33"/>
      <c r="S2428" s="33"/>
      <c r="T2428" s="33"/>
      <c r="U2428" s="33"/>
      <c r="V2428" s="33"/>
      <c r="W2428" s="33"/>
      <c r="X2428" s="33"/>
      <c r="Y2428" s="33"/>
      <c r="Z2428" s="33"/>
      <c r="AA2428" s="33"/>
      <c r="AB2428" s="33"/>
    </row>
    <row r="2429" spans="1:28" x14ac:dyDescent="0.15">
      <c r="A2429" s="46" t="s">
        <v>4909</v>
      </c>
      <c r="B2429" s="52" t="s">
        <v>7361</v>
      </c>
      <c r="C2429" s="53" t="s">
        <v>4910</v>
      </c>
      <c r="D2429" s="54" t="s">
        <v>9871</v>
      </c>
      <c r="E2429" s="50">
        <f t="shared" si="82"/>
        <v>33.219178079999999</v>
      </c>
      <c r="F2429" s="51">
        <f t="shared" si="82"/>
        <v>4.6266933699999999</v>
      </c>
      <c r="H2429" s="33"/>
      <c r="I2429" s="33"/>
      <c r="J2429" s="33"/>
      <c r="K2429" s="33"/>
      <c r="L2429" s="33"/>
      <c r="M2429" s="33"/>
      <c r="N2429" s="33"/>
      <c r="O2429" s="33"/>
      <c r="P2429" s="33"/>
      <c r="Q2429" s="33"/>
      <c r="R2429" s="33"/>
      <c r="S2429" s="33"/>
      <c r="T2429" s="33"/>
      <c r="U2429" s="33"/>
      <c r="V2429" s="33"/>
      <c r="W2429" s="33"/>
      <c r="X2429" s="33"/>
      <c r="Y2429" s="33"/>
      <c r="Z2429" s="33"/>
      <c r="AA2429" s="33"/>
      <c r="AB2429" s="33"/>
    </row>
    <row r="2430" spans="1:28" x14ac:dyDescent="0.15">
      <c r="A2430" s="46" t="s">
        <v>4911</v>
      </c>
      <c r="B2430" s="52" t="s">
        <v>7361</v>
      </c>
      <c r="C2430" s="53" t="s">
        <v>4912</v>
      </c>
      <c r="D2430" s="54" t="s">
        <v>9872</v>
      </c>
      <c r="E2430" s="50">
        <f t="shared" si="82"/>
        <v>33.232876709999999</v>
      </c>
      <c r="F2430" s="51">
        <f t="shared" si="82"/>
        <v>4.6267639100000002</v>
      </c>
      <c r="H2430" s="33"/>
      <c r="I2430" s="33"/>
      <c r="J2430" s="33"/>
      <c r="K2430" s="33"/>
      <c r="L2430" s="33"/>
      <c r="M2430" s="33"/>
      <c r="N2430" s="33"/>
      <c r="O2430" s="33"/>
      <c r="P2430" s="33"/>
      <c r="Q2430" s="33"/>
      <c r="R2430" s="33"/>
      <c r="S2430" s="33"/>
      <c r="T2430" s="33"/>
      <c r="U2430" s="33"/>
      <c r="V2430" s="33"/>
      <c r="W2430" s="33"/>
      <c r="X2430" s="33"/>
      <c r="Y2430" s="33"/>
      <c r="Z2430" s="33"/>
      <c r="AA2430" s="33"/>
      <c r="AB2430" s="33"/>
    </row>
    <row r="2431" spans="1:28" x14ac:dyDescent="0.15">
      <c r="A2431" s="46" t="s">
        <v>4913</v>
      </c>
      <c r="B2431" s="52" t="s">
        <v>7361</v>
      </c>
      <c r="C2431" s="53" t="s">
        <v>4914</v>
      </c>
      <c r="D2431" s="54" t="s">
        <v>9873</v>
      </c>
      <c r="E2431" s="50">
        <f t="shared" si="82"/>
        <v>33.24657534</v>
      </c>
      <c r="F2431" s="51">
        <f t="shared" si="82"/>
        <v>4.6268336300000001</v>
      </c>
      <c r="H2431" s="33"/>
      <c r="I2431" s="33"/>
      <c r="J2431" s="33"/>
      <c r="K2431" s="33"/>
      <c r="L2431" s="33"/>
      <c r="M2431" s="33"/>
      <c r="N2431" s="33"/>
      <c r="O2431" s="33"/>
      <c r="P2431" s="33"/>
      <c r="Q2431" s="33"/>
      <c r="R2431" s="33"/>
      <c r="S2431" s="33"/>
      <c r="T2431" s="33"/>
      <c r="U2431" s="33"/>
      <c r="V2431" s="33"/>
      <c r="W2431" s="33"/>
      <c r="X2431" s="33"/>
      <c r="Y2431" s="33"/>
      <c r="Z2431" s="33"/>
      <c r="AA2431" s="33"/>
      <c r="AB2431" s="33"/>
    </row>
    <row r="2432" spans="1:28" x14ac:dyDescent="0.15">
      <c r="A2432" s="46" t="s">
        <v>4915</v>
      </c>
      <c r="B2432" s="52" t="s">
        <v>7361</v>
      </c>
      <c r="C2432" s="53" t="s">
        <v>4916</v>
      </c>
      <c r="D2432" s="54" t="s">
        <v>9874</v>
      </c>
      <c r="E2432" s="50">
        <f t="shared" si="82"/>
        <v>33.26027397</v>
      </c>
      <c r="F2432" s="51">
        <f t="shared" si="82"/>
        <v>4.6269026499999999</v>
      </c>
      <c r="H2432" s="33"/>
      <c r="I2432" s="33"/>
      <c r="J2432" s="33"/>
      <c r="K2432" s="33"/>
      <c r="L2432" s="33"/>
      <c r="M2432" s="33"/>
      <c r="N2432" s="33"/>
      <c r="O2432" s="33"/>
      <c r="P2432" s="33"/>
      <c r="Q2432" s="33"/>
      <c r="R2432" s="33"/>
      <c r="S2432" s="33"/>
      <c r="T2432" s="33"/>
      <c r="U2432" s="33"/>
      <c r="V2432" s="33"/>
      <c r="W2432" s="33"/>
      <c r="X2432" s="33"/>
      <c r="Y2432" s="33"/>
      <c r="Z2432" s="33"/>
      <c r="AA2432" s="33"/>
      <c r="AB2432" s="33"/>
    </row>
    <row r="2433" spans="1:28" x14ac:dyDescent="0.15">
      <c r="A2433" s="46" t="s">
        <v>4917</v>
      </c>
      <c r="B2433" s="52" t="s">
        <v>7361</v>
      </c>
      <c r="C2433" s="53" t="s">
        <v>4918</v>
      </c>
      <c r="D2433" s="54" t="s">
        <v>9875</v>
      </c>
      <c r="E2433" s="50">
        <f t="shared" si="82"/>
        <v>33.2739726</v>
      </c>
      <c r="F2433" s="51">
        <f t="shared" si="82"/>
        <v>4.6269710899999996</v>
      </c>
      <c r="H2433" s="33"/>
      <c r="I2433" s="33"/>
      <c r="J2433" s="33"/>
      <c r="K2433" s="33"/>
      <c r="L2433" s="33"/>
      <c r="M2433" s="33"/>
      <c r="N2433" s="33"/>
      <c r="O2433" s="33"/>
      <c r="P2433" s="33"/>
      <c r="Q2433" s="33"/>
      <c r="R2433" s="33"/>
      <c r="S2433" s="33"/>
      <c r="T2433" s="33"/>
      <c r="U2433" s="33"/>
      <c r="V2433" s="33"/>
      <c r="W2433" s="33"/>
      <c r="X2433" s="33"/>
      <c r="Y2433" s="33"/>
      <c r="Z2433" s="33"/>
      <c r="AA2433" s="33"/>
      <c r="AB2433" s="33"/>
    </row>
    <row r="2434" spans="1:28" x14ac:dyDescent="0.15">
      <c r="A2434" s="46" t="s">
        <v>4919</v>
      </c>
      <c r="B2434" s="52" t="s">
        <v>7361</v>
      </c>
      <c r="C2434" s="53" t="s">
        <v>4920</v>
      </c>
      <c r="D2434" s="54" t="s">
        <v>9876</v>
      </c>
      <c r="E2434" s="50">
        <f t="shared" si="82"/>
        <v>33.287671230000001</v>
      </c>
      <c r="F2434" s="51">
        <f t="shared" si="82"/>
        <v>4.6270390399999997</v>
      </c>
      <c r="H2434" s="33"/>
      <c r="I2434" s="33"/>
      <c r="J2434" s="33"/>
      <c r="K2434" s="33"/>
      <c r="L2434" s="33"/>
      <c r="M2434" s="33"/>
      <c r="N2434" s="33"/>
      <c r="O2434" s="33"/>
      <c r="P2434" s="33"/>
      <c r="Q2434" s="33"/>
      <c r="R2434" s="33"/>
      <c r="S2434" s="33"/>
      <c r="T2434" s="33"/>
      <c r="U2434" s="33"/>
      <c r="V2434" s="33"/>
      <c r="W2434" s="33"/>
      <c r="X2434" s="33"/>
      <c r="Y2434" s="33"/>
      <c r="Z2434" s="33"/>
      <c r="AA2434" s="33"/>
      <c r="AB2434" s="33"/>
    </row>
    <row r="2435" spans="1:28" x14ac:dyDescent="0.15">
      <c r="A2435" s="46" t="s">
        <v>4921</v>
      </c>
      <c r="B2435" s="52" t="s">
        <v>7361</v>
      </c>
      <c r="C2435" s="53" t="s">
        <v>4922</v>
      </c>
      <c r="D2435" s="54" t="s">
        <v>9877</v>
      </c>
      <c r="E2435" s="50">
        <f t="shared" si="82"/>
        <v>33.301369860000001</v>
      </c>
      <c r="F2435" s="51">
        <f t="shared" si="82"/>
        <v>4.6271066300000001</v>
      </c>
      <c r="H2435" s="33"/>
      <c r="I2435" s="33"/>
      <c r="J2435" s="33"/>
      <c r="K2435" s="33"/>
      <c r="L2435" s="33"/>
      <c r="M2435" s="33"/>
      <c r="N2435" s="33"/>
      <c r="O2435" s="33"/>
      <c r="P2435" s="33"/>
      <c r="Q2435" s="33"/>
      <c r="R2435" s="33"/>
      <c r="S2435" s="33"/>
      <c r="T2435" s="33"/>
      <c r="U2435" s="33"/>
      <c r="V2435" s="33"/>
      <c r="W2435" s="33"/>
      <c r="X2435" s="33"/>
      <c r="Y2435" s="33"/>
      <c r="Z2435" s="33"/>
      <c r="AA2435" s="33"/>
      <c r="AB2435" s="33"/>
    </row>
    <row r="2436" spans="1:28" x14ac:dyDescent="0.15">
      <c r="A2436" s="46" t="s">
        <v>4923</v>
      </c>
      <c r="B2436" s="52" t="s">
        <v>7361</v>
      </c>
      <c r="C2436" s="53" t="s">
        <v>4924</v>
      </c>
      <c r="D2436" s="54" t="s">
        <v>9878</v>
      </c>
      <c r="E2436" s="50">
        <f t="shared" si="82"/>
        <v>33.315068490000002</v>
      </c>
      <c r="F2436" s="51">
        <f t="shared" si="82"/>
        <v>4.6271739600000004</v>
      </c>
      <c r="H2436" s="33"/>
      <c r="I2436" s="33"/>
      <c r="J2436" s="33"/>
      <c r="K2436" s="33"/>
      <c r="L2436" s="33"/>
      <c r="M2436" s="33"/>
      <c r="N2436" s="33"/>
      <c r="O2436" s="33"/>
      <c r="P2436" s="33"/>
      <c r="Q2436" s="33"/>
      <c r="R2436" s="33"/>
      <c r="S2436" s="33"/>
      <c r="T2436" s="33"/>
      <c r="U2436" s="33"/>
      <c r="V2436" s="33"/>
      <c r="W2436" s="33"/>
      <c r="X2436" s="33"/>
      <c r="Y2436" s="33"/>
      <c r="Z2436" s="33"/>
      <c r="AA2436" s="33"/>
      <c r="AB2436" s="33"/>
    </row>
    <row r="2437" spans="1:28" x14ac:dyDescent="0.15">
      <c r="A2437" s="46" t="s">
        <v>4925</v>
      </c>
      <c r="B2437" s="52" t="s">
        <v>7361</v>
      </c>
      <c r="C2437" s="53" t="s">
        <v>4926</v>
      </c>
      <c r="D2437" s="54" t="s">
        <v>9879</v>
      </c>
      <c r="E2437" s="50">
        <f t="shared" si="82"/>
        <v>33.328767120000002</v>
      </c>
      <c r="F2437" s="51">
        <f t="shared" si="82"/>
        <v>4.6272411399999998</v>
      </c>
      <c r="H2437" s="33"/>
      <c r="I2437" s="33"/>
      <c r="J2437" s="33"/>
      <c r="K2437" s="33"/>
      <c r="L2437" s="33"/>
      <c r="M2437" s="33"/>
      <c r="N2437" s="33"/>
      <c r="O2437" s="33"/>
      <c r="P2437" s="33"/>
      <c r="Q2437" s="33"/>
      <c r="R2437" s="33"/>
      <c r="S2437" s="33"/>
      <c r="T2437" s="33"/>
      <c r="U2437" s="33"/>
      <c r="V2437" s="33"/>
      <c r="W2437" s="33"/>
      <c r="X2437" s="33"/>
      <c r="Y2437" s="33"/>
      <c r="Z2437" s="33"/>
      <c r="AA2437" s="33"/>
      <c r="AB2437" s="33"/>
    </row>
    <row r="2438" spans="1:28" x14ac:dyDescent="0.15">
      <c r="A2438" s="46" t="s">
        <v>4927</v>
      </c>
      <c r="B2438" s="52" t="s">
        <v>7361</v>
      </c>
      <c r="C2438" s="53" t="s">
        <v>4928</v>
      </c>
      <c r="D2438" s="54" t="s">
        <v>9880</v>
      </c>
      <c r="E2438" s="50">
        <f t="shared" si="82"/>
        <v>33.342465750000002</v>
      </c>
      <c r="F2438" s="51">
        <f t="shared" si="82"/>
        <v>4.6273082900000002</v>
      </c>
      <c r="H2438" s="33"/>
      <c r="I2438" s="33"/>
      <c r="J2438" s="33"/>
      <c r="K2438" s="33"/>
      <c r="L2438" s="33"/>
      <c r="M2438" s="33"/>
      <c r="N2438" s="33"/>
      <c r="O2438" s="33"/>
      <c r="P2438" s="33"/>
      <c r="Q2438" s="33"/>
      <c r="R2438" s="33"/>
      <c r="S2438" s="33"/>
      <c r="T2438" s="33"/>
      <c r="U2438" s="33"/>
      <c r="V2438" s="33"/>
      <c r="W2438" s="33"/>
      <c r="X2438" s="33"/>
      <c r="Y2438" s="33"/>
      <c r="Z2438" s="33"/>
      <c r="AA2438" s="33"/>
      <c r="AB2438" s="33"/>
    </row>
    <row r="2439" spans="1:28" x14ac:dyDescent="0.15">
      <c r="A2439" s="46" t="s">
        <v>4929</v>
      </c>
      <c r="B2439" s="52" t="s">
        <v>7361</v>
      </c>
      <c r="C2439" s="53" t="s">
        <v>4930</v>
      </c>
      <c r="D2439" s="54" t="s">
        <v>9881</v>
      </c>
      <c r="E2439" s="50">
        <f t="shared" ref="E2439:F2469" si="83">VALUE(C2439)</f>
        <v>33.356164380000003</v>
      </c>
      <c r="F2439" s="51">
        <f t="shared" si="83"/>
        <v>4.6273755100000002</v>
      </c>
      <c r="H2439" s="33"/>
      <c r="I2439" s="33"/>
      <c r="J2439" s="33"/>
      <c r="K2439" s="33"/>
      <c r="L2439" s="33"/>
      <c r="M2439" s="33"/>
      <c r="N2439" s="33"/>
      <c r="O2439" s="33"/>
      <c r="P2439" s="33"/>
      <c r="Q2439" s="33"/>
      <c r="R2439" s="33"/>
      <c r="S2439" s="33"/>
      <c r="T2439" s="33"/>
      <c r="U2439" s="33"/>
      <c r="V2439" s="33"/>
      <c r="W2439" s="33"/>
      <c r="X2439" s="33"/>
      <c r="Y2439" s="33"/>
      <c r="Z2439" s="33"/>
      <c r="AA2439" s="33"/>
      <c r="AB2439" s="33"/>
    </row>
    <row r="2440" spans="1:28" x14ac:dyDescent="0.15">
      <c r="A2440" s="46" t="s">
        <v>4931</v>
      </c>
      <c r="B2440" s="52" t="s">
        <v>7361</v>
      </c>
      <c r="C2440" s="53" t="s">
        <v>4932</v>
      </c>
      <c r="D2440" s="54" t="s">
        <v>9882</v>
      </c>
      <c r="E2440" s="50">
        <f t="shared" si="83"/>
        <v>33.369863010000003</v>
      </c>
      <c r="F2440" s="51">
        <f t="shared" si="83"/>
        <v>4.6274429100000001</v>
      </c>
      <c r="H2440" s="33"/>
      <c r="I2440" s="33"/>
      <c r="J2440" s="33"/>
      <c r="K2440" s="33"/>
      <c r="L2440" s="33"/>
      <c r="M2440" s="33"/>
      <c r="N2440" s="33"/>
      <c r="O2440" s="33"/>
      <c r="P2440" s="33"/>
      <c r="Q2440" s="33"/>
      <c r="R2440" s="33"/>
      <c r="S2440" s="33"/>
      <c r="T2440" s="33"/>
      <c r="U2440" s="33"/>
      <c r="V2440" s="33"/>
      <c r="W2440" s="33"/>
      <c r="X2440" s="33"/>
      <c r="Y2440" s="33"/>
      <c r="Z2440" s="33"/>
      <c r="AA2440" s="33"/>
      <c r="AB2440" s="33"/>
    </row>
    <row r="2441" spans="1:28" x14ac:dyDescent="0.15">
      <c r="A2441" s="46" t="s">
        <v>4933</v>
      </c>
      <c r="B2441" s="52" t="s">
        <v>7361</v>
      </c>
      <c r="C2441" s="53" t="s">
        <v>4934</v>
      </c>
      <c r="D2441" s="54" t="s">
        <v>9883</v>
      </c>
      <c r="E2441" s="50">
        <f t="shared" si="83"/>
        <v>33.383561640000003</v>
      </c>
      <c r="F2441" s="51">
        <f t="shared" si="83"/>
        <v>4.6275106099999999</v>
      </c>
      <c r="H2441" s="33"/>
      <c r="I2441" s="33"/>
      <c r="J2441" s="33"/>
      <c r="K2441" s="33"/>
      <c r="L2441" s="33"/>
      <c r="M2441" s="33"/>
      <c r="N2441" s="33"/>
      <c r="O2441" s="33"/>
      <c r="P2441" s="33"/>
      <c r="Q2441" s="33"/>
      <c r="R2441" s="33"/>
      <c r="S2441" s="33"/>
      <c r="T2441" s="33"/>
      <c r="U2441" s="33"/>
      <c r="V2441" s="33"/>
      <c r="W2441" s="33"/>
      <c r="X2441" s="33"/>
      <c r="Y2441" s="33"/>
      <c r="Z2441" s="33"/>
      <c r="AA2441" s="33"/>
      <c r="AB2441" s="33"/>
    </row>
    <row r="2442" spans="1:28" x14ac:dyDescent="0.15">
      <c r="A2442" s="46" t="s">
        <v>4935</v>
      </c>
      <c r="B2442" s="52" t="s">
        <v>7361</v>
      </c>
      <c r="C2442" s="53" t="s">
        <v>4936</v>
      </c>
      <c r="D2442" s="54" t="s">
        <v>9884</v>
      </c>
      <c r="E2442" s="50">
        <f t="shared" si="83"/>
        <v>33.397260269999997</v>
      </c>
      <c r="F2442" s="51">
        <f t="shared" si="83"/>
        <v>4.6275787099999999</v>
      </c>
      <c r="H2442" s="33"/>
      <c r="I2442" s="33"/>
      <c r="J2442" s="33"/>
      <c r="K2442" s="33"/>
      <c r="L2442" s="33"/>
      <c r="M2442" s="33"/>
      <c r="N2442" s="33"/>
      <c r="O2442" s="33"/>
      <c r="P2442" s="33"/>
      <c r="Q2442" s="33"/>
      <c r="R2442" s="33"/>
      <c r="S2442" s="33"/>
      <c r="T2442" s="33"/>
      <c r="U2442" s="33"/>
      <c r="V2442" s="33"/>
      <c r="W2442" s="33"/>
      <c r="X2442" s="33"/>
      <c r="Y2442" s="33"/>
      <c r="Z2442" s="33"/>
      <c r="AA2442" s="33"/>
      <c r="AB2442" s="33"/>
    </row>
    <row r="2443" spans="1:28" x14ac:dyDescent="0.15">
      <c r="A2443" s="46" t="s">
        <v>4937</v>
      </c>
      <c r="B2443" s="52" t="s">
        <v>7361</v>
      </c>
      <c r="C2443" s="53" t="s">
        <v>4938</v>
      </c>
      <c r="D2443" s="54" t="s">
        <v>9885</v>
      </c>
      <c r="E2443" s="50">
        <f t="shared" si="83"/>
        <v>33.410958899999997</v>
      </c>
      <c r="F2443" s="51">
        <f t="shared" si="83"/>
        <v>4.6276473300000003</v>
      </c>
      <c r="H2443" s="33"/>
      <c r="I2443" s="33"/>
      <c r="J2443" s="33"/>
      <c r="K2443" s="33"/>
      <c r="L2443" s="33"/>
      <c r="M2443" s="33"/>
      <c r="N2443" s="33"/>
      <c r="O2443" s="33"/>
      <c r="P2443" s="33"/>
      <c r="Q2443" s="33"/>
      <c r="R2443" s="33"/>
      <c r="S2443" s="33"/>
      <c r="T2443" s="33"/>
      <c r="U2443" s="33"/>
      <c r="V2443" s="33"/>
      <c r="W2443" s="33"/>
      <c r="X2443" s="33"/>
      <c r="Y2443" s="33"/>
      <c r="Z2443" s="33"/>
      <c r="AA2443" s="33"/>
      <c r="AB2443" s="33"/>
    </row>
    <row r="2444" spans="1:28" x14ac:dyDescent="0.15">
      <c r="A2444" s="46" t="s">
        <v>4939</v>
      </c>
      <c r="B2444" s="52" t="s">
        <v>7361</v>
      </c>
      <c r="C2444" s="53" t="s">
        <v>4940</v>
      </c>
      <c r="D2444" s="54" t="s">
        <v>9886</v>
      </c>
      <c r="E2444" s="50">
        <f t="shared" si="83"/>
        <v>33.424657529999998</v>
      </c>
      <c r="F2444" s="51">
        <f t="shared" si="83"/>
        <v>4.6277165699999996</v>
      </c>
      <c r="H2444" s="33"/>
      <c r="I2444" s="33"/>
      <c r="J2444" s="33"/>
      <c r="K2444" s="33"/>
      <c r="L2444" s="33"/>
      <c r="M2444" s="33"/>
      <c r="N2444" s="33"/>
      <c r="O2444" s="33"/>
      <c r="P2444" s="33"/>
      <c r="Q2444" s="33"/>
      <c r="R2444" s="33"/>
      <c r="S2444" s="33"/>
      <c r="T2444" s="33"/>
      <c r="U2444" s="33"/>
      <c r="V2444" s="33"/>
      <c r="W2444" s="33"/>
      <c r="X2444" s="33"/>
      <c r="Y2444" s="33"/>
      <c r="Z2444" s="33"/>
      <c r="AA2444" s="33"/>
      <c r="AB2444" s="33"/>
    </row>
    <row r="2445" spans="1:28" x14ac:dyDescent="0.15">
      <c r="A2445" s="46" t="s">
        <v>4941</v>
      </c>
      <c r="B2445" s="52" t="s">
        <v>7361</v>
      </c>
      <c r="C2445" s="53" t="s">
        <v>4942</v>
      </c>
      <c r="D2445" s="54" t="s">
        <v>9887</v>
      </c>
      <c r="E2445" s="50">
        <f t="shared" si="83"/>
        <v>33.438356159999998</v>
      </c>
      <c r="F2445" s="51">
        <f t="shared" si="83"/>
        <v>4.6277865499999997</v>
      </c>
      <c r="H2445" s="33"/>
      <c r="I2445" s="33"/>
      <c r="J2445" s="33"/>
      <c r="K2445" s="33"/>
      <c r="L2445" s="33"/>
      <c r="M2445" s="33"/>
      <c r="N2445" s="33"/>
      <c r="O2445" s="33"/>
      <c r="P2445" s="33"/>
      <c r="Q2445" s="33"/>
      <c r="R2445" s="33"/>
      <c r="S2445" s="33"/>
      <c r="T2445" s="33"/>
      <c r="U2445" s="33"/>
      <c r="V2445" s="33"/>
      <c r="W2445" s="33"/>
      <c r="X2445" s="33"/>
      <c r="Y2445" s="33"/>
      <c r="Z2445" s="33"/>
      <c r="AA2445" s="33"/>
      <c r="AB2445" s="33"/>
    </row>
    <row r="2446" spans="1:28" x14ac:dyDescent="0.15">
      <c r="A2446" s="46" t="s">
        <v>4943</v>
      </c>
      <c r="B2446" s="52" t="s">
        <v>7361</v>
      </c>
      <c r="C2446" s="53" t="s">
        <v>4944</v>
      </c>
      <c r="D2446" s="54" t="s">
        <v>9888</v>
      </c>
      <c r="E2446" s="50">
        <f t="shared" si="83"/>
        <v>33.452054789999998</v>
      </c>
      <c r="F2446" s="51">
        <f t="shared" si="83"/>
        <v>4.62785738</v>
      </c>
      <c r="H2446" s="33"/>
      <c r="I2446" s="33"/>
      <c r="J2446" s="33"/>
      <c r="K2446" s="33"/>
      <c r="L2446" s="33"/>
      <c r="M2446" s="33"/>
      <c r="N2446" s="33"/>
      <c r="O2446" s="33"/>
      <c r="P2446" s="33"/>
      <c r="Q2446" s="33"/>
      <c r="R2446" s="33"/>
      <c r="S2446" s="33"/>
      <c r="T2446" s="33"/>
      <c r="U2446" s="33"/>
      <c r="V2446" s="33"/>
      <c r="W2446" s="33"/>
      <c r="X2446" s="33"/>
      <c r="Y2446" s="33"/>
      <c r="Z2446" s="33"/>
      <c r="AA2446" s="33"/>
      <c r="AB2446" s="33"/>
    </row>
    <row r="2447" spans="1:28" x14ac:dyDescent="0.15">
      <c r="A2447" s="46" t="s">
        <v>4945</v>
      </c>
      <c r="B2447" s="52" t="s">
        <v>7361</v>
      </c>
      <c r="C2447" s="53" t="s">
        <v>4946</v>
      </c>
      <c r="D2447" s="54" t="s">
        <v>9889</v>
      </c>
      <c r="E2447" s="50">
        <f t="shared" si="83"/>
        <v>33.465753419999999</v>
      </c>
      <c r="F2447" s="51">
        <f t="shared" si="83"/>
        <v>4.6279291599999999</v>
      </c>
      <c r="H2447" s="33"/>
      <c r="I2447" s="33"/>
      <c r="J2447" s="33"/>
      <c r="K2447" s="33"/>
      <c r="L2447" s="33"/>
      <c r="M2447" s="33"/>
      <c r="N2447" s="33"/>
      <c r="O2447" s="33"/>
      <c r="P2447" s="33"/>
      <c r="Q2447" s="33"/>
      <c r="R2447" s="33"/>
      <c r="S2447" s="33"/>
      <c r="T2447" s="33"/>
      <c r="U2447" s="33"/>
      <c r="V2447" s="33"/>
      <c r="W2447" s="33"/>
      <c r="X2447" s="33"/>
      <c r="Y2447" s="33"/>
      <c r="Z2447" s="33"/>
      <c r="AA2447" s="33"/>
      <c r="AB2447" s="33"/>
    </row>
    <row r="2448" spans="1:28" x14ac:dyDescent="0.15">
      <c r="A2448" s="46" t="s">
        <v>4947</v>
      </c>
      <c r="B2448" s="52" t="s">
        <v>7361</v>
      </c>
      <c r="C2448" s="53" t="s">
        <v>4948</v>
      </c>
      <c r="D2448" s="54" t="s">
        <v>9890</v>
      </c>
      <c r="E2448" s="50">
        <f t="shared" si="83"/>
        <v>33.479452049999999</v>
      </c>
      <c r="F2448" s="51">
        <f t="shared" si="83"/>
        <v>4.6280020100000003</v>
      </c>
      <c r="H2448" s="33"/>
      <c r="I2448" s="33"/>
      <c r="J2448" s="33"/>
      <c r="K2448" s="33"/>
      <c r="L2448" s="33"/>
      <c r="M2448" s="33"/>
      <c r="N2448" s="33"/>
      <c r="O2448" s="33"/>
      <c r="P2448" s="33"/>
      <c r="Q2448" s="33"/>
      <c r="R2448" s="33"/>
      <c r="S2448" s="33"/>
      <c r="T2448" s="33"/>
      <c r="U2448" s="33"/>
      <c r="V2448" s="33"/>
      <c r="W2448" s="33"/>
      <c r="X2448" s="33"/>
      <c r="Y2448" s="33"/>
      <c r="Z2448" s="33"/>
      <c r="AA2448" s="33"/>
      <c r="AB2448" s="33"/>
    </row>
    <row r="2449" spans="1:28" x14ac:dyDescent="0.15">
      <c r="A2449" s="46" t="s">
        <v>4949</v>
      </c>
      <c r="B2449" s="52" t="s">
        <v>7361</v>
      </c>
      <c r="C2449" s="53" t="s">
        <v>4950</v>
      </c>
      <c r="D2449" s="54" t="s">
        <v>9891</v>
      </c>
      <c r="E2449" s="50">
        <f t="shared" si="83"/>
        <v>33.493150679999999</v>
      </c>
      <c r="F2449" s="51">
        <f t="shared" si="83"/>
        <v>4.6280760399999998</v>
      </c>
      <c r="H2449" s="33"/>
      <c r="I2449" s="33"/>
      <c r="J2449" s="33"/>
      <c r="K2449" s="33"/>
      <c r="L2449" s="33"/>
      <c r="M2449" s="33"/>
      <c r="N2449" s="33"/>
      <c r="O2449" s="33"/>
      <c r="P2449" s="33"/>
      <c r="Q2449" s="33"/>
      <c r="R2449" s="33"/>
      <c r="S2449" s="33"/>
      <c r="T2449" s="33"/>
      <c r="U2449" s="33"/>
      <c r="V2449" s="33"/>
      <c r="W2449" s="33"/>
      <c r="X2449" s="33"/>
      <c r="Y2449" s="33"/>
      <c r="Z2449" s="33"/>
      <c r="AA2449" s="33"/>
      <c r="AB2449" s="33"/>
    </row>
    <row r="2450" spans="1:28" x14ac:dyDescent="0.15">
      <c r="A2450" s="46" t="s">
        <v>4951</v>
      </c>
      <c r="B2450" s="52" t="s">
        <v>7361</v>
      </c>
      <c r="C2450" s="53" t="s">
        <v>4952</v>
      </c>
      <c r="D2450" s="54" t="s">
        <v>9892</v>
      </c>
      <c r="E2450" s="50">
        <f t="shared" si="83"/>
        <v>33.506849320000001</v>
      </c>
      <c r="F2450" s="51">
        <f t="shared" si="83"/>
        <v>4.6281508899999997</v>
      </c>
      <c r="H2450" s="33"/>
      <c r="I2450" s="33"/>
      <c r="J2450" s="33"/>
      <c r="K2450" s="33"/>
      <c r="L2450" s="33"/>
      <c r="M2450" s="33"/>
      <c r="N2450" s="33"/>
      <c r="O2450" s="33"/>
      <c r="P2450" s="33"/>
      <c r="Q2450" s="33"/>
      <c r="R2450" s="33"/>
      <c r="S2450" s="33"/>
      <c r="T2450" s="33"/>
      <c r="U2450" s="33"/>
      <c r="V2450" s="33"/>
      <c r="W2450" s="33"/>
      <c r="X2450" s="33"/>
      <c r="Y2450" s="33"/>
      <c r="Z2450" s="33"/>
      <c r="AA2450" s="33"/>
      <c r="AB2450" s="33"/>
    </row>
    <row r="2451" spans="1:28" x14ac:dyDescent="0.15">
      <c r="A2451" s="46" t="s">
        <v>4953</v>
      </c>
      <c r="B2451" s="52" t="s">
        <v>7361</v>
      </c>
      <c r="C2451" s="53" t="s">
        <v>4954</v>
      </c>
      <c r="D2451" s="54" t="s">
        <v>9893</v>
      </c>
      <c r="E2451" s="50">
        <f t="shared" si="83"/>
        <v>33.520547950000001</v>
      </c>
      <c r="F2451" s="51">
        <f t="shared" si="83"/>
        <v>4.6282238700000002</v>
      </c>
      <c r="H2451" s="33"/>
      <c r="I2451" s="33"/>
      <c r="J2451" s="33"/>
      <c r="K2451" s="33"/>
      <c r="L2451" s="33"/>
      <c r="M2451" s="33"/>
      <c r="N2451" s="33"/>
      <c r="O2451" s="33"/>
      <c r="P2451" s="33"/>
      <c r="Q2451" s="33"/>
      <c r="R2451" s="33"/>
      <c r="S2451" s="33"/>
      <c r="T2451" s="33"/>
      <c r="U2451" s="33"/>
      <c r="V2451" s="33"/>
      <c r="W2451" s="33"/>
      <c r="X2451" s="33"/>
      <c r="Y2451" s="33"/>
      <c r="Z2451" s="33"/>
      <c r="AA2451" s="33"/>
      <c r="AB2451" s="33"/>
    </row>
    <row r="2452" spans="1:28" x14ac:dyDescent="0.15">
      <c r="A2452" s="46" t="s">
        <v>4955</v>
      </c>
      <c r="B2452" s="52" t="s">
        <v>7361</v>
      </c>
      <c r="C2452" s="53" t="s">
        <v>4956</v>
      </c>
      <c r="D2452" s="54" t="s">
        <v>9894</v>
      </c>
      <c r="E2452" s="50">
        <f t="shared" si="83"/>
        <v>33.534246580000001</v>
      </c>
      <c r="F2452" s="51">
        <f t="shared" si="83"/>
        <v>4.6282946000000003</v>
      </c>
      <c r="H2452" s="33"/>
      <c r="I2452" s="33"/>
      <c r="J2452" s="33"/>
      <c r="K2452" s="33"/>
      <c r="L2452" s="33"/>
      <c r="M2452" s="33"/>
      <c r="N2452" s="33"/>
      <c r="O2452" s="33"/>
      <c r="P2452" s="33"/>
      <c r="Q2452" s="33"/>
      <c r="R2452" s="33"/>
      <c r="S2452" s="33"/>
      <c r="T2452" s="33"/>
      <c r="U2452" s="33"/>
      <c r="V2452" s="33"/>
      <c r="W2452" s="33"/>
      <c r="X2452" s="33"/>
      <c r="Y2452" s="33"/>
      <c r="Z2452" s="33"/>
      <c r="AA2452" s="33"/>
      <c r="AB2452" s="33"/>
    </row>
    <row r="2453" spans="1:28" x14ac:dyDescent="0.15">
      <c r="A2453" s="46" t="s">
        <v>4957</v>
      </c>
      <c r="B2453" s="52" t="s">
        <v>7361</v>
      </c>
      <c r="C2453" s="53" t="s">
        <v>4958</v>
      </c>
      <c r="D2453" s="54" t="s">
        <v>9895</v>
      </c>
      <c r="E2453" s="50">
        <f t="shared" si="83"/>
        <v>33.547945210000002</v>
      </c>
      <c r="F2453" s="51">
        <f t="shared" si="83"/>
        <v>4.62836319</v>
      </c>
      <c r="H2453" s="33"/>
      <c r="I2453" s="33"/>
      <c r="J2453" s="33"/>
      <c r="K2453" s="33"/>
      <c r="L2453" s="33"/>
      <c r="M2453" s="33"/>
      <c r="N2453" s="33"/>
      <c r="O2453" s="33"/>
      <c r="P2453" s="33"/>
      <c r="Q2453" s="33"/>
      <c r="R2453" s="33"/>
      <c r="S2453" s="33"/>
      <c r="T2453" s="33"/>
      <c r="U2453" s="33"/>
      <c r="V2453" s="33"/>
      <c r="W2453" s="33"/>
      <c r="X2453" s="33"/>
      <c r="Y2453" s="33"/>
      <c r="Z2453" s="33"/>
      <c r="AA2453" s="33"/>
      <c r="AB2453" s="33"/>
    </row>
    <row r="2454" spans="1:28" x14ac:dyDescent="0.15">
      <c r="A2454" s="46" t="s">
        <v>4959</v>
      </c>
      <c r="B2454" s="52" t="s">
        <v>7361</v>
      </c>
      <c r="C2454" s="53" t="s">
        <v>4960</v>
      </c>
      <c r="D2454" s="54" t="s">
        <v>9896</v>
      </c>
      <c r="E2454" s="50">
        <f t="shared" si="83"/>
        <v>33.561643840000002</v>
      </c>
      <c r="F2454" s="51">
        <f t="shared" si="83"/>
        <v>4.6284297399999996</v>
      </c>
      <c r="H2454" s="33"/>
      <c r="I2454" s="33"/>
      <c r="J2454" s="33"/>
      <c r="K2454" s="33"/>
      <c r="L2454" s="33"/>
      <c r="M2454" s="33"/>
      <c r="N2454" s="33"/>
      <c r="O2454" s="33"/>
      <c r="P2454" s="33"/>
      <c r="Q2454" s="33"/>
      <c r="R2454" s="33"/>
      <c r="S2454" s="33"/>
      <c r="T2454" s="33"/>
      <c r="U2454" s="33"/>
      <c r="V2454" s="33"/>
      <c r="W2454" s="33"/>
      <c r="X2454" s="33"/>
      <c r="Y2454" s="33"/>
      <c r="Z2454" s="33"/>
      <c r="AA2454" s="33"/>
      <c r="AB2454" s="33"/>
    </row>
    <row r="2455" spans="1:28" x14ac:dyDescent="0.15">
      <c r="A2455" s="46" t="s">
        <v>4961</v>
      </c>
      <c r="B2455" s="52" t="s">
        <v>7361</v>
      </c>
      <c r="C2455" s="53" t="s">
        <v>4962</v>
      </c>
      <c r="D2455" s="54" t="s">
        <v>9897</v>
      </c>
      <c r="E2455" s="50">
        <f t="shared" si="83"/>
        <v>33.575342470000002</v>
      </c>
      <c r="F2455" s="51">
        <f t="shared" si="83"/>
        <v>4.6284943399999996</v>
      </c>
      <c r="H2455" s="33"/>
      <c r="I2455" s="33"/>
      <c r="J2455" s="33"/>
      <c r="K2455" s="33"/>
      <c r="L2455" s="33"/>
      <c r="M2455" s="33"/>
      <c r="N2455" s="33"/>
      <c r="O2455" s="33"/>
      <c r="P2455" s="33"/>
      <c r="Q2455" s="33"/>
      <c r="R2455" s="33"/>
      <c r="S2455" s="33"/>
      <c r="T2455" s="33"/>
      <c r="U2455" s="33"/>
      <c r="V2455" s="33"/>
      <c r="W2455" s="33"/>
      <c r="X2455" s="33"/>
      <c r="Y2455" s="33"/>
      <c r="Z2455" s="33"/>
      <c r="AA2455" s="33"/>
      <c r="AB2455" s="33"/>
    </row>
    <row r="2456" spans="1:28" x14ac:dyDescent="0.15">
      <c r="A2456" s="46" t="s">
        <v>4963</v>
      </c>
      <c r="B2456" s="52" t="s">
        <v>7361</v>
      </c>
      <c r="C2456" s="53" t="s">
        <v>4964</v>
      </c>
      <c r="D2456" s="54" t="s">
        <v>9898</v>
      </c>
      <c r="E2456" s="50">
        <f t="shared" si="83"/>
        <v>33.589041100000003</v>
      </c>
      <c r="F2456" s="51">
        <f t="shared" si="83"/>
        <v>4.6285570900000002</v>
      </c>
      <c r="H2456" s="33"/>
      <c r="I2456" s="33"/>
      <c r="J2456" s="33"/>
      <c r="K2456" s="33"/>
      <c r="L2456" s="33"/>
      <c r="M2456" s="33"/>
      <c r="N2456" s="33"/>
      <c r="O2456" s="33"/>
      <c r="P2456" s="33"/>
      <c r="Q2456" s="33"/>
      <c r="R2456" s="33"/>
      <c r="S2456" s="33"/>
      <c r="T2456" s="33"/>
      <c r="U2456" s="33"/>
      <c r="V2456" s="33"/>
      <c r="W2456" s="33"/>
      <c r="X2456" s="33"/>
      <c r="Y2456" s="33"/>
      <c r="Z2456" s="33"/>
      <c r="AA2456" s="33"/>
      <c r="AB2456" s="33"/>
    </row>
    <row r="2457" spans="1:28" x14ac:dyDescent="0.15">
      <c r="A2457" s="46" t="s">
        <v>4965</v>
      </c>
      <c r="B2457" s="52" t="s">
        <v>7361</v>
      </c>
      <c r="C2457" s="53" t="s">
        <v>4966</v>
      </c>
      <c r="D2457" s="54" t="s">
        <v>9899</v>
      </c>
      <c r="E2457" s="50">
        <f t="shared" si="83"/>
        <v>33.602739730000003</v>
      </c>
      <c r="F2457" s="51">
        <f t="shared" si="83"/>
        <v>4.6286180999999997</v>
      </c>
      <c r="H2457" s="33"/>
      <c r="I2457" s="33"/>
      <c r="J2457" s="33"/>
      <c r="K2457" s="33"/>
      <c r="L2457" s="33"/>
      <c r="M2457" s="33"/>
      <c r="N2457" s="33"/>
      <c r="O2457" s="33"/>
      <c r="P2457" s="33"/>
      <c r="Q2457" s="33"/>
      <c r="R2457" s="33"/>
      <c r="S2457" s="33"/>
      <c r="T2457" s="33"/>
      <c r="U2457" s="33"/>
      <c r="V2457" s="33"/>
      <c r="W2457" s="33"/>
      <c r="X2457" s="33"/>
      <c r="Y2457" s="33"/>
      <c r="Z2457" s="33"/>
      <c r="AA2457" s="33"/>
      <c r="AB2457" s="33"/>
    </row>
    <row r="2458" spans="1:28" x14ac:dyDescent="0.15">
      <c r="A2458" s="46" t="s">
        <v>4967</v>
      </c>
      <c r="B2458" s="52" t="s">
        <v>7361</v>
      </c>
      <c r="C2458" s="53" t="s">
        <v>4968</v>
      </c>
      <c r="D2458" s="54" t="s">
        <v>9900</v>
      </c>
      <c r="E2458" s="50">
        <f t="shared" si="83"/>
        <v>33.616438359999997</v>
      </c>
      <c r="F2458" s="51">
        <f t="shared" si="83"/>
        <v>4.6286774399999997</v>
      </c>
      <c r="H2458" s="33"/>
      <c r="I2458" s="33"/>
      <c r="J2458" s="33"/>
      <c r="K2458" s="33"/>
      <c r="L2458" s="33"/>
      <c r="M2458" s="33"/>
      <c r="N2458" s="33"/>
      <c r="O2458" s="33"/>
      <c r="P2458" s="33"/>
      <c r="Q2458" s="33"/>
      <c r="R2458" s="33"/>
      <c r="S2458" s="33"/>
      <c r="T2458" s="33"/>
      <c r="U2458" s="33"/>
      <c r="V2458" s="33"/>
      <c r="W2458" s="33"/>
      <c r="X2458" s="33"/>
      <c r="Y2458" s="33"/>
      <c r="Z2458" s="33"/>
      <c r="AA2458" s="33"/>
      <c r="AB2458" s="33"/>
    </row>
    <row r="2459" spans="1:28" x14ac:dyDescent="0.15">
      <c r="A2459" s="46" t="s">
        <v>4969</v>
      </c>
      <c r="B2459" s="52" t="s">
        <v>7361</v>
      </c>
      <c r="C2459" s="53" t="s">
        <v>4970</v>
      </c>
      <c r="D2459" s="54" t="s">
        <v>9901</v>
      </c>
      <c r="E2459" s="50">
        <f t="shared" si="83"/>
        <v>33.630136989999997</v>
      </c>
      <c r="F2459" s="51">
        <f t="shared" si="83"/>
        <v>4.6287352400000001</v>
      </c>
      <c r="H2459" s="33"/>
      <c r="I2459" s="33"/>
      <c r="J2459" s="33"/>
      <c r="K2459" s="33"/>
      <c r="L2459" s="33"/>
      <c r="M2459" s="33"/>
      <c r="N2459" s="33"/>
      <c r="O2459" s="33"/>
      <c r="P2459" s="33"/>
      <c r="Q2459" s="33"/>
      <c r="R2459" s="33"/>
      <c r="S2459" s="33"/>
      <c r="T2459" s="33"/>
      <c r="U2459" s="33"/>
      <c r="V2459" s="33"/>
      <c r="W2459" s="33"/>
      <c r="X2459" s="33"/>
      <c r="Y2459" s="33"/>
      <c r="Z2459" s="33"/>
      <c r="AA2459" s="33"/>
      <c r="AB2459" s="33"/>
    </row>
    <row r="2460" spans="1:28" x14ac:dyDescent="0.15">
      <c r="A2460" s="46" t="s">
        <v>4971</v>
      </c>
      <c r="B2460" s="52" t="s">
        <v>7361</v>
      </c>
      <c r="C2460" s="53" t="s">
        <v>4972</v>
      </c>
      <c r="D2460" s="54" t="s">
        <v>9902</v>
      </c>
      <c r="E2460" s="50">
        <f t="shared" si="83"/>
        <v>33.643835619999997</v>
      </c>
      <c r="F2460" s="51">
        <f t="shared" si="83"/>
        <v>4.6287915799999997</v>
      </c>
      <c r="H2460" s="33"/>
      <c r="I2460" s="33"/>
      <c r="J2460" s="33"/>
      <c r="K2460" s="33"/>
      <c r="L2460" s="33"/>
      <c r="M2460" s="33"/>
      <c r="N2460" s="33"/>
      <c r="O2460" s="33"/>
      <c r="P2460" s="33"/>
      <c r="Q2460" s="33"/>
      <c r="R2460" s="33"/>
      <c r="S2460" s="33"/>
      <c r="T2460" s="33"/>
      <c r="U2460" s="33"/>
      <c r="V2460" s="33"/>
      <c r="W2460" s="33"/>
      <c r="X2460" s="33"/>
      <c r="Y2460" s="33"/>
      <c r="Z2460" s="33"/>
      <c r="AA2460" s="33"/>
      <c r="AB2460" s="33"/>
    </row>
    <row r="2461" spans="1:28" x14ac:dyDescent="0.15">
      <c r="A2461" s="46" t="s">
        <v>4973</v>
      </c>
      <c r="B2461" s="52" t="s">
        <v>7361</v>
      </c>
      <c r="C2461" s="53" t="s">
        <v>4974</v>
      </c>
      <c r="D2461" s="54" t="s">
        <v>9903</v>
      </c>
      <c r="E2461" s="50">
        <f t="shared" si="83"/>
        <v>33.657534249999998</v>
      </c>
      <c r="F2461" s="51">
        <f t="shared" si="83"/>
        <v>4.6288465600000004</v>
      </c>
      <c r="H2461" s="33"/>
      <c r="I2461" s="33"/>
      <c r="J2461" s="33"/>
      <c r="K2461" s="33"/>
      <c r="L2461" s="33"/>
      <c r="M2461" s="33"/>
      <c r="N2461" s="33"/>
      <c r="O2461" s="33"/>
      <c r="P2461" s="33"/>
      <c r="Q2461" s="33"/>
      <c r="R2461" s="33"/>
      <c r="S2461" s="33"/>
      <c r="T2461" s="33"/>
      <c r="U2461" s="33"/>
      <c r="V2461" s="33"/>
      <c r="W2461" s="33"/>
      <c r="X2461" s="33"/>
      <c r="Y2461" s="33"/>
      <c r="Z2461" s="33"/>
      <c r="AA2461" s="33"/>
      <c r="AB2461" s="33"/>
    </row>
    <row r="2462" spans="1:28" x14ac:dyDescent="0.15">
      <c r="A2462" s="46" t="s">
        <v>4975</v>
      </c>
      <c r="B2462" s="52" t="s">
        <v>7361</v>
      </c>
      <c r="C2462" s="53" t="s">
        <v>4976</v>
      </c>
      <c r="D2462" s="54" t="s">
        <v>9904</v>
      </c>
      <c r="E2462" s="50">
        <f t="shared" si="83"/>
        <v>33.671232879999998</v>
      </c>
      <c r="F2462" s="51">
        <f t="shared" si="83"/>
        <v>4.6289002799999999</v>
      </c>
      <c r="H2462" s="33"/>
      <c r="I2462" s="33"/>
      <c r="J2462" s="33"/>
      <c r="K2462" s="33"/>
      <c r="L2462" s="33"/>
      <c r="M2462" s="33"/>
      <c r="N2462" s="33"/>
      <c r="O2462" s="33"/>
      <c r="P2462" s="33"/>
      <c r="Q2462" s="33"/>
      <c r="R2462" s="33"/>
      <c r="S2462" s="33"/>
      <c r="T2462" s="33"/>
      <c r="U2462" s="33"/>
      <c r="V2462" s="33"/>
      <c r="W2462" s="33"/>
      <c r="X2462" s="33"/>
      <c r="Y2462" s="33"/>
      <c r="Z2462" s="33"/>
      <c r="AA2462" s="33"/>
      <c r="AB2462" s="33"/>
    </row>
    <row r="2463" spans="1:28" x14ac:dyDescent="0.15">
      <c r="A2463" s="46" t="s">
        <v>4977</v>
      </c>
      <c r="B2463" s="52" t="s">
        <v>7361</v>
      </c>
      <c r="C2463" s="53" t="s">
        <v>4978</v>
      </c>
      <c r="D2463" s="54" t="s">
        <v>9905</v>
      </c>
      <c r="E2463" s="50">
        <f t="shared" si="83"/>
        <v>33.684931509999998</v>
      </c>
      <c r="F2463" s="51">
        <f t="shared" si="83"/>
        <v>4.6289528400000002</v>
      </c>
      <c r="H2463" s="33"/>
      <c r="I2463" s="33"/>
      <c r="J2463" s="33"/>
      <c r="K2463" s="33"/>
      <c r="L2463" s="33"/>
      <c r="M2463" s="33"/>
      <c r="N2463" s="33"/>
      <c r="O2463" s="33"/>
      <c r="P2463" s="33"/>
      <c r="Q2463" s="33"/>
      <c r="R2463" s="33"/>
      <c r="S2463" s="33"/>
      <c r="T2463" s="33"/>
      <c r="U2463" s="33"/>
      <c r="V2463" s="33"/>
      <c r="W2463" s="33"/>
      <c r="X2463" s="33"/>
      <c r="Y2463" s="33"/>
      <c r="Z2463" s="33"/>
      <c r="AA2463" s="33"/>
      <c r="AB2463" s="33"/>
    </row>
    <row r="2464" spans="1:28" x14ac:dyDescent="0.15">
      <c r="A2464" s="46" t="s">
        <v>4979</v>
      </c>
      <c r="B2464" s="52" t="s">
        <v>7361</v>
      </c>
      <c r="C2464" s="53" t="s">
        <v>4980</v>
      </c>
      <c r="D2464" s="54" t="s">
        <v>9906</v>
      </c>
      <c r="E2464" s="50">
        <f t="shared" si="83"/>
        <v>33.698630139999999</v>
      </c>
      <c r="F2464" s="51">
        <f t="shared" si="83"/>
        <v>4.6290043299999999</v>
      </c>
      <c r="H2464" s="33"/>
      <c r="I2464" s="33"/>
      <c r="J2464" s="33"/>
      <c r="K2464" s="33"/>
      <c r="L2464" s="33"/>
      <c r="M2464" s="33"/>
      <c r="N2464" s="33"/>
      <c r="O2464" s="33"/>
      <c r="P2464" s="33"/>
      <c r="Q2464" s="33"/>
      <c r="R2464" s="33"/>
      <c r="S2464" s="33"/>
      <c r="T2464" s="33"/>
      <c r="U2464" s="33"/>
      <c r="V2464" s="33"/>
      <c r="W2464" s="33"/>
      <c r="X2464" s="33"/>
      <c r="Y2464" s="33"/>
      <c r="Z2464" s="33"/>
      <c r="AA2464" s="33"/>
      <c r="AB2464" s="33"/>
    </row>
    <row r="2465" spans="1:28" x14ac:dyDescent="0.15">
      <c r="A2465" s="46" t="s">
        <v>4981</v>
      </c>
      <c r="B2465" s="52" t="s">
        <v>7361</v>
      </c>
      <c r="C2465" s="53" t="s">
        <v>4982</v>
      </c>
      <c r="D2465" s="54" t="s">
        <v>9907</v>
      </c>
      <c r="E2465" s="50">
        <f t="shared" si="83"/>
        <v>33.712328769999999</v>
      </c>
      <c r="F2465" s="51">
        <f t="shared" si="83"/>
        <v>4.62905487</v>
      </c>
      <c r="H2465" s="33"/>
      <c r="I2465" s="33"/>
      <c r="J2465" s="33"/>
      <c r="K2465" s="33"/>
      <c r="L2465" s="33"/>
      <c r="M2465" s="33"/>
      <c r="N2465" s="33"/>
      <c r="O2465" s="33"/>
      <c r="P2465" s="33"/>
      <c r="Q2465" s="33"/>
      <c r="R2465" s="33"/>
      <c r="S2465" s="33"/>
      <c r="T2465" s="33"/>
      <c r="U2465" s="33"/>
      <c r="V2465" s="33"/>
      <c r="W2465" s="33"/>
      <c r="X2465" s="33"/>
      <c r="Y2465" s="33"/>
      <c r="Z2465" s="33"/>
      <c r="AA2465" s="33"/>
      <c r="AB2465" s="33"/>
    </row>
    <row r="2466" spans="1:28" x14ac:dyDescent="0.15">
      <c r="A2466" s="46" t="s">
        <v>4983</v>
      </c>
      <c r="B2466" s="52" t="s">
        <v>7361</v>
      </c>
      <c r="C2466" s="53" t="s">
        <v>4984</v>
      </c>
      <c r="D2466" s="54" t="s">
        <v>9908</v>
      </c>
      <c r="E2466" s="50">
        <f t="shared" si="83"/>
        <v>33.7260274</v>
      </c>
      <c r="F2466" s="51">
        <f t="shared" si="83"/>
        <v>4.6291045300000002</v>
      </c>
      <c r="H2466" s="33"/>
      <c r="I2466" s="33"/>
      <c r="J2466" s="33"/>
      <c r="K2466" s="33"/>
      <c r="L2466" s="33"/>
      <c r="M2466" s="33"/>
      <c r="N2466" s="33"/>
      <c r="O2466" s="33"/>
      <c r="P2466" s="33"/>
      <c r="Q2466" s="33"/>
      <c r="R2466" s="33"/>
      <c r="S2466" s="33"/>
      <c r="T2466" s="33"/>
      <c r="U2466" s="33"/>
      <c r="V2466" s="33"/>
      <c r="W2466" s="33"/>
      <c r="X2466" s="33"/>
      <c r="Y2466" s="33"/>
      <c r="Z2466" s="33"/>
      <c r="AA2466" s="33"/>
      <c r="AB2466" s="33"/>
    </row>
    <row r="2467" spans="1:28" x14ac:dyDescent="0.15">
      <c r="A2467" s="46" t="s">
        <v>4985</v>
      </c>
      <c r="B2467" s="52" t="s">
        <v>7361</v>
      </c>
      <c r="C2467" s="53" t="s">
        <v>4986</v>
      </c>
      <c r="D2467" s="54" t="s">
        <v>9909</v>
      </c>
      <c r="E2467" s="50">
        <f t="shared" si="83"/>
        <v>33.73972603</v>
      </c>
      <c r="F2467" s="51">
        <f t="shared" si="83"/>
        <v>4.6291534199999997</v>
      </c>
      <c r="H2467" s="33"/>
      <c r="I2467" s="33"/>
      <c r="J2467" s="33"/>
      <c r="K2467" s="33"/>
      <c r="L2467" s="33"/>
      <c r="M2467" s="33"/>
      <c r="N2467" s="33"/>
      <c r="O2467" s="33"/>
      <c r="P2467" s="33"/>
      <c r="Q2467" s="33"/>
      <c r="R2467" s="33"/>
      <c r="S2467" s="33"/>
      <c r="T2467" s="33"/>
      <c r="U2467" s="33"/>
      <c r="V2467" s="33"/>
      <c r="W2467" s="33"/>
      <c r="X2467" s="33"/>
      <c r="Y2467" s="33"/>
      <c r="Z2467" s="33"/>
      <c r="AA2467" s="33"/>
      <c r="AB2467" s="33"/>
    </row>
    <row r="2468" spans="1:28" x14ac:dyDescent="0.15">
      <c r="A2468" s="46" t="s">
        <v>4987</v>
      </c>
      <c r="B2468" s="52" t="s">
        <v>7361</v>
      </c>
      <c r="C2468" s="53" t="s">
        <v>4988</v>
      </c>
      <c r="D2468" s="54" t="s">
        <v>9910</v>
      </c>
      <c r="E2468" s="50">
        <f t="shared" si="83"/>
        <v>33.75342466</v>
      </c>
      <c r="F2468" s="51">
        <f t="shared" si="83"/>
        <v>4.6292016499999997</v>
      </c>
      <c r="H2468" s="33"/>
      <c r="I2468" s="33"/>
      <c r="J2468" s="33"/>
      <c r="K2468" s="33"/>
      <c r="L2468" s="33"/>
      <c r="M2468" s="33"/>
      <c r="N2468" s="33"/>
      <c r="O2468" s="33"/>
      <c r="P2468" s="33"/>
      <c r="Q2468" s="33"/>
      <c r="R2468" s="33"/>
      <c r="S2468" s="33"/>
      <c r="T2468" s="33"/>
      <c r="U2468" s="33"/>
      <c r="V2468" s="33"/>
      <c r="W2468" s="33"/>
      <c r="X2468" s="33"/>
      <c r="Y2468" s="33"/>
      <c r="Z2468" s="33"/>
      <c r="AA2468" s="33"/>
      <c r="AB2468" s="33"/>
    </row>
    <row r="2469" spans="1:28" x14ac:dyDescent="0.15">
      <c r="A2469" s="46" t="s">
        <v>4989</v>
      </c>
      <c r="B2469" s="52" t="s">
        <v>7361</v>
      </c>
      <c r="C2469" s="53" t="s">
        <v>4990</v>
      </c>
      <c r="D2469" s="54" t="s">
        <v>9911</v>
      </c>
      <c r="E2469" s="50">
        <f t="shared" si="83"/>
        <v>33.767123290000001</v>
      </c>
      <c r="F2469" s="51">
        <f t="shared" si="83"/>
        <v>4.6292492999999997</v>
      </c>
      <c r="H2469" s="33"/>
      <c r="I2469" s="33"/>
      <c r="J2469" s="33"/>
      <c r="K2469" s="33"/>
      <c r="L2469" s="33"/>
      <c r="M2469" s="33"/>
      <c r="N2469" s="33"/>
      <c r="O2469" s="33"/>
      <c r="P2469" s="33"/>
      <c r="Q2469" s="33"/>
      <c r="R2469" s="33"/>
      <c r="S2469" s="33"/>
      <c r="T2469" s="33"/>
      <c r="U2469" s="33"/>
      <c r="V2469" s="33"/>
      <c r="W2469" s="33"/>
      <c r="X2469" s="33"/>
      <c r="Y2469" s="33"/>
      <c r="Z2469" s="33"/>
      <c r="AA2469" s="33"/>
      <c r="AB2469" s="33"/>
    </row>
    <row r="2470" spans="1:28" x14ac:dyDescent="0.15">
      <c r="A2470" s="46" t="s">
        <v>4991</v>
      </c>
      <c r="B2470" s="52" t="s">
        <v>7361</v>
      </c>
      <c r="C2470" s="53" t="s">
        <v>4992</v>
      </c>
      <c r="D2470" s="54" t="s">
        <v>9912</v>
      </c>
      <c r="E2470" s="50">
        <f t="shared" ref="E2470:F2485" si="84">VALUE(C2470)</f>
        <v>33.780821920000001</v>
      </c>
      <c r="F2470" s="51">
        <f t="shared" si="84"/>
        <v>4.6292964799999998</v>
      </c>
      <c r="H2470" s="33"/>
      <c r="I2470" s="33"/>
      <c r="J2470" s="33"/>
      <c r="K2470" s="33"/>
      <c r="L2470" s="33"/>
      <c r="M2470" s="33"/>
      <c r="N2470" s="33"/>
      <c r="O2470" s="33"/>
      <c r="P2470" s="33"/>
      <c r="Q2470" s="33"/>
      <c r="R2470" s="33"/>
      <c r="S2470" s="33"/>
      <c r="T2470" s="33"/>
      <c r="U2470" s="33"/>
      <c r="V2470" s="33"/>
      <c r="W2470" s="33"/>
      <c r="X2470" s="33"/>
      <c r="Y2470" s="33"/>
      <c r="Z2470" s="33"/>
      <c r="AA2470" s="33"/>
      <c r="AB2470" s="33"/>
    </row>
    <row r="2471" spans="1:28" x14ac:dyDescent="0.15">
      <c r="A2471" s="46" t="s">
        <v>4993</v>
      </c>
      <c r="B2471" s="52" t="s">
        <v>7361</v>
      </c>
      <c r="C2471" s="53" t="s">
        <v>4994</v>
      </c>
      <c r="D2471" s="54" t="s">
        <v>9913</v>
      </c>
      <c r="E2471" s="50">
        <f t="shared" si="84"/>
        <v>33.794520550000001</v>
      </c>
      <c r="F2471" s="51">
        <f t="shared" si="84"/>
        <v>4.6293432799999996</v>
      </c>
      <c r="H2471" s="33"/>
      <c r="I2471" s="33"/>
      <c r="J2471" s="33"/>
      <c r="K2471" s="33"/>
      <c r="L2471" s="33"/>
      <c r="M2471" s="33"/>
      <c r="N2471" s="33"/>
      <c r="O2471" s="33"/>
      <c r="P2471" s="33"/>
      <c r="Q2471" s="33"/>
      <c r="R2471" s="33"/>
      <c r="S2471" s="33"/>
      <c r="T2471" s="33"/>
      <c r="U2471" s="33"/>
      <c r="V2471" s="33"/>
      <c r="W2471" s="33"/>
      <c r="X2471" s="33"/>
      <c r="Y2471" s="33"/>
      <c r="Z2471" s="33"/>
      <c r="AA2471" s="33"/>
      <c r="AB2471" s="33"/>
    </row>
    <row r="2472" spans="1:28" x14ac:dyDescent="0.15">
      <c r="A2472" s="46" t="s">
        <v>4995</v>
      </c>
      <c r="B2472" s="52" t="s">
        <v>7361</v>
      </c>
      <c r="C2472" s="53" t="s">
        <v>4996</v>
      </c>
      <c r="D2472" s="54" t="s">
        <v>9914</v>
      </c>
      <c r="E2472" s="50">
        <f t="shared" si="84"/>
        <v>33.808219180000002</v>
      </c>
      <c r="F2472" s="51">
        <f t="shared" si="84"/>
        <v>4.6293898000000002</v>
      </c>
      <c r="H2472" s="33"/>
      <c r="I2472" s="33"/>
      <c r="J2472" s="33"/>
      <c r="K2472" s="33"/>
      <c r="L2472" s="33"/>
      <c r="M2472" s="33"/>
      <c r="N2472" s="33"/>
      <c r="O2472" s="33"/>
      <c r="P2472" s="33"/>
      <c r="Q2472" s="33"/>
      <c r="R2472" s="33"/>
      <c r="S2472" s="33"/>
      <c r="T2472" s="33"/>
      <c r="U2472" s="33"/>
      <c r="V2472" s="33"/>
      <c r="W2472" s="33"/>
      <c r="X2472" s="33"/>
      <c r="Y2472" s="33"/>
      <c r="Z2472" s="33"/>
      <c r="AA2472" s="33"/>
      <c r="AB2472" s="33"/>
    </row>
    <row r="2473" spans="1:28" x14ac:dyDescent="0.15">
      <c r="A2473" s="46" t="s">
        <v>4997</v>
      </c>
      <c r="B2473" s="52" t="s">
        <v>7361</v>
      </c>
      <c r="C2473" s="53" t="s">
        <v>4998</v>
      </c>
      <c r="D2473" s="54" t="s">
        <v>9915</v>
      </c>
      <c r="E2473" s="50">
        <f t="shared" si="84"/>
        <v>33.821917810000002</v>
      </c>
      <c r="F2473" s="51">
        <f t="shared" si="84"/>
        <v>4.6294361400000001</v>
      </c>
      <c r="H2473" s="33"/>
      <c r="I2473" s="33"/>
      <c r="J2473" s="33"/>
      <c r="K2473" s="33"/>
      <c r="L2473" s="33"/>
      <c r="M2473" s="33"/>
      <c r="N2473" s="33"/>
      <c r="O2473" s="33"/>
      <c r="P2473" s="33"/>
      <c r="Q2473" s="33"/>
      <c r="R2473" s="33"/>
      <c r="S2473" s="33"/>
      <c r="T2473" s="33"/>
      <c r="U2473" s="33"/>
      <c r="V2473" s="33"/>
      <c r="W2473" s="33"/>
      <c r="X2473" s="33"/>
      <c r="Y2473" s="33"/>
      <c r="Z2473" s="33"/>
      <c r="AA2473" s="33"/>
      <c r="AB2473" s="33"/>
    </row>
    <row r="2474" spans="1:28" x14ac:dyDescent="0.15">
      <c r="A2474" s="46" t="s">
        <v>4999</v>
      </c>
      <c r="B2474" s="52" t="s">
        <v>7361</v>
      </c>
      <c r="C2474" s="53" t="s">
        <v>5000</v>
      </c>
      <c r="D2474" s="54" t="s">
        <v>9916</v>
      </c>
      <c r="E2474" s="50">
        <f t="shared" si="84"/>
        <v>33.835616440000003</v>
      </c>
      <c r="F2474" s="51">
        <f t="shared" si="84"/>
        <v>4.6294823999999997</v>
      </c>
      <c r="H2474" s="33"/>
      <c r="I2474" s="33"/>
      <c r="J2474" s="33"/>
      <c r="K2474" s="33"/>
      <c r="L2474" s="33"/>
      <c r="M2474" s="33"/>
      <c r="N2474" s="33"/>
      <c r="O2474" s="33"/>
      <c r="P2474" s="33"/>
      <c r="Q2474" s="33"/>
      <c r="R2474" s="33"/>
      <c r="S2474" s="33"/>
      <c r="T2474" s="33"/>
      <c r="U2474" s="33"/>
      <c r="V2474" s="33"/>
      <c r="W2474" s="33"/>
      <c r="X2474" s="33"/>
      <c r="Y2474" s="33"/>
      <c r="Z2474" s="33"/>
      <c r="AA2474" s="33"/>
      <c r="AB2474" s="33"/>
    </row>
    <row r="2475" spans="1:28" x14ac:dyDescent="0.15">
      <c r="A2475" s="46" t="s">
        <v>5001</v>
      </c>
      <c r="B2475" s="52" t="s">
        <v>7361</v>
      </c>
      <c r="C2475" s="53" t="s">
        <v>5002</v>
      </c>
      <c r="D2475" s="54" t="s">
        <v>9917</v>
      </c>
      <c r="E2475" s="50">
        <f t="shared" si="84"/>
        <v>33.849315070000003</v>
      </c>
      <c r="F2475" s="51">
        <f t="shared" si="84"/>
        <v>4.62952868</v>
      </c>
      <c r="H2475" s="33"/>
      <c r="I2475" s="33"/>
      <c r="J2475" s="33"/>
      <c r="K2475" s="33"/>
      <c r="L2475" s="33"/>
      <c r="M2475" s="33"/>
      <c r="N2475" s="33"/>
      <c r="O2475" s="33"/>
      <c r="P2475" s="33"/>
      <c r="Q2475" s="33"/>
      <c r="R2475" s="33"/>
      <c r="S2475" s="33"/>
      <c r="T2475" s="33"/>
      <c r="U2475" s="33"/>
      <c r="V2475" s="33"/>
      <c r="W2475" s="33"/>
      <c r="X2475" s="33"/>
      <c r="Y2475" s="33"/>
      <c r="Z2475" s="33"/>
      <c r="AA2475" s="33"/>
      <c r="AB2475" s="33"/>
    </row>
    <row r="2476" spans="1:28" x14ac:dyDescent="0.15">
      <c r="A2476" s="46" t="s">
        <v>5003</v>
      </c>
      <c r="B2476" s="52" t="s">
        <v>7361</v>
      </c>
      <c r="C2476" s="53" t="s">
        <v>5004</v>
      </c>
      <c r="D2476" s="54" t="s">
        <v>9918</v>
      </c>
      <c r="E2476" s="50">
        <f t="shared" si="84"/>
        <v>33.863013700000003</v>
      </c>
      <c r="F2476" s="51">
        <f t="shared" si="84"/>
        <v>4.6295750699999996</v>
      </c>
      <c r="H2476" s="33"/>
      <c r="I2476" s="33"/>
      <c r="J2476" s="33"/>
      <c r="K2476" s="33"/>
      <c r="L2476" s="33"/>
      <c r="M2476" s="33"/>
      <c r="N2476" s="33"/>
      <c r="O2476" s="33"/>
      <c r="P2476" s="33"/>
      <c r="Q2476" s="33"/>
      <c r="R2476" s="33"/>
      <c r="S2476" s="33"/>
      <c r="T2476" s="33"/>
      <c r="U2476" s="33"/>
      <c r="V2476" s="33"/>
      <c r="W2476" s="33"/>
      <c r="X2476" s="33"/>
      <c r="Y2476" s="33"/>
      <c r="Z2476" s="33"/>
      <c r="AA2476" s="33"/>
      <c r="AB2476" s="33"/>
    </row>
    <row r="2477" spans="1:28" x14ac:dyDescent="0.15">
      <c r="A2477" s="46" t="s">
        <v>5005</v>
      </c>
      <c r="B2477" s="52" t="s">
        <v>7361</v>
      </c>
      <c r="C2477" s="53" t="s">
        <v>5006</v>
      </c>
      <c r="D2477" s="54" t="s">
        <v>9919</v>
      </c>
      <c r="E2477" s="50">
        <f t="shared" si="84"/>
        <v>33.876712329999997</v>
      </c>
      <c r="F2477" s="51">
        <f t="shared" si="84"/>
        <v>4.6296216699999997</v>
      </c>
      <c r="H2477" s="33"/>
      <c r="I2477" s="33"/>
      <c r="J2477" s="33"/>
      <c r="K2477" s="33"/>
      <c r="L2477" s="33"/>
      <c r="M2477" s="33"/>
      <c r="N2477" s="33"/>
      <c r="O2477" s="33"/>
      <c r="P2477" s="33"/>
      <c r="Q2477" s="33"/>
      <c r="R2477" s="33"/>
      <c r="S2477" s="33"/>
      <c r="T2477" s="33"/>
      <c r="U2477" s="33"/>
      <c r="V2477" s="33"/>
      <c r="W2477" s="33"/>
      <c r="X2477" s="33"/>
      <c r="Y2477" s="33"/>
      <c r="Z2477" s="33"/>
      <c r="AA2477" s="33"/>
      <c r="AB2477" s="33"/>
    </row>
    <row r="2478" spans="1:28" x14ac:dyDescent="0.15">
      <c r="A2478" s="46" t="s">
        <v>5007</v>
      </c>
      <c r="B2478" s="52" t="s">
        <v>7361</v>
      </c>
      <c r="C2478" s="53" t="s">
        <v>5008</v>
      </c>
      <c r="D2478" s="54" t="s">
        <v>9920</v>
      </c>
      <c r="E2478" s="50">
        <f t="shared" si="84"/>
        <v>33.890410959999997</v>
      </c>
      <c r="F2478" s="51">
        <f t="shared" si="84"/>
        <v>4.6296685899999996</v>
      </c>
      <c r="H2478" s="33"/>
      <c r="I2478" s="33"/>
      <c r="J2478" s="33"/>
      <c r="K2478" s="33"/>
      <c r="L2478" s="33"/>
      <c r="M2478" s="33"/>
      <c r="N2478" s="33"/>
      <c r="O2478" s="33"/>
      <c r="P2478" s="33"/>
      <c r="Q2478" s="33"/>
      <c r="R2478" s="33"/>
      <c r="S2478" s="33"/>
      <c r="T2478" s="33"/>
      <c r="U2478" s="33"/>
      <c r="V2478" s="33"/>
      <c r="W2478" s="33"/>
      <c r="X2478" s="33"/>
      <c r="Y2478" s="33"/>
      <c r="Z2478" s="33"/>
      <c r="AA2478" s="33"/>
      <c r="AB2478" s="33"/>
    </row>
    <row r="2479" spans="1:28" x14ac:dyDescent="0.15">
      <c r="A2479" s="46" t="s">
        <v>5009</v>
      </c>
      <c r="B2479" s="52" t="s">
        <v>7361</v>
      </c>
      <c r="C2479" s="53" t="s">
        <v>5010</v>
      </c>
      <c r="D2479" s="54" t="s">
        <v>9921</v>
      </c>
      <c r="E2479" s="50">
        <f t="shared" si="84"/>
        <v>33.904109589999997</v>
      </c>
      <c r="F2479" s="51">
        <f t="shared" si="84"/>
        <v>4.6297159099999998</v>
      </c>
      <c r="H2479" s="33"/>
      <c r="I2479" s="33"/>
      <c r="J2479" s="33"/>
      <c r="K2479" s="33"/>
      <c r="L2479" s="33"/>
      <c r="M2479" s="33"/>
      <c r="N2479" s="33"/>
      <c r="O2479" s="33"/>
      <c r="P2479" s="33"/>
      <c r="Q2479" s="33"/>
      <c r="R2479" s="33"/>
      <c r="S2479" s="33"/>
      <c r="T2479" s="33"/>
      <c r="U2479" s="33"/>
      <c r="V2479" s="33"/>
      <c r="W2479" s="33"/>
      <c r="X2479" s="33"/>
      <c r="Y2479" s="33"/>
      <c r="Z2479" s="33"/>
      <c r="AA2479" s="33"/>
      <c r="AB2479" s="33"/>
    </row>
    <row r="2480" spans="1:28" x14ac:dyDescent="0.15">
      <c r="A2480" s="46" t="s">
        <v>5011</v>
      </c>
      <c r="B2480" s="52" t="s">
        <v>7361</v>
      </c>
      <c r="C2480" s="53" t="s">
        <v>5012</v>
      </c>
      <c r="D2480" s="54" t="s">
        <v>9922</v>
      </c>
      <c r="E2480" s="50">
        <f t="shared" si="84"/>
        <v>33.917808219999998</v>
      </c>
      <c r="F2480" s="51">
        <f t="shared" si="84"/>
        <v>4.6297637399999996</v>
      </c>
      <c r="H2480" s="33"/>
      <c r="I2480" s="33"/>
      <c r="J2480" s="33"/>
      <c r="K2480" s="33"/>
      <c r="L2480" s="33"/>
      <c r="M2480" s="33"/>
      <c r="N2480" s="33"/>
      <c r="O2480" s="33"/>
      <c r="P2480" s="33"/>
      <c r="Q2480" s="33"/>
      <c r="R2480" s="33"/>
      <c r="S2480" s="33"/>
      <c r="T2480" s="33"/>
      <c r="U2480" s="33"/>
      <c r="V2480" s="33"/>
      <c r="W2480" s="33"/>
      <c r="X2480" s="33"/>
      <c r="Y2480" s="33"/>
      <c r="Z2480" s="33"/>
      <c r="AA2480" s="33"/>
      <c r="AB2480" s="33"/>
    </row>
    <row r="2481" spans="1:28" x14ac:dyDescent="0.15">
      <c r="A2481" s="46" t="s">
        <v>5013</v>
      </c>
      <c r="B2481" s="52" t="s">
        <v>7361</v>
      </c>
      <c r="C2481" s="53" t="s">
        <v>5014</v>
      </c>
      <c r="D2481" s="54" t="s">
        <v>9923</v>
      </c>
      <c r="E2481" s="50">
        <f t="shared" si="84"/>
        <v>33.931506849999998</v>
      </c>
      <c r="F2481" s="51">
        <f t="shared" si="84"/>
        <v>4.6298121800000001</v>
      </c>
      <c r="H2481" s="33"/>
      <c r="I2481" s="33"/>
      <c r="J2481" s="33"/>
      <c r="K2481" s="33"/>
      <c r="L2481" s="33"/>
      <c r="M2481" s="33"/>
      <c r="N2481" s="33"/>
      <c r="O2481" s="33"/>
      <c r="P2481" s="33"/>
      <c r="Q2481" s="33"/>
      <c r="R2481" s="33"/>
      <c r="S2481" s="33"/>
      <c r="T2481" s="33"/>
      <c r="U2481" s="33"/>
      <c r="V2481" s="33"/>
      <c r="W2481" s="33"/>
      <c r="X2481" s="33"/>
      <c r="Y2481" s="33"/>
      <c r="Z2481" s="33"/>
      <c r="AA2481" s="33"/>
      <c r="AB2481" s="33"/>
    </row>
    <row r="2482" spans="1:28" x14ac:dyDescent="0.15">
      <c r="A2482" s="46" t="s">
        <v>5015</v>
      </c>
      <c r="B2482" s="52" t="s">
        <v>7361</v>
      </c>
      <c r="C2482" s="53" t="s">
        <v>5016</v>
      </c>
      <c r="D2482" s="54" t="s">
        <v>9924</v>
      </c>
      <c r="E2482" s="50">
        <f t="shared" si="84"/>
        <v>33.945205479999998</v>
      </c>
      <c r="F2482" s="51">
        <f t="shared" si="84"/>
        <v>4.6298613199999998</v>
      </c>
      <c r="H2482" s="33"/>
      <c r="I2482" s="33"/>
      <c r="J2482" s="33"/>
      <c r="K2482" s="33"/>
      <c r="L2482" s="33"/>
      <c r="M2482" s="33"/>
      <c r="N2482" s="33"/>
      <c r="O2482" s="33"/>
      <c r="P2482" s="33"/>
      <c r="Q2482" s="33"/>
      <c r="R2482" s="33"/>
      <c r="S2482" s="33"/>
      <c r="T2482" s="33"/>
      <c r="U2482" s="33"/>
      <c r="V2482" s="33"/>
      <c r="W2482" s="33"/>
      <c r="X2482" s="33"/>
      <c r="Y2482" s="33"/>
      <c r="Z2482" s="33"/>
      <c r="AA2482" s="33"/>
      <c r="AB2482" s="33"/>
    </row>
    <row r="2483" spans="1:28" x14ac:dyDescent="0.15">
      <c r="A2483" s="46" t="s">
        <v>5017</v>
      </c>
      <c r="B2483" s="52" t="s">
        <v>7361</v>
      </c>
      <c r="C2483" s="53" t="s">
        <v>5018</v>
      </c>
      <c r="D2483" s="54" t="s">
        <v>9925</v>
      </c>
      <c r="E2483" s="50">
        <f t="shared" si="84"/>
        <v>33.958904109999999</v>
      </c>
      <c r="F2483" s="51">
        <f t="shared" si="84"/>
        <v>4.6299112600000001</v>
      </c>
      <c r="H2483" s="33"/>
      <c r="I2483" s="33"/>
      <c r="J2483" s="33"/>
      <c r="K2483" s="33"/>
      <c r="L2483" s="33"/>
      <c r="M2483" s="33"/>
      <c r="N2483" s="33"/>
      <c r="O2483" s="33"/>
      <c r="P2483" s="33"/>
      <c r="Q2483" s="33"/>
      <c r="R2483" s="33"/>
      <c r="S2483" s="33"/>
      <c r="T2483" s="33"/>
      <c r="U2483" s="33"/>
      <c r="V2483" s="33"/>
      <c r="W2483" s="33"/>
      <c r="X2483" s="33"/>
      <c r="Y2483" s="33"/>
      <c r="Z2483" s="33"/>
      <c r="AA2483" s="33"/>
      <c r="AB2483" s="33"/>
    </row>
    <row r="2484" spans="1:28" x14ac:dyDescent="0.15">
      <c r="A2484" s="46" t="s">
        <v>5019</v>
      </c>
      <c r="B2484" s="52" t="s">
        <v>7361</v>
      </c>
      <c r="C2484" s="53" t="s">
        <v>5020</v>
      </c>
      <c r="D2484" s="54" t="s">
        <v>9926</v>
      </c>
      <c r="E2484" s="50">
        <f t="shared" si="84"/>
        <v>33.972602739999999</v>
      </c>
      <c r="F2484" s="51">
        <f t="shared" si="84"/>
        <v>4.6299621000000002</v>
      </c>
      <c r="H2484" s="33"/>
      <c r="I2484" s="33"/>
      <c r="J2484" s="33"/>
      <c r="K2484" s="33"/>
      <c r="L2484" s="33"/>
      <c r="M2484" s="33"/>
      <c r="N2484" s="33"/>
      <c r="O2484" s="33"/>
      <c r="P2484" s="33"/>
      <c r="Q2484" s="33"/>
      <c r="R2484" s="33"/>
      <c r="S2484" s="33"/>
      <c r="T2484" s="33"/>
      <c r="U2484" s="33"/>
      <c r="V2484" s="33"/>
      <c r="W2484" s="33"/>
      <c r="X2484" s="33"/>
      <c r="Y2484" s="33"/>
      <c r="Z2484" s="33"/>
      <c r="AA2484" s="33"/>
      <c r="AB2484" s="33"/>
    </row>
    <row r="2485" spans="1:28" x14ac:dyDescent="0.15">
      <c r="A2485" s="46" t="s">
        <v>5021</v>
      </c>
      <c r="B2485" s="52" t="s">
        <v>7361</v>
      </c>
      <c r="C2485" s="53" t="s">
        <v>5022</v>
      </c>
      <c r="D2485" s="54" t="s">
        <v>9927</v>
      </c>
      <c r="E2485" s="50">
        <f t="shared" si="84"/>
        <v>33.98630137</v>
      </c>
      <c r="F2485" s="51">
        <f t="shared" si="84"/>
        <v>4.6300139400000004</v>
      </c>
      <c r="H2485" s="33"/>
      <c r="I2485" s="33"/>
      <c r="J2485" s="33"/>
      <c r="K2485" s="33"/>
      <c r="L2485" s="33"/>
      <c r="M2485" s="33"/>
      <c r="N2485" s="33"/>
      <c r="O2485" s="33"/>
      <c r="P2485" s="33"/>
      <c r="Q2485" s="33"/>
      <c r="R2485" s="33"/>
      <c r="S2485" s="33"/>
      <c r="T2485" s="33"/>
      <c r="U2485" s="33"/>
      <c r="V2485" s="33"/>
      <c r="W2485" s="33"/>
      <c r="X2485" s="33"/>
      <c r="Y2485" s="33"/>
      <c r="Z2485" s="33"/>
      <c r="AA2485" s="33"/>
      <c r="AB2485" s="33"/>
    </row>
    <row r="2486" spans="1:28" x14ac:dyDescent="0.15">
      <c r="A2486" s="46" t="s">
        <v>5023</v>
      </c>
      <c r="B2486" s="52" t="s">
        <v>7361</v>
      </c>
      <c r="C2486" s="53" t="s">
        <v>5024</v>
      </c>
      <c r="D2486" s="54" t="s">
        <v>9928</v>
      </c>
      <c r="E2486" s="50">
        <f t="shared" ref="E2486:F2515" si="85">VALUE(C2486)</f>
        <v>34</v>
      </c>
      <c r="F2486" s="51">
        <f t="shared" si="85"/>
        <v>4.6300668800000002</v>
      </c>
      <c r="H2486" s="33"/>
      <c r="I2486" s="33"/>
      <c r="J2486" s="33"/>
      <c r="K2486" s="33"/>
      <c r="L2486" s="33"/>
      <c r="M2486" s="33"/>
      <c r="N2486" s="33"/>
      <c r="O2486" s="33"/>
      <c r="P2486" s="33"/>
      <c r="Q2486" s="33"/>
      <c r="R2486" s="33"/>
      <c r="S2486" s="33"/>
      <c r="T2486" s="33"/>
      <c r="U2486" s="33"/>
      <c r="V2486" s="33"/>
      <c r="W2486" s="33"/>
      <c r="X2486" s="33"/>
      <c r="Y2486" s="33"/>
      <c r="Z2486" s="33"/>
      <c r="AA2486" s="33"/>
      <c r="AB2486" s="33"/>
    </row>
    <row r="2487" spans="1:28" x14ac:dyDescent="0.15">
      <c r="A2487" s="46" t="s">
        <v>5025</v>
      </c>
      <c r="B2487" s="52" t="s">
        <v>7361</v>
      </c>
      <c r="C2487" s="53" t="s">
        <v>5026</v>
      </c>
      <c r="D2487" s="54" t="s">
        <v>9929</v>
      </c>
      <c r="E2487" s="50">
        <f t="shared" si="85"/>
        <v>34.01369863</v>
      </c>
      <c r="F2487" s="51">
        <f t="shared" si="85"/>
        <v>4.6301193700000001</v>
      </c>
      <c r="H2487" s="33"/>
      <c r="I2487" s="33"/>
      <c r="J2487" s="33"/>
      <c r="K2487" s="33"/>
      <c r="L2487" s="33"/>
      <c r="M2487" s="33"/>
      <c r="N2487" s="33"/>
      <c r="O2487" s="33"/>
      <c r="P2487" s="33"/>
      <c r="Q2487" s="33"/>
      <c r="R2487" s="33"/>
      <c r="S2487" s="33"/>
      <c r="T2487" s="33"/>
      <c r="U2487" s="33"/>
      <c r="V2487" s="33"/>
      <c r="W2487" s="33"/>
      <c r="X2487" s="33"/>
      <c r="Y2487" s="33"/>
      <c r="Z2487" s="33"/>
      <c r="AA2487" s="33"/>
      <c r="AB2487" s="33"/>
    </row>
    <row r="2488" spans="1:28" x14ac:dyDescent="0.15">
      <c r="A2488" s="46" t="s">
        <v>5027</v>
      </c>
      <c r="B2488" s="52" t="s">
        <v>7361</v>
      </c>
      <c r="C2488" s="53" t="s">
        <v>5028</v>
      </c>
      <c r="D2488" s="54" t="s">
        <v>9930</v>
      </c>
      <c r="E2488" s="50">
        <f t="shared" si="85"/>
        <v>34.027397260000001</v>
      </c>
      <c r="F2488" s="51">
        <f t="shared" si="85"/>
        <v>4.6301698699999996</v>
      </c>
      <c r="H2488" s="33"/>
      <c r="I2488" s="33"/>
      <c r="J2488" s="33"/>
      <c r="K2488" s="33"/>
      <c r="L2488" s="33"/>
      <c r="M2488" s="33"/>
      <c r="N2488" s="33"/>
      <c r="O2488" s="33"/>
      <c r="P2488" s="33"/>
      <c r="Q2488" s="33"/>
      <c r="R2488" s="33"/>
      <c r="S2488" s="33"/>
      <c r="T2488" s="33"/>
      <c r="U2488" s="33"/>
      <c r="V2488" s="33"/>
      <c r="W2488" s="33"/>
      <c r="X2488" s="33"/>
      <c r="Y2488" s="33"/>
      <c r="Z2488" s="33"/>
      <c r="AA2488" s="33"/>
      <c r="AB2488" s="33"/>
    </row>
    <row r="2489" spans="1:28" x14ac:dyDescent="0.15">
      <c r="A2489" s="46" t="s">
        <v>5029</v>
      </c>
      <c r="B2489" s="52" t="s">
        <v>7361</v>
      </c>
      <c r="C2489" s="53" t="s">
        <v>5030</v>
      </c>
      <c r="D2489" s="54" t="s">
        <v>9931</v>
      </c>
      <c r="E2489" s="50">
        <f t="shared" si="85"/>
        <v>34.041095890000001</v>
      </c>
      <c r="F2489" s="51">
        <f t="shared" si="85"/>
        <v>4.63021847</v>
      </c>
      <c r="H2489" s="33"/>
      <c r="I2489" s="33"/>
      <c r="J2489" s="33"/>
      <c r="K2489" s="33"/>
      <c r="L2489" s="33"/>
      <c r="M2489" s="33"/>
      <c r="N2489" s="33"/>
      <c r="O2489" s="33"/>
      <c r="P2489" s="33"/>
      <c r="Q2489" s="33"/>
      <c r="R2489" s="33"/>
      <c r="S2489" s="33"/>
      <c r="T2489" s="33"/>
      <c r="U2489" s="33"/>
      <c r="V2489" s="33"/>
      <c r="W2489" s="33"/>
      <c r="X2489" s="33"/>
      <c r="Y2489" s="33"/>
      <c r="Z2489" s="33"/>
      <c r="AA2489" s="33"/>
      <c r="AB2489" s="33"/>
    </row>
    <row r="2490" spans="1:28" x14ac:dyDescent="0.15">
      <c r="A2490" s="46" t="s">
        <v>5031</v>
      </c>
      <c r="B2490" s="52" t="s">
        <v>7361</v>
      </c>
      <c r="C2490" s="53" t="s">
        <v>5032</v>
      </c>
      <c r="D2490" s="54" t="s">
        <v>9932</v>
      </c>
      <c r="E2490" s="50">
        <f t="shared" si="85"/>
        <v>34.054794520000002</v>
      </c>
      <c r="F2490" s="51">
        <f t="shared" si="85"/>
        <v>4.6302652399999999</v>
      </c>
      <c r="H2490" s="33"/>
      <c r="I2490" s="33"/>
      <c r="J2490" s="33"/>
      <c r="K2490" s="33"/>
      <c r="L2490" s="33"/>
      <c r="M2490" s="33"/>
      <c r="N2490" s="33"/>
      <c r="O2490" s="33"/>
      <c r="P2490" s="33"/>
      <c r="Q2490" s="33"/>
      <c r="R2490" s="33"/>
      <c r="S2490" s="33"/>
      <c r="T2490" s="33"/>
      <c r="U2490" s="33"/>
      <c r="V2490" s="33"/>
      <c r="W2490" s="33"/>
      <c r="X2490" s="33"/>
      <c r="Y2490" s="33"/>
      <c r="Z2490" s="33"/>
      <c r="AA2490" s="33"/>
      <c r="AB2490" s="33"/>
    </row>
    <row r="2491" spans="1:28" x14ac:dyDescent="0.15">
      <c r="A2491" s="46" t="s">
        <v>5033</v>
      </c>
      <c r="B2491" s="52" t="s">
        <v>7361</v>
      </c>
      <c r="C2491" s="53" t="s">
        <v>5034</v>
      </c>
      <c r="D2491" s="54" t="s">
        <v>9933</v>
      </c>
      <c r="E2491" s="50">
        <f t="shared" si="85"/>
        <v>34.068493150000002</v>
      </c>
      <c r="F2491" s="51">
        <f t="shared" si="85"/>
        <v>4.6303102799999998</v>
      </c>
      <c r="H2491" s="33"/>
      <c r="I2491" s="33"/>
      <c r="J2491" s="33"/>
      <c r="K2491" s="33"/>
      <c r="L2491" s="33"/>
      <c r="M2491" s="33"/>
      <c r="N2491" s="33"/>
      <c r="O2491" s="33"/>
      <c r="P2491" s="33"/>
      <c r="Q2491" s="33"/>
      <c r="R2491" s="33"/>
      <c r="S2491" s="33"/>
      <c r="T2491" s="33"/>
      <c r="U2491" s="33"/>
      <c r="V2491" s="33"/>
      <c r="W2491" s="33"/>
      <c r="X2491" s="33"/>
      <c r="Y2491" s="33"/>
      <c r="Z2491" s="33"/>
      <c r="AA2491" s="33"/>
      <c r="AB2491" s="33"/>
    </row>
    <row r="2492" spans="1:28" x14ac:dyDescent="0.15">
      <c r="A2492" s="46" t="s">
        <v>5035</v>
      </c>
      <c r="B2492" s="52" t="s">
        <v>7361</v>
      </c>
      <c r="C2492" s="53" t="s">
        <v>5036</v>
      </c>
      <c r="D2492" s="54" t="s">
        <v>9934</v>
      </c>
      <c r="E2492" s="50">
        <f t="shared" si="85"/>
        <v>34.082191780000002</v>
      </c>
      <c r="F2492" s="51">
        <f t="shared" si="85"/>
        <v>4.6303536699999999</v>
      </c>
      <c r="H2492" s="33"/>
      <c r="I2492" s="33"/>
      <c r="J2492" s="33"/>
      <c r="K2492" s="33"/>
      <c r="L2492" s="33"/>
      <c r="M2492" s="33"/>
      <c r="N2492" s="33"/>
      <c r="O2492" s="33"/>
      <c r="P2492" s="33"/>
      <c r="Q2492" s="33"/>
      <c r="R2492" s="33"/>
      <c r="S2492" s="33"/>
      <c r="T2492" s="33"/>
      <c r="U2492" s="33"/>
      <c r="V2492" s="33"/>
      <c r="W2492" s="33"/>
      <c r="X2492" s="33"/>
      <c r="Y2492" s="33"/>
      <c r="Z2492" s="33"/>
      <c r="AA2492" s="33"/>
      <c r="AB2492" s="33"/>
    </row>
    <row r="2493" spans="1:28" x14ac:dyDescent="0.15">
      <c r="A2493" s="46" t="s">
        <v>5037</v>
      </c>
      <c r="B2493" s="52" t="s">
        <v>7361</v>
      </c>
      <c r="C2493" s="53" t="s">
        <v>5038</v>
      </c>
      <c r="D2493" s="54" t="s">
        <v>9935</v>
      </c>
      <c r="E2493" s="50">
        <f t="shared" si="85"/>
        <v>34.095890410000003</v>
      </c>
      <c r="F2493" s="51">
        <f t="shared" si="85"/>
        <v>4.6303954899999997</v>
      </c>
      <c r="H2493" s="33"/>
      <c r="I2493" s="33"/>
      <c r="J2493" s="33"/>
      <c r="K2493" s="33"/>
      <c r="L2493" s="33"/>
      <c r="M2493" s="33"/>
      <c r="N2493" s="33"/>
      <c r="O2493" s="33"/>
      <c r="P2493" s="33"/>
      <c r="Q2493" s="33"/>
      <c r="R2493" s="33"/>
      <c r="S2493" s="33"/>
      <c r="T2493" s="33"/>
      <c r="U2493" s="33"/>
      <c r="V2493" s="33"/>
      <c r="W2493" s="33"/>
      <c r="X2493" s="33"/>
      <c r="Y2493" s="33"/>
      <c r="Z2493" s="33"/>
      <c r="AA2493" s="33"/>
      <c r="AB2493" s="33"/>
    </row>
    <row r="2494" spans="1:28" x14ac:dyDescent="0.15">
      <c r="A2494" s="46" t="s">
        <v>5039</v>
      </c>
      <c r="B2494" s="52" t="s">
        <v>7361</v>
      </c>
      <c r="C2494" s="53" t="s">
        <v>5040</v>
      </c>
      <c r="D2494" s="54" t="s">
        <v>9936</v>
      </c>
      <c r="E2494" s="50">
        <f t="shared" si="85"/>
        <v>34.109589040000003</v>
      </c>
      <c r="F2494" s="51">
        <f t="shared" si="85"/>
        <v>4.6304358399999996</v>
      </c>
      <c r="H2494" s="33"/>
      <c r="I2494" s="33"/>
      <c r="J2494" s="33"/>
      <c r="K2494" s="33"/>
      <c r="L2494" s="33"/>
      <c r="M2494" s="33"/>
      <c r="N2494" s="33"/>
      <c r="O2494" s="33"/>
      <c r="P2494" s="33"/>
      <c r="Q2494" s="33"/>
      <c r="R2494" s="33"/>
      <c r="S2494" s="33"/>
      <c r="T2494" s="33"/>
      <c r="U2494" s="33"/>
      <c r="V2494" s="33"/>
      <c r="W2494" s="33"/>
      <c r="X2494" s="33"/>
      <c r="Y2494" s="33"/>
      <c r="Z2494" s="33"/>
      <c r="AA2494" s="33"/>
      <c r="AB2494" s="33"/>
    </row>
    <row r="2495" spans="1:28" x14ac:dyDescent="0.15">
      <c r="A2495" s="46" t="s">
        <v>5041</v>
      </c>
      <c r="B2495" s="52" t="s">
        <v>7361</v>
      </c>
      <c r="C2495" s="53" t="s">
        <v>5042</v>
      </c>
      <c r="D2495" s="54" t="s">
        <v>9937</v>
      </c>
      <c r="E2495" s="50">
        <f t="shared" si="85"/>
        <v>34.123287670000003</v>
      </c>
      <c r="F2495" s="51">
        <f t="shared" si="85"/>
        <v>4.6304747900000001</v>
      </c>
      <c r="H2495" s="33"/>
      <c r="I2495" s="33"/>
      <c r="J2495" s="33"/>
      <c r="K2495" s="33"/>
      <c r="L2495" s="33"/>
      <c r="M2495" s="33"/>
      <c r="N2495" s="33"/>
      <c r="O2495" s="33"/>
      <c r="P2495" s="33"/>
      <c r="Q2495" s="33"/>
      <c r="R2495" s="33"/>
      <c r="S2495" s="33"/>
      <c r="T2495" s="33"/>
      <c r="U2495" s="33"/>
      <c r="V2495" s="33"/>
      <c r="W2495" s="33"/>
      <c r="X2495" s="33"/>
      <c r="Y2495" s="33"/>
      <c r="Z2495" s="33"/>
      <c r="AA2495" s="33"/>
      <c r="AB2495" s="33"/>
    </row>
    <row r="2496" spans="1:28" x14ac:dyDescent="0.15">
      <c r="A2496" s="46" t="s">
        <v>5043</v>
      </c>
      <c r="B2496" s="52" t="s">
        <v>7361</v>
      </c>
      <c r="C2496" s="53" t="s">
        <v>5044</v>
      </c>
      <c r="D2496" s="54" t="s">
        <v>9938</v>
      </c>
      <c r="E2496" s="50">
        <f t="shared" si="85"/>
        <v>34.136986299999997</v>
      </c>
      <c r="F2496" s="51">
        <f t="shared" si="85"/>
        <v>4.6305124299999996</v>
      </c>
      <c r="H2496" s="33"/>
      <c r="I2496" s="33"/>
      <c r="J2496" s="33"/>
      <c r="K2496" s="33"/>
      <c r="L2496" s="33"/>
      <c r="M2496" s="33"/>
      <c r="N2496" s="33"/>
      <c r="O2496" s="33"/>
      <c r="P2496" s="33"/>
      <c r="Q2496" s="33"/>
      <c r="R2496" s="33"/>
      <c r="S2496" s="33"/>
      <c r="T2496" s="33"/>
      <c r="U2496" s="33"/>
      <c r="V2496" s="33"/>
      <c r="W2496" s="33"/>
      <c r="X2496" s="33"/>
      <c r="Y2496" s="33"/>
      <c r="Z2496" s="33"/>
      <c r="AA2496" s="33"/>
      <c r="AB2496" s="33"/>
    </row>
    <row r="2497" spans="1:28" x14ac:dyDescent="0.15">
      <c r="A2497" s="46" t="s">
        <v>5045</v>
      </c>
      <c r="B2497" s="52" t="s">
        <v>7361</v>
      </c>
      <c r="C2497" s="53" t="s">
        <v>5046</v>
      </c>
      <c r="D2497" s="54" t="s">
        <v>9939</v>
      </c>
      <c r="E2497" s="50">
        <f t="shared" si="85"/>
        <v>34.150684929999997</v>
      </c>
      <c r="F2497" s="51">
        <f t="shared" si="85"/>
        <v>4.6305488500000003</v>
      </c>
      <c r="H2497" s="33"/>
      <c r="I2497" s="33"/>
      <c r="J2497" s="33"/>
      <c r="K2497" s="33"/>
      <c r="L2497" s="33"/>
      <c r="M2497" s="33"/>
      <c r="N2497" s="33"/>
      <c r="O2497" s="33"/>
      <c r="P2497" s="33"/>
      <c r="Q2497" s="33"/>
      <c r="R2497" s="33"/>
      <c r="S2497" s="33"/>
      <c r="T2497" s="33"/>
      <c r="U2497" s="33"/>
      <c r="V2497" s="33"/>
      <c r="W2497" s="33"/>
      <c r="X2497" s="33"/>
      <c r="Y2497" s="33"/>
      <c r="Z2497" s="33"/>
      <c r="AA2497" s="33"/>
      <c r="AB2497" s="33"/>
    </row>
    <row r="2498" spans="1:28" x14ac:dyDescent="0.15">
      <c r="A2498" s="46" t="s">
        <v>5047</v>
      </c>
      <c r="B2498" s="52" t="s">
        <v>7361</v>
      </c>
      <c r="C2498" s="53" t="s">
        <v>5048</v>
      </c>
      <c r="D2498" s="54" t="s">
        <v>9940</v>
      </c>
      <c r="E2498" s="50">
        <f t="shared" si="85"/>
        <v>34.164383559999997</v>
      </c>
      <c r="F2498" s="51">
        <f t="shared" si="85"/>
        <v>4.6305841299999999</v>
      </c>
      <c r="H2498" s="33"/>
      <c r="I2498" s="33"/>
      <c r="J2498" s="33"/>
      <c r="K2498" s="33"/>
      <c r="L2498" s="33"/>
      <c r="M2498" s="33"/>
      <c r="N2498" s="33"/>
      <c r="O2498" s="33"/>
      <c r="P2498" s="33"/>
      <c r="Q2498" s="33"/>
      <c r="R2498" s="33"/>
      <c r="S2498" s="33"/>
      <c r="T2498" s="33"/>
      <c r="U2498" s="33"/>
      <c r="V2498" s="33"/>
      <c r="W2498" s="33"/>
      <c r="X2498" s="33"/>
      <c r="Y2498" s="33"/>
      <c r="Z2498" s="33"/>
      <c r="AA2498" s="33"/>
      <c r="AB2498" s="33"/>
    </row>
    <row r="2499" spans="1:28" x14ac:dyDescent="0.15">
      <c r="A2499" s="46" t="s">
        <v>5049</v>
      </c>
      <c r="B2499" s="52" t="s">
        <v>7361</v>
      </c>
      <c r="C2499" s="53" t="s">
        <v>5050</v>
      </c>
      <c r="D2499" s="54" t="s">
        <v>9941</v>
      </c>
      <c r="E2499" s="50">
        <f t="shared" si="85"/>
        <v>34.178082189999998</v>
      </c>
      <c r="F2499" s="51">
        <f t="shared" si="85"/>
        <v>4.6306183499999998</v>
      </c>
      <c r="H2499" s="33"/>
      <c r="I2499" s="33"/>
      <c r="J2499" s="33"/>
      <c r="K2499" s="33"/>
      <c r="L2499" s="33"/>
      <c r="M2499" s="33"/>
      <c r="N2499" s="33"/>
      <c r="O2499" s="33"/>
      <c r="P2499" s="33"/>
      <c r="Q2499" s="33"/>
      <c r="R2499" s="33"/>
      <c r="S2499" s="33"/>
      <c r="T2499" s="33"/>
      <c r="U2499" s="33"/>
      <c r="V2499" s="33"/>
      <c r="W2499" s="33"/>
      <c r="X2499" s="33"/>
      <c r="Y2499" s="33"/>
      <c r="Z2499" s="33"/>
      <c r="AA2499" s="33"/>
      <c r="AB2499" s="33"/>
    </row>
    <row r="2500" spans="1:28" x14ac:dyDescent="0.15">
      <c r="A2500" s="46" t="s">
        <v>5051</v>
      </c>
      <c r="B2500" s="52" t="s">
        <v>7361</v>
      </c>
      <c r="C2500" s="53" t="s">
        <v>5052</v>
      </c>
      <c r="D2500" s="54" t="s">
        <v>9942</v>
      </c>
      <c r="E2500" s="50">
        <f t="shared" si="85"/>
        <v>34.191780819999998</v>
      </c>
      <c r="F2500" s="51">
        <f t="shared" si="85"/>
        <v>4.6306516100000001</v>
      </c>
      <c r="H2500" s="33"/>
      <c r="I2500" s="33"/>
      <c r="J2500" s="33"/>
      <c r="K2500" s="33"/>
      <c r="L2500" s="33"/>
      <c r="M2500" s="33"/>
      <c r="N2500" s="33"/>
      <c r="O2500" s="33"/>
      <c r="P2500" s="33"/>
      <c r="Q2500" s="33"/>
      <c r="R2500" s="33"/>
      <c r="S2500" s="33"/>
      <c r="T2500" s="33"/>
      <c r="U2500" s="33"/>
      <c r="V2500" s="33"/>
      <c r="W2500" s="33"/>
      <c r="X2500" s="33"/>
      <c r="Y2500" s="33"/>
      <c r="Z2500" s="33"/>
      <c r="AA2500" s="33"/>
      <c r="AB2500" s="33"/>
    </row>
    <row r="2501" spans="1:28" x14ac:dyDescent="0.15">
      <c r="A2501" s="46" t="s">
        <v>5053</v>
      </c>
      <c r="B2501" s="52" t="s">
        <v>7361</v>
      </c>
      <c r="C2501" s="53" t="s">
        <v>5054</v>
      </c>
      <c r="D2501" s="54" t="s">
        <v>9943</v>
      </c>
      <c r="E2501" s="50">
        <f t="shared" si="85"/>
        <v>34.205479449999999</v>
      </c>
      <c r="F2501" s="51">
        <f t="shared" si="85"/>
        <v>4.6306839899999996</v>
      </c>
      <c r="H2501" s="33"/>
      <c r="I2501" s="33"/>
      <c r="J2501" s="33"/>
      <c r="K2501" s="33"/>
      <c r="L2501" s="33"/>
      <c r="M2501" s="33"/>
      <c r="N2501" s="33"/>
      <c r="O2501" s="33"/>
      <c r="P2501" s="33"/>
      <c r="Q2501" s="33"/>
      <c r="R2501" s="33"/>
      <c r="S2501" s="33"/>
      <c r="T2501" s="33"/>
      <c r="U2501" s="33"/>
      <c r="V2501" s="33"/>
      <c r="W2501" s="33"/>
      <c r="X2501" s="33"/>
      <c r="Y2501" s="33"/>
      <c r="Z2501" s="33"/>
      <c r="AA2501" s="33"/>
      <c r="AB2501" s="33"/>
    </row>
    <row r="2502" spans="1:28" x14ac:dyDescent="0.15">
      <c r="A2502" s="46" t="s">
        <v>5055</v>
      </c>
      <c r="B2502" s="52" t="s">
        <v>7361</v>
      </c>
      <c r="C2502" s="53" t="s">
        <v>5056</v>
      </c>
      <c r="D2502" s="54" t="s">
        <v>9944</v>
      </c>
      <c r="E2502" s="50">
        <f t="shared" si="85"/>
        <v>34.219178079999999</v>
      </c>
      <c r="F2502" s="51">
        <f t="shared" si="85"/>
        <v>4.6307155699999996</v>
      </c>
      <c r="H2502" s="33"/>
      <c r="I2502" s="33"/>
      <c r="J2502" s="33"/>
      <c r="K2502" s="33"/>
      <c r="L2502" s="33"/>
      <c r="M2502" s="33"/>
      <c r="N2502" s="33"/>
      <c r="O2502" s="33"/>
      <c r="P2502" s="33"/>
      <c r="Q2502" s="33"/>
      <c r="R2502" s="33"/>
      <c r="S2502" s="33"/>
      <c r="T2502" s="33"/>
      <c r="U2502" s="33"/>
      <c r="V2502" s="33"/>
      <c r="W2502" s="33"/>
      <c r="X2502" s="33"/>
      <c r="Y2502" s="33"/>
      <c r="Z2502" s="33"/>
      <c r="AA2502" s="33"/>
      <c r="AB2502" s="33"/>
    </row>
    <row r="2503" spans="1:28" x14ac:dyDescent="0.15">
      <c r="A2503" s="46" t="s">
        <v>5057</v>
      </c>
      <c r="B2503" s="52" t="s">
        <v>7361</v>
      </c>
      <c r="C2503" s="53" t="s">
        <v>5058</v>
      </c>
      <c r="D2503" s="54" t="s">
        <v>9945</v>
      </c>
      <c r="E2503" s="50">
        <f t="shared" si="85"/>
        <v>34.232876709999999</v>
      </c>
      <c r="F2503" s="51">
        <f t="shared" si="85"/>
        <v>4.6307464400000002</v>
      </c>
      <c r="H2503" s="33"/>
      <c r="I2503" s="33"/>
      <c r="J2503" s="33"/>
      <c r="K2503" s="33"/>
      <c r="L2503" s="33"/>
      <c r="M2503" s="33"/>
      <c r="N2503" s="33"/>
      <c r="O2503" s="33"/>
      <c r="P2503" s="33"/>
      <c r="Q2503" s="33"/>
      <c r="R2503" s="33"/>
      <c r="S2503" s="33"/>
      <c r="T2503" s="33"/>
      <c r="U2503" s="33"/>
      <c r="V2503" s="33"/>
      <c r="W2503" s="33"/>
      <c r="X2503" s="33"/>
      <c r="Y2503" s="33"/>
      <c r="Z2503" s="33"/>
      <c r="AA2503" s="33"/>
      <c r="AB2503" s="33"/>
    </row>
    <row r="2504" spans="1:28" x14ac:dyDescent="0.15">
      <c r="A2504" s="46" t="s">
        <v>5059</v>
      </c>
      <c r="B2504" s="52" t="s">
        <v>7361</v>
      </c>
      <c r="C2504" s="53" t="s">
        <v>5060</v>
      </c>
      <c r="D2504" s="54" t="s">
        <v>9946</v>
      </c>
      <c r="E2504" s="50">
        <f t="shared" si="85"/>
        <v>34.24657534</v>
      </c>
      <c r="F2504" s="51">
        <f t="shared" si="85"/>
        <v>4.6307766900000003</v>
      </c>
      <c r="H2504" s="33"/>
      <c r="I2504" s="33"/>
      <c r="J2504" s="33"/>
      <c r="K2504" s="33"/>
      <c r="L2504" s="33"/>
      <c r="M2504" s="33"/>
      <c r="N2504" s="33"/>
      <c r="O2504" s="33"/>
      <c r="P2504" s="33"/>
      <c r="Q2504" s="33"/>
      <c r="R2504" s="33"/>
      <c r="S2504" s="33"/>
      <c r="T2504" s="33"/>
      <c r="U2504" s="33"/>
      <c r="V2504" s="33"/>
      <c r="W2504" s="33"/>
      <c r="X2504" s="33"/>
      <c r="Y2504" s="33"/>
      <c r="Z2504" s="33"/>
      <c r="AA2504" s="33"/>
      <c r="AB2504" s="33"/>
    </row>
    <row r="2505" spans="1:28" x14ac:dyDescent="0.15">
      <c r="A2505" s="46" t="s">
        <v>5061</v>
      </c>
      <c r="B2505" s="52" t="s">
        <v>7361</v>
      </c>
      <c r="C2505" s="53" t="s">
        <v>5062</v>
      </c>
      <c r="D2505" s="54" t="s">
        <v>9947</v>
      </c>
      <c r="E2505" s="50">
        <f t="shared" si="85"/>
        <v>34.26027397</v>
      </c>
      <c r="F2505" s="51">
        <f t="shared" si="85"/>
        <v>4.6308063900000001</v>
      </c>
      <c r="H2505" s="33"/>
      <c r="I2505" s="33"/>
      <c r="J2505" s="33"/>
      <c r="K2505" s="33"/>
      <c r="L2505" s="33"/>
      <c r="M2505" s="33"/>
      <c r="N2505" s="33"/>
      <c r="O2505" s="33"/>
      <c r="P2505" s="33"/>
      <c r="Q2505" s="33"/>
      <c r="R2505" s="33"/>
      <c r="S2505" s="33"/>
      <c r="T2505" s="33"/>
      <c r="U2505" s="33"/>
      <c r="V2505" s="33"/>
      <c r="W2505" s="33"/>
      <c r="X2505" s="33"/>
      <c r="Y2505" s="33"/>
      <c r="Z2505" s="33"/>
      <c r="AA2505" s="33"/>
      <c r="AB2505" s="33"/>
    </row>
    <row r="2506" spans="1:28" x14ac:dyDescent="0.15">
      <c r="A2506" s="46" t="s">
        <v>5063</v>
      </c>
      <c r="B2506" s="52" t="s">
        <v>7361</v>
      </c>
      <c r="C2506" s="53" t="s">
        <v>5064</v>
      </c>
      <c r="D2506" s="54" t="s">
        <v>9948</v>
      </c>
      <c r="E2506" s="50">
        <f t="shared" si="85"/>
        <v>34.2739726</v>
      </c>
      <c r="F2506" s="51">
        <f t="shared" si="85"/>
        <v>4.6308356399999999</v>
      </c>
      <c r="H2506" s="33"/>
      <c r="I2506" s="33"/>
      <c r="J2506" s="33"/>
      <c r="K2506" s="33"/>
      <c r="L2506" s="33"/>
      <c r="M2506" s="33"/>
      <c r="N2506" s="33"/>
      <c r="O2506" s="33"/>
      <c r="P2506" s="33"/>
      <c r="Q2506" s="33"/>
      <c r="R2506" s="33"/>
      <c r="S2506" s="33"/>
      <c r="T2506" s="33"/>
      <c r="U2506" s="33"/>
      <c r="V2506" s="33"/>
      <c r="W2506" s="33"/>
      <c r="X2506" s="33"/>
      <c r="Y2506" s="33"/>
      <c r="Z2506" s="33"/>
      <c r="AA2506" s="33"/>
      <c r="AB2506" s="33"/>
    </row>
    <row r="2507" spans="1:28" x14ac:dyDescent="0.15">
      <c r="A2507" s="46" t="s">
        <v>5065</v>
      </c>
      <c r="B2507" s="52" t="s">
        <v>7361</v>
      </c>
      <c r="C2507" s="53" t="s">
        <v>5066</v>
      </c>
      <c r="D2507" s="54" t="s">
        <v>9949</v>
      </c>
      <c r="E2507" s="50">
        <f t="shared" si="85"/>
        <v>34.287671230000001</v>
      </c>
      <c r="F2507" s="51">
        <f t="shared" si="85"/>
        <v>4.6308645200000003</v>
      </c>
      <c r="H2507" s="33"/>
      <c r="I2507" s="33"/>
      <c r="J2507" s="33"/>
      <c r="K2507" s="33"/>
      <c r="L2507" s="33"/>
      <c r="M2507" s="33"/>
      <c r="N2507" s="33"/>
      <c r="O2507" s="33"/>
      <c r="P2507" s="33"/>
      <c r="Q2507" s="33"/>
      <c r="R2507" s="33"/>
      <c r="S2507" s="33"/>
      <c r="T2507" s="33"/>
      <c r="U2507" s="33"/>
      <c r="V2507" s="33"/>
      <c r="W2507" s="33"/>
      <c r="X2507" s="33"/>
      <c r="Y2507" s="33"/>
      <c r="Z2507" s="33"/>
      <c r="AA2507" s="33"/>
      <c r="AB2507" s="33"/>
    </row>
    <row r="2508" spans="1:28" x14ac:dyDescent="0.15">
      <c r="A2508" s="46" t="s">
        <v>5067</v>
      </c>
      <c r="B2508" s="52" t="s">
        <v>7361</v>
      </c>
      <c r="C2508" s="53" t="s">
        <v>5068</v>
      </c>
      <c r="D2508" s="54" t="s">
        <v>9950</v>
      </c>
      <c r="E2508" s="50">
        <f t="shared" si="85"/>
        <v>34.301369860000001</v>
      </c>
      <c r="F2508" s="51">
        <f t="shared" si="85"/>
        <v>4.6308931099999997</v>
      </c>
      <c r="H2508" s="33"/>
      <c r="I2508" s="33"/>
      <c r="J2508" s="33"/>
      <c r="K2508" s="33"/>
      <c r="L2508" s="33"/>
      <c r="M2508" s="33"/>
      <c r="N2508" s="33"/>
      <c r="O2508" s="33"/>
      <c r="P2508" s="33"/>
      <c r="Q2508" s="33"/>
      <c r="R2508" s="33"/>
      <c r="S2508" s="33"/>
      <c r="T2508" s="33"/>
      <c r="U2508" s="33"/>
      <c r="V2508" s="33"/>
      <c r="W2508" s="33"/>
      <c r="X2508" s="33"/>
      <c r="Y2508" s="33"/>
      <c r="Z2508" s="33"/>
      <c r="AA2508" s="33"/>
      <c r="AB2508" s="33"/>
    </row>
    <row r="2509" spans="1:28" x14ac:dyDescent="0.15">
      <c r="A2509" s="46" t="s">
        <v>5069</v>
      </c>
      <c r="B2509" s="52" t="s">
        <v>7361</v>
      </c>
      <c r="C2509" s="53" t="s">
        <v>5070</v>
      </c>
      <c r="D2509" s="54" t="s">
        <v>9951</v>
      </c>
      <c r="E2509" s="50">
        <f t="shared" si="85"/>
        <v>34.315068490000002</v>
      </c>
      <c r="F2509" s="51">
        <f t="shared" si="85"/>
        <v>4.6309215100000003</v>
      </c>
      <c r="H2509" s="33"/>
      <c r="I2509" s="33"/>
      <c r="J2509" s="33"/>
      <c r="K2509" s="33"/>
      <c r="L2509" s="33"/>
      <c r="M2509" s="33"/>
      <c r="N2509" s="33"/>
      <c r="O2509" s="33"/>
      <c r="P2509" s="33"/>
      <c r="Q2509" s="33"/>
      <c r="R2509" s="33"/>
      <c r="S2509" s="33"/>
      <c r="T2509" s="33"/>
      <c r="U2509" s="33"/>
      <c r="V2509" s="33"/>
      <c r="W2509" s="33"/>
      <c r="X2509" s="33"/>
      <c r="Y2509" s="33"/>
      <c r="Z2509" s="33"/>
      <c r="AA2509" s="33"/>
      <c r="AB2509" s="33"/>
    </row>
    <row r="2510" spans="1:28" x14ac:dyDescent="0.15">
      <c r="A2510" s="46" t="s">
        <v>5071</v>
      </c>
      <c r="B2510" s="52" t="s">
        <v>7361</v>
      </c>
      <c r="C2510" s="53" t="s">
        <v>5072</v>
      </c>
      <c r="D2510" s="54" t="s">
        <v>9952</v>
      </c>
      <c r="E2510" s="50">
        <f t="shared" si="85"/>
        <v>34.328767120000002</v>
      </c>
      <c r="F2510" s="51">
        <f t="shared" si="85"/>
        <v>4.6309497899999998</v>
      </c>
      <c r="H2510" s="33"/>
      <c r="I2510" s="33"/>
      <c r="J2510" s="33"/>
      <c r="K2510" s="33"/>
      <c r="L2510" s="33"/>
      <c r="M2510" s="33"/>
      <c r="N2510" s="33"/>
      <c r="O2510" s="33"/>
      <c r="P2510" s="33"/>
      <c r="Q2510" s="33"/>
      <c r="R2510" s="33"/>
      <c r="S2510" s="33"/>
      <c r="T2510" s="33"/>
      <c r="U2510" s="33"/>
      <c r="V2510" s="33"/>
      <c r="W2510" s="33"/>
      <c r="X2510" s="33"/>
      <c r="Y2510" s="33"/>
      <c r="Z2510" s="33"/>
      <c r="AA2510" s="33"/>
      <c r="AB2510" s="33"/>
    </row>
    <row r="2511" spans="1:28" x14ac:dyDescent="0.15">
      <c r="A2511" s="46" t="s">
        <v>5073</v>
      </c>
      <c r="B2511" s="52" t="s">
        <v>7361</v>
      </c>
      <c r="C2511" s="53" t="s">
        <v>5074</v>
      </c>
      <c r="D2511" s="54" t="s">
        <v>9953</v>
      </c>
      <c r="E2511" s="50">
        <f t="shared" si="85"/>
        <v>34.342465750000002</v>
      </c>
      <c r="F2511" s="51">
        <f t="shared" si="85"/>
        <v>4.6309780399999996</v>
      </c>
      <c r="H2511" s="33"/>
      <c r="I2511" s="33"/>
      <c r="J2511" s="33"/>
      <c r="K2511" s="33"/>
      <c r="L2511" s="33"/>
      <c r="M2511" s="33"/>
      <c r="N2511" s="33"/>
      <c r="O2511" s="33"/>
      <c r="P2511" s="33"/>
      <c r="Q2511" s="33"/>
      <c r="R2511" s="33"/>
      <c r="S2511" s="33"/>
      <c r="T2511" s="33"/>
      <c r="U2511" s="33"/>
      <c r="V2511" s="33"/>
      <c r="W2511" s="33"/>
      <c r="X2511" s="33"/>
      <c r="Y2511" s="33"/>
      <c r="Z2511" s="33"/>
      <c r="AA2511" s="33"/>
      <c r="AB2511" s="33"/>
    </row>
    <row r="2512" spans="1:28" x14ac:dyDescent="0.15">
      <c r="A2512" s="46" t="s">
        <v>5075</v>
      </c>
      <c r="B2512" s="52" t="s">
        <v>7361</v>
      </c>
      <c r="C2512" s="53" t="s">
        <v>5076</v>
      </c>
      <c r="D2512" s="54" t="s">
        <v>9954</v>
      </c>
      <c r="E2512" s="50">
        <f t="shared" si="85"/>
        <v>34.356164380000003</v>
      </c>
      <c r="F2512" s="51">
        <f t="shared" si="85"/>
        <v>4.6310063499999998</v>
      </c>
      <c r="H2512" s="33"/>
      <c r="I2512" s="33"/>
      <c r="J2512" s="33"/>
      <c r="K2512" s="33"/>
      <c r="L2512" s="33"/>
      <c r="M2512" s="33"/>
      <c r="N2512" s="33"/>
      <c r="O2512" s="33"/>
      <c r="P2512" s="33"/>
      <c r="Q2512" s="33"/>
      <c r="R2512" s="33"/>
      <c r="S2512" s="33"/>
      <c r="T2512" s="33"/>
      <c r="U2512" s="33"/>
      <c r="V2512" s="33"/>
      <c r="W2512" s="33"/>
      <c r="X2512" s="33"/>
      <c r="Y2512" s="33"/>
      <c r="Z2512" s="33"/>
      <c r="AA2512" s="33"/>
      <c r="AB2512" s="33"/>
    </row>
    <row r="2513" spans="1:28" x14ac:dyDescent="0.15">
      <c r="A2513" s="46" t="s">
        <v>5077</v>
      </c>
      <c r="B2513" s="52" t="s">
        <v>7361</v>
      </c>
      <c r="C2513" s="53" t="s">
        <v>5078</v>
      </c>
      <c r="D2513" s="54" t="s">
        <v>9955</v>
      </c>
      <c r="E2513" s="50">
        <f t="shared" si="85"/>
        <v>34.369863010000003</v>
      </c>
      <c r="F2513" s="51">
        <f t="shared" si="85"/>
        <v>4.6310348000000001</v>
      </c>
      <c r="H2513" s="33"/>
      <c r="I2513" s="33"/>
      <c r="J2513" s="33"/>
      <c r="K2513" s="33"/>
      <c r="L2513" s="33"/>
      <c r="M2513" s="33"/>
      <c r="N2513" s="33"/>
      <c r="O2513" s="33"/>
      <c r="P2513" s="33"/>
      <c r="Q2513" s="33"/>
      <c r="R2513" s="33"/>
      <c r="S2513" s="33"/>
      <c r="T2513" s="33"/>
      <c r="U2513" s="33"/>
      <c r="V2513" s="33"/>
      <c r="W2513" s="33"/>
      <c r="X2513" s="33"/>
      <c r="Y2513" s="33"/>
      <c r="Z2513" s="33"/>
      <c r="AA2513" s="33"/>
      <c r="AB2513" s="33"/>
    </row>
    <row r="2514" spans="1:28" x14ac:dyDescent="0.15">
      <c r="A2514" s="46" t="s">
        <v>5079</v>
      </c>
      <c r="B2514" s="52" t="s">
        <v>7361</v>
      </c>
      <c r="C2514" s="53" t="s">
        <v>5080</v>
      </c>
      <c r="D2514" s="54" t="s">
        <v>9956</v>
      </c>
      <c r="E2514" s="50">
        <f t="shared" si="85"/>
        <v>34.383561640000003</v>
      </c>
      <c r="F2514" s="51">
        <f t="shared" si="85"/>
        <v>4.6310634799999999</v>
      </c>
      <c r="H2514" s="33"/>
      <c r="I2514" s="33"/>
      <c r="J2514" s="33"/>
      <c r="K2514" s="33"/>
      <c r="L2514" s="33"/>
      <c r="M2514" s="33"/>
      <c r="N2514" s="33"/>
      <c r="O2514" s="33"/>
      <c r="P2514" s="33"/>
      <c r="Q2514" s="33"/>
      <c r="R2514" s="33"/>
      <c r="S2514" s="33"/>
      <c r="T2514" s="33"/>
      <c r="U2514" s="33"/>
      <c r="V2514" s="33"/>
      <c r="W2514" s="33"/>
      <c r="X2514" s="33"/>
      <c r="Y2514" s="33"/>
      <c r="Z2514" s="33"/>
      <c r="AA2514" s="33"/>
      <c r="AB2514" s="33"/>
    </row>
    <row r="2515" spans="1:28" x14ac:dyDescent="0.15">
      <c r="A2515" s="46" t="s">
        <v>5081</v>
      </c>
      <c r="B2515" s="52" t="s">
        <v>7361</v>
      </c>
      <c r="C2515" s="53" t="s">
        <v>5082</v>
      </c>
      <c r="D2515" s="54" t="s">
        <v>9957</v>
      </c>
      <c r="E2515" s="50">
        <f t="shared" si="85"/>
        <v>34.397260269999997</v>
      </c>
      <c r="F2515" s="51">
        <f t="shared" si="85"/>
        <v>4.6310924699999996</v>
      </c>
      <c r="H2515" s="33"/>
      <c r="I2515" s="33"/>
      <c r="J2515" s="33"/>
      <c r="K2515" s="33"/>
      <c r="L2515" s="33"/>
      <c r="M2515" s="33"/>
      <c r="N2515" s="33"/>
      <c r="O2515" s="33"/>
      <c r="P2515" s="33"/>
      <c r="Q2515" s="33"/>
      <c r="R2515" s="33"/>
      <c r="S2515" s="33"/>
      <c r="T2515" s="33"/>
      <c r="U2515" s="33"/>
      <c r="V2515" s="33"/>
      <c r="W2515" s="33"/>
      <c r="X2515" s="33"/>
      <c r="Y2515" s="33"/>
      <c r="Z2515" s="33"/>
      <c r="AA2515" s="33"/>
      <c r="AB2515" s="33"/>
    </row>
    <row r="2516" spans="1:28" x14ac:dyDescent="0.15">
      <c r="A2516" s="46" t="s">
        <v>5083</v>
      </c>
      <c r="B2516" s="52" t="s">
        <v>7361</v>
      </c>
      <c r="C2516" s="53" t="s">
        <v>5084</v>
      </c>
      <c r="D2516" s="54" t="s">
        <v>9958</v>
      </c>
      <c r="E2516" s="50">
        <f t="shared" ref="E2516:F2546" si="86">VALUE(C2516)</f>
        <v>34.410958899999997</v>
      </c>
      <c r="F2516" s="51">
        <f t="shared" si="86"/>
        <v>4.6311218700000003</v>
      </c>
      <c r="H2516" s="33"/>
      <c r="I2516" s="33"/>
      <c r="J2516" s="33"/>
      <c r="K2516" s="33"/>
      <c r="L2516" s="33"/>
      <c r="M2516" s="33"/>
      <c r="N2516" s="33"/>
      <c r="O2516" s="33"/>
      <c r="P2516" s="33"/>
      <c r="Q2516" s="33"/>
      <c r="R2516" s="33"/>
      <c r="S2516" s="33"/>
      <c r="T2516" s="33"/>
      <c r="U2516" s="33"/>
      <c r="V2516" s="33"/>
      <c r="W2516" s="33"/>
      <c r="X2516" s="33"/>
      <c r="Y2516" s="33"/>
      <c r="Z2516" s="33"/>
      <c r="AA2516" s="33"/>
      <c r="AB2516" s="33"/>
    </row>
    <row r="2517" spans="1:28" x14ac:dyDescent="0.15">
      <c r="A2517" s="46" t="s">
        <v>5085</v>
      </c>
      <c r="B2517" s="52" t="s">
        <v>7361</v>
      </c>
      <c r="C2517" s="53" t="s">
        <v>5086</v>
      </c>
      <c r="D2517" s="54" t="s">
        <v>9959</v>
      </c>
      <c r="E2517" s="50">
        <f t="shared" si="86"/>
        <v>34.424657529999998</v>
      </c>
      <c r="F2517" s="51">
        <f t="shared" si="86"/>
        <v>4.63115174</v>
      </c>
      <c r="H2517" s="33"/>
      <c r="I2517" s="33"/>
      <c r="J2517" s="33"/>
      <c r="K2517" s="33"/>
      <c r="L2517" s="33"/>
      <c r="M2517" s="33"/>
      <c r="N2517" s="33"/>
      <c r="O2517" s="33"/>
      <c r="P2517" s="33"/>
      <c r="Q2517" s="33"/>
      <c r="R2517" s="33"/>
      <c r="S2517" s="33"/>
      <c r="T2517" s="33"/>
      <c r="U2517" s="33"/>
      <c r="V2517" s="33"/>
      <c r="W2517" s="33"/>
      <c r="X2517" s="33"/>
      <c r="Y2517" s="33"/>
      <c r="Z2517" s="33"/>
      <c r="AA2517" s="33"/>
      <c r="AB2517" s="33"/>
    </row>
    <row r="2518" spans="1:28" x14ac:dyDescent="0.15">
      <c r="A2518" s="46" t="s">
        <v>5087</v>
      </c>
      <c r="B2518" s="52" t="s">
        <v>7361</v>
      </c>
      <c r="C2518" s="53" t="s">
        <v>5088</v>
      </c>
      <c r="D2518" s="54" t="s">
        <v>9960</v>
      </c>
      <c r="E2518" s="50">
        <f t="shared" si="86"/>
        <v>34.438356159999998</v>
      </c>
      <c r="F2518" s="51">
        <f t="shared" si="86"/>
        <v>4.6311821799999997</v>
      </c>
      <c r="H2518" s="33"/>
      <c r="I2518" s="33"/>
      <c r="J2518" s="33"/>
      <c r="K2518" s="33"/>
      <c r="L2518" s="33"/>
      <c r="M2518" s="33"/>
      <c r="N2518" s="33"/>
      <c r="O2518" s="33"/>
      <c r="P2518" s="33"/>
      <c r="Q2518" s="33"/>
      <c r="R2518" s="33"/>
      <c r="S2518" s="33"/>
      <c r="T2518" s="33"/>
      <c r="U2518" s="33"/>
      <c r="V2518" s="33"/>
      <c r="W2518" s="33"/>
      <c r="X2518" s="33"/>
      <c r="Y2518" s="33"/>
      <c r="Z2518" s="33"/>
      <c r="AA2518" s="33"/>
      <c r="AB2518" s="33"/>
    </row>
    <row r="2519" spans="1:28" x14ac:dyDescent="0.15">
      <c r="A2519" s="46" t="s">
        <v>5089</v>
      </c>
      <c r="B2519" s="52" t="s">
        <v>7361</v>
      </c>
      <c r="C2519" s="53" t="s">
        <v>5090</v>
      </c>
      <c r="D2519" s="54" t="s">
        <v>9961</v>
      </c>
      <c r="E2519" s="50">
        <f t="shared" si="86"/>
        <v>34.452054789999998</v>
      </c>
      <c r="F2519" s="51">
        <f t="shared" si="86"/>
        <v>4.6312132799999999</v>
      </c>
      <c r="H2519" s="33"/>
      <c r="I2519" s="33"/>
      <c r="J2519" s="33"/>
      <c r="K2519" s="33"/>
      <c r="L2519" s="33"/>
      <c r="M2519" s="33"/>
      <c r="N2519" s="33"/>
      <c r="O2519" s="33"/>
      <c r="P2519" s="33"/>
      <c r="Q2519" s="33"/>
      <c r="R2519" s="33"/>
      <c r="S2519" s="33"/>
      <c r="T2519" s="33"/>
      <c r="U2519" s="33"/>
      <c r="V2519" s="33"/>
      <c r="W2519" s="33"/>
      <c r="X2519" s="33"/>
      <c r="Y2519" s="33"/>
      <c r="Z2519" s="33"/>
      <c r="AA2519" s="33"/>
      <c r="AB2519" s="33"/>
    </row>
    <row r="2520" spans="1:28" x14ac:dyDescent="0.15">
      <c r="A2520" s="46" t="s">
        <v>5091</v>
      </c>
      <c r="B2520" s="52" t="s">
        <v>7361</v>
      </c>
      <c r="C2520" s="53" t="s">
        <v>5092</v>
      </c>
      <c r="D2520" s="54" t="s">
        <v>9962</v>
      </c>
      <c r="E2520" s="50">
        <f t="shared" si="86"/>
        <v>34.465753419999999</v>
      </c>
      <c r="F2520" s="51">
        <f t="shared" si="86"/>
        <v>4.63124512</v>
      </c>
      <c r="H2520" s="33"/>
      <c r="I2520" s="33"/>
      <c r="J2520" s="33"/>
      <c r="K2520" s="33"/>
      <c r="L2520" s="33"/>
      <c r="M2520" s="33"/>
      <c r="N2520" s="33"/>
      <c r="O2520" s="33"/>
      <c r="P2520" s="33"/>
      <c r="Q2520" s="33"/>
      <c r="R2520" s="33"/>
      <c r="S2520" s="33"/>
      <c r="T2520" s="33"/>
      <c r="U2520" s="33"/>
      <c r="V2520" s="33"/>
      <c r="W2520" s="33"/>
      <c r="X2520" s="33"/>
      <c r="Y2520" s="33"/>
      <c r="Z2520" s="33"/>
      <c r="AA2520" s="33"/>
      <c r="AB2520" s="33"/>
    </row>
    <row r="2521" spans="1:28" x14ac:dyDescent="0.15">
      <c r="A2521" s="46" t="s">
        <v>5093</v>
      </c>
      <c r="B2521" s="52" t="s">
        <v>7361</v>
      </c>
      <c r="C2521" s="53" t="s">
        <v>5094</v>
      </c>
      <c r="D2521" s="54" t="s">
        <v>9963</v>
      </c>
      <c r="E2521" s="50">
        <f t="shared" si="86"/>
        <v>34.479452049999999</v>
      </c>
      <c r="F2521" s="51">
        <f t="shared" si="86"/>
        <v>4.6312777799999996</v>
      </c>
      <c r="H2521" s="33"/>
      <c r="I2521" s="33"/>
      <c r="J2521" s="33"/>
      <c r="K2521" s="33"/>
      <c r="L2521" s="33"/>
      <c r="M2521" s="33"/>
      <c r="N2521" s="33"/>
      <c r="O2521" s="33"/>
      <c r="P2521" s="33"/>
      <c r="Q2521" s="33"/>
      <c r="R2521" s="33"/>
      <c r="S2521" s="33"/>
      <c r="T2521" s="33"/>
      <c r="U2521" s="33"/>
      <c r="V2521" s="33"/>
      <c r="W2521" s="33"/>
      <c r="X2521" s="33"/>
      <c r="Y2521" s="33"/>
      <c r="Z2521" s="33"/>
      <c r="AA2521" s="33"/>
      <c r="AB2521" s="33"/>
    </row>
    <row r="2522" spans="1:28" x14ac:dyDescent="0.15">
      <c r="A2522" s="46" t="s">
        <v>5095</v>
      </c>
      <c r="B2522" s="52" t="s">
        <v>7361</v>
      </c>
      <c r="C2522" s="53" t="s">
        <v>5096</v>
      </c>
      <c r="D2522" s="54" t="s">
        <v>9964</v>
      </c>
      <c r="E2522" s="50">
        <f t="shared" si="86"/>
        <v>34.493150679999999</v>
      </c>
      <c r="F2522" s="51">
        <f t="shared" si="86"/>
        <v>4.6313113599999998</v>
      </c>
      <c r="H2522" s="33"/>
      <c r="I2522" s="33"/>
      <c r="J2522" s="33"/>
      <c r="K2522" s="33"/>
      <c r="L2522" s="33"/>
      <c r="M2522" s="33"/>
      <c r="N2522" s="33"/>
      <c r="O2522" s="33"/>
      <c r="P2522" s="33"/>
      <c r="Q2522" s="33"/>
      <c r="R2522" s="33"/>
      <c r="S2522" s="33"/>
      <c r="T2522" s="33"/>
      <c r="U2522" s="33"/>
      <c r="V2522" s="33"/>
      <c r="W2522" s="33"/>
      <c r="X2522" s="33"/>
      <c r="Y2522" s="33"/>
      <c r="Z2522" s="33"/>
      <c r="AA2522" s="33"/>
      <c r="AB2522" s="33"/>
    </row>
    <row r="2523" spans="1:28" x14ac:dyDescent="0.15">
      <c r="A2523" s="46" t="s">
        <v>5097</v>
      </c>
      <c r="B2523" s="52" t="s">
        <v>7361</v>
      </c>
      <c r="C2523" s="53" t="s">
        <v>5098</v>
      </c>
      <c r="D2523" s="54" t="s">
        <v>9965</v>
      </c>
      <c r="E2523" s="50">
        <f t="shared" si="86"/>
        <v>34.506849320000001</v>
      </c>
      <c r="F2523" s="51">
        <f t="shared" si="86"/>
        <v>4.6313455899999996</v>
      </c>
      <c r="H2523" s="33"/>
      <c r="I2523" s="33"/>
      <c r="J2523" s="33"/>
      <c r="K2523" s="33"/>
      <c r="L2523" s="33"/>
      <c r="M2523" s="33"/>
      <c r="N2523" s="33"/>
      <c r="O2523" s="33"/>
      <c r="P2523" s="33"/>
      <c r="Q2523" s="33"/>
      <c r="R2523" s="33"/>
      <c r="S2523" s="33"/>
      <c r="T2523" s="33"/>
      <c r="U2523" s="33"/>
      <c r="V2523" s="33"/>
      <c r="W2523" s="33"/>
      <c r="X2523" s="33"/>
      <c r="Y2523" s="33"/>
      <c r="Z2523" s="33"/>
      <c r="AA2523" s="33"/>
      <c r="AB2523" s="33"/>
    </row>
    <row r="2524" spans="1:28" x14ac:dyDescent="0.15">
      <c r="A2524" s="46" t="s">
        <v>5099</v>
      </c>
      <c r="B2524" s="52" t="s">
        <v>7361</v>
      </c>
      <c r="C2524" s="53" t="s">
        <v>5100</v>
      </c>
      <c r="D2524" s="54" t="s">
        <v>9966</v>
      </c>
      <c r="E2524" s="50">
        <f t="shared" si="86"/>
        <v>34.520547950000001</v>
      </c>
      <c r="F2524" s="51">
        <f t="shared" si="86"/>
        <v>4.6313785599999999</v>
      </c>
      <c r="H2524" s="33"/>
      <c r="I2524" s="33"/>
      <c r="J2524" s="33"/>
      <c r="K2524" s="33"/>
      <c r="L2524" s="33"/>
      <c r="M2524" s="33"/>
      <c r="N2524" s="33"/>
      <c r="O2524" s="33"/>
      <c r="P2524" s="33"/>
      <c r="Q2524" s="33"/>
      <c r="R2524" s="33"/>
      <c r="S2524" s="33"/>
      <c r="T2524" s="33"/>
      <c r="U2524" s="33"/>
      <c r="V2524" s="33"/>
      <c r="W2524" s="33"/>
      <c r="X2524" s="33"/>
      <c r="Y2524" s="33"/>
      <c r="Z2524" s="33"/>
      <c r="AA2524" s="33"/>
      <c r="AB2524" s="33"/>
    </row>
    <row r="2525" spans="1:28" x14ac:dyDescent="0.15">
      <c r="A2525" s="46" t="s">
        <v>5101</v>
      </c>
      <c r="B2525" s="52" t="s">
        <v>7361</v>
      </c>
      <c r="C2525" s="53" t="s">
        <v>5102</v>
      </c>
      <c r="D2525" s="54" t="s">
        <v>9967</v>
      </c>
      <c r="E2525" s="50">
        <f t="shared" si="86"/>
        <v>34.534246580000001</v>
      </c>
      <c r="F2525" s="51">
        <f t="shared" si="86"/>
        <v>4.6314099999999998</v>
      </c>
      <c r="H2525" s="33"/>
      <c r="I2525" s="33"/>
      <c r="J2525" s="33"/>
      <c r="K2525" s="33"/>
      <c r="L2525" s="33"/>
      <c r="M2525" s="33"/>
      <c r="N2525" s="33"/>
      <c r="O2525" s="33"/>
      <c r="P2525" s="33"/>
      <c r="Q2525" s="33"/>
      <c r="R2525" s="33"/>
      <c r="S2525" s="33"/>
      <c r="T2525" s="33"/>
      <c r="U2525" s="33"/>
      <c r="V2525" s="33"/>
      <c r="W2525" s="33"/>
      <c r="X2525" s="33"/>
      <c r="Y2525" s="33"/>
      <c r="Z2525" s="33"/>
      <c r="AA2525" s="33"/>
      <c r="AB2525" s="33"/>
    </row>
    <row r="2526" spans="1:28" x14ac:dyDescent="0.15">
      <c r="A2526" s="46" t="s">
        <v>5103</v>
      </c>
      <c r="B2526" s="52" t="s">
        <v>7361</v>
      </c>
      <c r="C2526" s="53" t="s">
        <v>5104</v>
      </c>
      <c r="D2526" s="54" t="s">
        <v>9968</v>
      </c>
      <c r="E2526" s="50">
        <f t="shared" si="86"/>
        <v>34.547945210000002</v>
      </c>
      <c r="F2526" s="51">
        <f t="shared" si="86"/>
        <v>4.6314399699999997</v>
      </c>
      <c r="H2526" s="33"/>
      <c r="I2526" s="33"/>
      <c r="J2526" s="33"/>
      <c r="K2526" s="33"/>
      <c r="L2526" s="33"/>
      <c r="M2526" s="33"/>
      <c r="N2526" s="33"/>
      <c r="O2526" s="33"/>
      <c r="P2526" s="33"/>
      <c r="Q2526" s="33"/>
      <c r="R2526" s="33"/>
      <c r="S2526" s="33"/>
      <c r="T2526" s="33"/>
      <c r="U2526" s="33"/>
      <c r="V2526" s="33"/>
      <c r="W2526" s="33"/>
      <c r="X2526" s="33"/>
      <c r="Y2526" s="33"/>
      <c r="Z2526" s="33"/>
      <c r="AA2526" s="33"/>
      <c r="AB2526" s="33"/>
    </row>
    <row r="2527" spans="1:28" x14ac:dyDescent="0.15">
      <c r="A2527" s="46" t="s">
        <v>5105</v>
      </c>
      <c r="B2527" s="52" t="s">
        <v>7361</v>
      </c>
      <c r="C2527" s="53" t="s">
        <v>5106</v>
      </c>
      <c r="D2527" s="54" t="s">
        <v>9969</v>
      </c>
      <c r="E2527" s="50">
        <f t="shared" si="86"/>
        <v>34.561643840000002</v>
      </c>
      <c r="F2527" s="51">
        <f t="shared" si="86"/>
        <v>4.6314685200000003</v>
      </c>
      <c r="H2527" s="33"/>
      <c r="I2527" s="33"/>
      <c r="J2527" s="33"/>
      <c r="K2527" s="33"/>
      <c r="L2527" s="33"/>
      <c r="M2527" s="33"/>
      <c r="N2527" s="33"/>
      <c r="O2527" s="33"/>
      <c r="P2527" s="33"/>
      <c r="Q2527" s="33"/>
      <c r="R2527" s="33"/>
      <c r="S2527" s="33"/>
      <c r="T2527" s="33"/>
      <c r="U2527" s="33"/>
      <c r="V2527" s="33"/>
      <c r="W2527" s="33"/>
      <c r="X2527" s="33"/>
      <c r="Y2527" s="33"/>
      <c r="Z2527" s="33"/>
      <c r="AA2527" s="33"/>
      <c r="AB2527" s="33"/>
    </row>
    <row r="2528" spans="1:28" x14ac:dyDescent="0.15">
      <c r="A2528" s="46" t="s">
        <v>5107</v>
      </c>
      <c r="B2528" s="52" t="s">
        <v>7361</v>
      </c>
      <c r="C2528" s="53" t="s">
        <v>5108</v>
      </c>
      <c r="D2528" s="54" t="s">
        <v>9970</v>
      </c>
      <c r="E2528" s="50">
        <f t="shared" si="86"/>
        <v>34.575342470000002</v>
      </c>
      <c r="F2528" s="51">
        <f t="shared" si="86"/>
        <v>4.6314957300000001</v>
      </c>
      <c r="H2528" s="33"/>
      <c r="I2528" s="33"/>
      <c r="J2528" s="33"/>
      <c r="K2528" s="33"/>
      <c r="L2528" s="33"/>
      <c r="M2528" s="33"/>
      <c r="N2528" s="33"/>
      <c r="O2528" s="33"/>
      <c r="P2528" s="33"/>
      <c r="Q2528" s="33"/>
      <c r="R2528" s="33"/>
      <c r="S2528" s="33"/>
      <c r="T2528" s="33"/>
      <c r="U2528" s="33"/>
      <c r="V2528" s="33"/>
      <c r="W2528" s="33"/>
      <c r="X2528" s="33"/>
      <c r="Y2528" s="33"/>
      <c r="Z2528" s="33"/>
      <c r="AA2528" s="33"/>
      <c r="AB2528" s="33"/>
    </row>
    <row r="2529" spans="1:28" x14ac:dyDescent="0.15">
      <c r="A2529" s="46" t="s">
        <v>5109</v>
      </c>
      <c r="B2529" s="52" t="s">
        <v>7361</v>
      </c>
      <c r="C2529" s="53" t="s">
        <v>5110</v>
      </c>
      <c r="D2529" s="54" t="s">
        <v>9971</v>
      </c>
      <c r="E2529" s="50">
        <f t="shared" si="86"/>
        <v>34.589041100000003</v>
      </c>
      <c r="F2529" s="51">
        <f t="shared" si="86"/>
        <v>4.6315216499999998</v>
      </c>
      <c r="H2529" s="33"/>
      <c r="I2529" s="33"/>
      <c r="J2529" s="33"/>
      <c r="K2529" s="33"/>
      <c r="L2529" s="33"/>
      <c r="M2529" s="33"/>
      <c r="N2529" s="33"/>
      <c r="O2529" s="33"/>
      <c r="P2529" s="33"/>
      <c r="Q2529" s="33"/>
      <c r="R2529" s="33"/>
      <c r="S2529" s="33"/>
      <c r="T2529" s="33"/>
      <c r="U2529" s="33"/>
      <c r="V2529" s="33"/>
      <c r="W2529" s="33"/>
      <c r="X2529" s="33"/>
      <c r="Y2529" s="33"/>
      <c r="Z2529" s="33"/>
      <c r="AA2529" s="33"/>
      <c r="AB2529" s="33"/>
    </row>
    <row r="2530" spans="1:28" x14ac:dyDescent="0.15">
      <c r="A2530" s="46" t="s">
        <v>5111</v>
      </c>
      <c r="B2530" s="52" t="s">
        <v>7361</v>
      </c>
      <c r="C2530" s="53" t="s">
        <v>5112</v>
      </c>
      <c r="D2530" s="54" t="s">
        <v>9972</v>
      </c>
      <c r="E2530" s="50">
        <f t="shared" si="86"/>
        <v>34.602739730000003</v>
      </c>
      <c r="F2530" s="51">
        <f t="shared" si="86"/>
        <v>4.6315463499999998</v>
      </c>
      <c r="H2530" s="33"/>
      <c r="I2530" s="33"/>
      <c r="J2530" s="33"/>
      <c r="K2530" s="33"/>
      <c r="L2530" s="33"/>
      <c r="M2530" s="33"/>
      <c r="N2530" s="33"/>
      <c r="O2530" s="33"/>
      <c r="P2530" s="33"/>
      <c r="Q2530" s="33"/>
      <c r="R2530" s="33"/>
      <c r="S2530" s="33"/>
      <c r="T2530" s="33"/>
      <c r="U2530" s="33"/>
      <c r="V2530" s="33"/>
      <c r="W2530" s="33"/>
      <c r="X2530" s="33"/>
      <c r="Y2530" s="33"/>
      <c r="Z2530" s="33"/>
      <c r="AA2530" s="33"/>
      <c r="AB2530" s="33"/>
    </row>
    <row r="2531" spans="1:28" x14ac:dyDescent="0.15">
      <c r="A2531" s="46" t="s">
        <v>5113</v>
      </c>
      <c r="B2531" s="52" t="s">
        <v>7361</v>
      </c>
      <c r="C2531" s="53" t="s">
        <v>5114</v>
      </c>
      <c r="D2531" s="54" t="s">
        <v>9973</v>
      </c>
      <c r="E2531" s="50">
        <f t="shared" si="86"/>
        <v>34.616438359999997</v>
      </c>
      <c r="F2531" s="51">
        <f t="shared" si="86"/>
        <v>4.6315698799999998</v>
      </c>
      <c r="H2531" s="33"/>
      <c r="I2531" s="33"/>
      <c r="J2531" s="33"/>
      <c r="K2531" s="33"/>
      <c r="L2531" s="33"/>
      <c r="M2531" s="33"/>
      <c r="N2531" s="33"/>
      <c r="O2531" s="33"/>
      <c r="P2531" s="33"/>
      <c r="Q2531" s="33"/>
      <c r="R2531" s="33"/>
      <c r="S2531" s="33"/>
      <c r="T2531" s="33"/>
      <c r="U2531" s="33"/>
      <c r="V2531" s="33"/>
      <c r="W2531" s="33"/>
      <c r="X2531" s="33"/>
      <c r="Y2531" s="33"/>
      <c r="Z2531" s="33"/>
      <c r="AA2531" s="33"/>
      <c r="AB2531" s="33"/>
    </row>
    <row r="2532" spans="1:28" x14ac:dyDescent="0.15">
      <c r="A2532" s="46" t="s">
        <v>5115</v>
      </c>
      <c r="B2532" s="52" t="s">
        <v>7361</v>
      </c>
      <c r="C2532" s="53" t="s">
        <v>5116</v>
      </c>
      <c r="D2532" s="54" t="s">
        <v>9974</v>
      </c>
      <c r="E2532" s="50">
        <f t="shared" si="86"/>
        <v>34.630136989999997</v>
      </c>
      <c r="F2532" s="51">
        <f t="shared" si="86"/>
        <v>4.6315923100000003</v>
      </c>
      <c r="H2532" s="33"/>
      <c r="I2532" s="33"/>
      <c r="J2532" s="33"/>
      <c r="K2532" s="33"/>
      <c r="L2532" s="33"/>
      <c r="M2532" s="33"/>
      <c r="N2532" s="33"/>
      <c r="O2532" s="33"/>
      <c r="P2532" s="33"/>
      <c r="Q2532" s="33"/>
      <c r="R2532" s="33"/>
      <c r="S2532" s="33"/>
      <c r="T2532" s="33"/>
      <c r="U2532" s="33"/>
      <c r="V2532" s="33"/>
      <c r="W2532" s="33"/>
      <c r="X2532" s="33"/>
      <c r="Y2532" s="33"/>
      <c r="Z2532" s="33"/>
      <c r="AA2532" s="33"/>
      <c r="AB2532" s="33"/>
    </row>
    <row r="2533" spans="1:28" x14ac:dyDescent="0.15">
      <c r="A2533" s="46" t="s">
        <v>5117</v>
      </c>
      <c r="B2533" s="52" t="s">
        <v>7361</v>
      </c>
      <c r="C2533" s="53" t="s">
        <v>5118</v>
      </c>
      <c r="D2533" s="54" t="s">
        <v>9975</v>
      </c>
      <c r="E2533" s="50">
        <f t="shared" si="86"/>
        <v>34.643835619999997</v>
      </c>
      <c r="F2533" s="51">
        <f t="shared" si="86"/>
        <v>4.63161369</v>
      </c>
      <c r="H2533" s="33"/>
      <c r="I2533" s="33"/>
      <c r="J2533" s="33"/>
      <c r="K2533" s="33"/>
      <c r="L2533" s="33"/>
      <c r="M2533" s="33"/>
      <c r="N2533" s="33"/>
      <c r="O2533" s="33"/>
      <c r="P2533" s="33"/>
      <c r="Q2533" s="33"/>
      <c r="R2533" s="33"/>
      <c r="S2533" s="33"/>
      <c r="T2533" s="33"/>
      <c r="U2533" s="33"/>
      <c r="V2533" s="33"/>
      <c r="W2533" s="33"/>
      <c r="X2533" s="33"/>
      <c r="Y2533" s="33"/>
      <c r="Z2533" s="33"/>
      <c r="AA2533" s="33"/>
      <c r="AB2533" s="33"/>
    </row>
    <row r="2534" spans="1:28" x14ac:dyDescent="0.15">
      <c r="A2534" s="46" t="s">
        <v>5119</v>
      </c>
      <c r="B2534" s="52" t="s">
        <v>7361</v>
      </c>
      <c r="C2534" s="53" t="s">
        <v>5120</v>
      </c>
      <c r="D2534" s="54" t="s">
        <v>9976</v>
      </c>
      <c r="E2534" s="50">
        <f t="shared" si="86"/>
        <v>34.657534249999998</v>
      </c>
      <c r="F2534" s="51">
        <f t="shared" si="86"/>
        <v>4.6316341000000003</v>
      </c>
      <c r="H2534" s="33"/>
      <c r="I2534" s="33"/>
      <c r="J2534" s="33"/>
      <c r="K2534" s="33"/>
      <c r="L2534" s="33"/>
      <c r="M2534" s="33"/>
      <c r="N2534" s="33"/>
      <c r="O2534" s="33"/>
      <c r="P2534" s="33"/>
      <c r="Q2534" s="33"/>
      <c r="R2534" s="33"/>
      <c r="S2534" s="33"/>
      <c r="T2534" s="33"/>
      <c r="U2534" s="33"/>
      <c r="V2534" s="33"/>
      <c r="W2534" s="33"/>
      <c r="X2534" s="33"/>
      <c r="Y2534" s="33"/>
      <c r="Z2534" s="33"/>
      <c r="AA2534" s="33"/>
      <c r="AB2534" s="33"/>
    </row>
    <row r="2535" spans="1:28" x14ac:dyDescent="0.15">
      <c r="A2535" s="46" t="s">
        <v>5121</v>
      </c>
      <c r="B2535" s="52" t="s">
        <v>7361</v>
      </c>
      <c r="C2535" s="53" t="s">
        <v>5122</v>
      </c>
      <c r="D2535" s="54" t="s">
        <v>9977</v>
      </c>
      <c r="E2535" s="50">
        <f t="shared" si="86"/>
        <v>34.671232879999998</v>
      </c>
      <c r="F2535" s="51">
        <f t="shared" si="86"/>
        <v>4.6316535999999999</v>
      </c>
      <c r="H2535" s="33"/>
      <c r="I2535" s="33"/>
      <c r="J2535" s="33"/>
      <c r="K2535" s="33"/>
      <c r="L2535" s="33"/>
      <c r="M2535" s="33"/>
      <c r="N2535" s="33"/>
      <c r="O2535" s="33"/>
      <c r="P2535" s="33"/>
      <c r="Q2535" s="33"/>
      <c r="R2535" s="33"/>
      <c r="S2535" s="33"/>
      <c r="T2535" s="33"/>
      <c r="U2535" s="33"/>
      <c r="V2535" s="33"/>
      <c r="W2535" s="33"/>
      <c r="X2535" s="33"/>
      <c r="Y2535" s="33"/>
      <c r="Z2535" s="33"/>
      <c r="AA2535" s="33"/>
      <c r="AB2535" s="33"/>
    </row>
    <row r="2536" spans="1:28" x14ac:dyDescent="0.15">
      <c r="A2536" s="46" t="s">
        <v>5123</v>
      </c>
      <c r="B2536" s="52" t="s">
        <v>7361</v>
      </c>
      <c r="C2536" s="53" t="s">
        <v>5124</v>
      </c>
      <c r="D2536" s="54" t="s">
        <v>9978</v>
      </c>
      <c r="E2536" s="50">
        <f t="shared" si="86"/>
        <v>34.684931509999998</v>
      </c>
      <c r="F2536" s="51">
        <f t="shared" si="86"/>
        <v>4.6316722300000004</v>
      </c>
      <c r="H2536" s="33"/>
      <c r="I2536" s="33"/>
      <c r="J2536" s="33"/>
      <c r="K2536" s="33"/>
      <c r="L2536" s="33"/>
      <c r="M2536" s="33"/>
      <c r="N2536" s="33"/>
      <c r="O2536" s="33"/>
      <c r="P2536" s="33"/>
      <c r="Q2536" s="33"/>
      <c r="R2536" s="33"/>
      <c r="S2536" s="33"/>
      <c r="T2536" s="33"/>
      <c r="U2536" s="33"/>
      <c r="V2536" s="33"/>
      <c r="W2536" s="33"/>
      <c r="X2536" s="33"/>
      <c r="Y2536" s="33"/>
      <c r="Z2536" s="33"/>
      <c r="AA2536" s="33"/>
      <c r="AB2536" s="33"/>
    </row>
    <row r="2537" spans="1:28" x14ac:dyDescent="0.15">
      <c r="A2537" s="46" t="s">
        <v>5125</v>
      </c>
      <c r="B2537" s="52" t="s">
        <v>7361</v>
      </c>
      <c r="C2537" s="53" t="s">
        <v>5126</v>
      </c>
      <c r="D2537" s="54" t="s">
        <v>9979</v>
      </c>
      <c r="E2537" s="50">
        <f t="shared" si="86"/>
        <v>34.698630139999999</v>
      </c>
      <c r="F2537" s="51">
        <f t="shared" si="86"/>
        <v>4.6316900800000003</v>
      </c>
      <c r="H2537" s="33"/>
      <c r="I2537" s="33"/>
      <c r="J2537" s="33"/>
      <c r="K2537" s="33"/>
      <c r="L2537" s="33"/>
      <c r="M2537" s="33"/>
      <c r="N2537" s="33"/>
      <c r="O2537" s="33"/>
      <c r="P2537" s="33"/>
      <c r="Q2537" s="33"/>
      <c r="R2537" s="33"/>
      <c r="S2537" s="33"/>
      <c r="T2537" s="33"/>
      <c r="U2537" s="33"/>
      <c r="V2537" s="33"/>
      <c r="W2537" s="33"/>
      <c r="X2537" s="33"/>
      <c r="Y2537" s="33"/>
      <c r="Z2537" s="33"/>
      <c r="AA2537" s="33"/>
      <c r="AB2537" s="33"/>
    </row>
    <row r="2538" spans="1:28" x14ac:dyDescent="0.15">
      <c r="A2538" s="46" t="s">
        <v>5127</v>
      </c>
      <c r="B2538" s="52" t="s">
        <v>7361</v>
      </c>
      <c r="C2538" s="53" t="s">
        <v>5128</v>
      </c>
      <c r="D2538" s="54" t="s">
        <v>9980</v>
      </c>
      <c r="E2538" s="50">
        <f t="shared" si="86"/>
        <v>34.712328769999999</v>
      </c>
      <c r="F2538" s="51">
        <f t="shared" si="86"/>
        <v>4.6317071900000002</v>
      </c>
      <c r="H2538" s="33"/>
      <c r="I2538" s="33"/>
      <c r="J2538" s="33"/>
      <c r="K2538" s="33"/>
      <c r="L2538" s="33"/>
      <c r="M2538" s="33"/>
      <c r="N2538" s="33"/>
      <c r="O2538" s="33"/>
      <c r="P2538" s="33"/>
      <c r="Q2538" s="33"/>
      <c r="R2538" s="33"/>
      <c r="S2538" s="33"/>
      <c r="T2538" s="33"/>
      <c r="U2538" s="33"/>
      <c r="V2538" s="33"/>
      <c r="W2538" s="33"/>
      <c r="X2538" s="33"/>
      <c r="Y2538" s="33"/>
      <c r="Z2538" s="33"/>
      <c r="AA2538" s="33"/>
      <c r="AB2538" s="33"/>
    </row>
    <row r="2539" spans="1:28" x14ac:dyDescent="0.15">
      <c r="A2539" s="46" t="s">
        <v>5129</v>
      </c>
      <c r="B2539" s="52" t="s">
        <v>7361</v>
      </c>
      <c r="C2539" s="53" t="s">
        <v>5130</v>
      </c>
      <c r="D2539" s="54" t="s">
        <v>9981</v>
      </c>
      <c r="E2539" s="50">
        <f t="shared" si="86"/>
        <v>34.7260274</v>
      </c>
      <c r="F2539" s="51">
        <f t="shared" si="86"/>
        <v>4.6317236299999998</v>
      </c>
      <c r="H2539" s="33"/>
      <c r="I2539" s="33"/>
      <c r="J2539" s="33"/>
      <c r="K2539" s="33"/>
      <c r="L2539" s="33"/>
      <c r="M2539" s="33"/>
      <c r="N2539" s="33"/>
      <c r="O2539" s="33"/>
      <c r="P2539" s="33"/>
      <c r="Q2539" s="33"/>
      <c r="R2539" s="33"/>
      <c r="S2539" s="33"/>
      <c r="T2539" s="33"/>
      <c r="U2539" s="33"/>
      <c r="V2539" s="33"/>
      <c r="W2539" s="33"/>
      <c r="X2539" s="33"/>
      <c r="Y2539" s="33"/>
      <c r="Z2539" s="33"/>
      <c r="AA2539" s="33"/>
      <c r="AB2539" s="33"/>
    </row>
    <row r="2540" spans="1:28" x14ac:dyDescent="0.15">
      <c r="A2540" s="46" t="s">
        <v>5131</v>
      </c>
      <c r="B2540" s="52" t="s">
        <v>7361</v>
      </c>
      <c r="C2540" s="53" t="s">
        <v>5132</v>
      </c>
      <c r="D2540" s="54" t="s">
        <v>9982</v>
      </c>
      <c r="E2540" s="50">
        <f t="shared" si="86"/>
        <v>34.73972603</v>
      </c>
      <c r="F2540" s="51">
        <f t="shared" si="86"/>
        <v>4.6317394600000004</v>
      </c>
      <c r="H2540" s="33"/>
      <c r="I2540" s="33"/>
      <c r="J2540" s="33"/>
      <c r="K2540" s="33"/>
      <c r="L2540" s="33"/>
      <c r="M2540" s="33"/>
      <c r="N2540" s="33"/>
      <c r="O2540" s="33"/>
      <c r="P2540" s="33"/>
      <c r="Q2540" s="33"/>
      <c r="R2540" s="33"/>
      <c r="S2540" s="33"/>
      <c r="T2540" s="33"/>
      <c r="U2540" s="33"/>
      <c r="V2540" s="33"/>
      <c r="W2540" s="33"/>
      <c r="X2540" s="33"/>
      <c r="Y2540" s="33"/>
      <c r="Z2540" s="33"/>
      <c r="AA2540" s="33"/>
      <c r="AB2540" s="33"/>
    </row>
    <row r="2541" spans="1:28" x14ac:dyDescent="0.15">
      <c r="A2541" s="46" t="s">
        <v>5133</v>
      </c>
      <c r="B2541" s="52" t="s">
        <v>7361</v>
      </c>
      <c r="C2541" s="53" t="s">
        <v>5134</v>
      </c>
      <c r="D2541" s="54" t="s">
        <v>9983</v>
      </c>
      <c r="E2541" s="50">
        <f t="shared" si="86"/>
        <v>34.75342466</v>
      </c>
      <c r="F2541" s="51">
        <f t="shared" si="86"/>
        <v>4.6317547499999998</v>
      </c>
      <c r="H2541" s="33"/>
      <c r="I2541" s="33"/>
      <c r="J2541" s="33"/>
      <c r="K2541" s="33"/>
      <c r="L2541" s="33"/>
      <c r="M2541" s="33"/>
      <c r="N2541" s="33"/>
      <c r="O2541" s="33"/>
      <c r="P2541" s="33"/>
      <c r="Q2541" s="33"/>
      <c r="R2541" s="33"/>
      <c r="S2541" s="33"/>
      <c r="T2541" s="33"/>
      <c r="U2541" s="33"/>
      <c r="V2541" s="33"/>
      <c r="W2541" s="33"/>
      <c r="X2541" s="33"/>
      <c r="Y2541" s="33"/>
      <c r="Z2541" s="33"/>
      <c r="AA2541" s="33"/>
      <c r="AB2541" s="33"/>
    </row>
    <row r="2542" spans="1:28" x14ac:dyDescent="0.15">
      <c r="A2542" s="46" t="s">
        <v>5135</v>
      </c>
      <c r="B2542" s="52" t="s">
        <v>7361</v>
      </c>
      <c r="C2542" s="53" t="s">
        <v>5136</v>
      </c>
      <c r="D2542" s="54" t="s">
        <v>9984</v>
      </c>
      <c r="E2542" s="50">
        <f t="shared" si="86"/>
        <v>34.767123290000001</v>
      </c>
      <c r="F2542" s="51">
        <f t="shared" si="86"/>
        <v>4.6317695499999996</v>
      </c>
      <c r="H2542" s="33"/>
      <c r="I2542" s="33"/>
      <c r="J2542" s="33"/>
      <c r="K2542" s="33"/>
      <c r="L2542" s="33"/>
      <c r="M2542" s="33"/>
      <c r="N2542" s="33"/>
      <c r="O2542" s="33"/>
      <c r="P2542" s="33"/>
      <c r="Q2542" s="33"/>
      <c r="R2542" s="33"/>
      <c r="S2542" s="33"/>
      <c r="T2542" s="33"/>
      <c r="U2542" s="33"/>
      <c r="V2542" s="33"/>
      <c r="W2542" s="33"/>
      <c r="X2542" s="33"/>
      <c r="Y2542" s="33"/>
      <c r="Z2542" s="33"/>
      <c r="AA2542" s="33"/>
      <c r="AB2542" s="33"/>
    </row>
    <row r="2543" spans="1:28" x14ac:dyDescent="0.15">
      <c r="A2543" s="46" t="s">
        <v>5137</v>
      </c>
      <c r="B2543" s="52" t="s">
        <v>7361</v>
      </c>
      <c r="C2543" s="53" t="s">
        <v>5138</v>
      </c>
      <c r="D2543" s="54" t="s">
        <v>9985</v>
      </c>
      <c r="E2543" s="50">
        <f t="shared" si="86"/>
        <v>34.780821920000001</v>
      </c>
      <c r="F2543" s="51">
        <f t="shared" si="86"/>
        <v>4.6317839200000002</v>
      </c>
      <c r="H2543" s="33"/>
      <c r="I2543" s="33"/>
      <c r="J2543" s="33"/>
      <c r="K2543" s="33"/>
      <c r="L2543" s="33"/>
      <c r="M2543" s="33"/>
      <c r="N2543" s="33"/>
      <c r="O2543" s="33"/>
      <c r="P2543" s="33"/>
      <c r="Q2543" s="33"/>
      <c r="R2543" s="33"/>
      <c r="S2543" s="33"/>
      <c r="T2543" s="33"/>
      <c r="U2543" s="33"/>
      <c r="V2543" s="33"/>
      <c r="W2543" s="33"/>
      <c r="X2543" s="33"/>
      <c r="Y2543" s="33"/>
      <c r="Z2543" s="33"/>
      <c r="AA2543" s="33"/>
      <c r="AB2543" s="33"/>
    </row>
    <row r="2544" spans="1:28" x14ac:dyDescent="0.15">
      <c r="A2544" s="46" t="s">
        <v>5139</v>
      </c>
      <c r="B2544" s="52" t="s">
        <v>7361</v>
      </c>
      <c r="C2544" s="53" t="s">
        <v>5140</v>
      </c>
      <c r="D2544" s="54" t="s">
        <v>9986</v>
      </c>
      <c r="E2544" s="50">
        <f t="shared" si="86"/>
        <v>34.794520550000001</v>
      </c>
      <c r="F2544" s="51">
        <f t="shared" si="86"/>
        <v>4.6317979400000002</v>
      </c>
      <c r="H2544" s="33"/>
      <c r="I2544" s="33"/>
      <c r="J2544" s="33"/>
      <c r="K2544" s="33"/>
      <c r="L2544" s="33"/>
      <c r="M2544" s="33"/>
      <c r="N2544" s="33"/>
      <c r="O2544" s="33"/>
      <c r="P2544" s="33"/>
      <c r="Q2544" s="33"/>
      <c r="R2544" s="33"/>
      <c r="S2544" s="33"/>
      <c r="T2544" s="33"/>
      <c r="U2544" s="33"/>
      <c r="V2544" s="33"/>
      <c r="W2544" s="33"/>
      <c r="X2544" s="33"/>
      <c r="Y2544" s="33"/>
      <c r="Z2544" s="33"/>
      <c r="AA2544" s="33"/>
      <c r="AB2544" s="33"/>
    </row>
    <row r="2545" spans="1:28" x14ac:dyDescent="0.15">
      <c r="A2545" s="46" t="s">
        <v>5141</v>
      </c>
      <c r="B2545" s="52" t="s">
        <v>7361</v>
      </c>
      <c r="C2545" s="53" t="s">
        <v>5142</v>
      </c>
      <c r="D2545" s="54" t="s">
        <v>9987</v>
      </c>
      <c r="E2545" s="50">
        <f t="shared" si="86"/>
        <v>34.808219180000002</v>
      </c>
      <c r="F2545" s="51">
        <f t="shared" si="86"/>
        <v>4.6318116500000004</v>
      </c>
      <c r="H2545" s="33"/>
      <c r="I2545" s="33"/>
      <c r="J2545" s="33"/>
      <c r="K2545" s="33"/>
      <c r="L2545" s="33"/>
      <c r="M2545" s="33"/>
      <c r="N2545" s="33"/>
      <c r="O2545" s="33"/>
      <c r="P2545" s="33"/>
      <c r="Q2545" s="33"/>
      <c r="R2545" s="33"/>
      <c r="S2545" s="33"/>
      <c r="T2545" s="33"/>
      <c r="U2545" s="33"/>
      <c r="V2545" s="33"/>
      <c r="W2545" s="33"/>
      <c r="X2545" s="33"/>
      <c r="Y2545" s="33"/>
      <c r="Z2545" s="33"/>
      <c r="AA2545" s="33"/>
      <c r="AB2545" s="33"/>
    </row>
    <row r="2546" spans="1:28" x14ac:dyDescent="0.15">
      <c r="A2546" s="46" t="s">
        <v>5143</v>
      </c>
      <c r="B2546" s="52" t="s">
        <v>7361</v>
      </c>
      <c r="C2546" s="53" t="s">
        <v>5144</v>
      </c>
      <c r="D2546" s="54" t="s">
        <v>9988</v>
      </c>
      <c r="E2546" s="50">
        <f t="shared" si="86"/>
        <v>34.821917810000002</v>
      </c>
      <c r="F2546" s="51">
        <f t="shared" si="86"/>
        <v>4.6318251300000002</v>
      </c>
      <c r="H2546" s="33"/>
      <c r="I2546" s="33"/>
      <c r="J2546" s="33"/>
      <c r="K2546" s="33"/>
      <c r="L2546" s="33"/>
      <c r="M2546" s="33"/>
      <c r="N2546" s="33"/>
      <c r="O2546" s="33"/>
      <c r="P2546" s="33"/>
      <c r="Q2546" s="33"/>
      <c r="R2546" s="33"/>
      <c r="S2546" s="33"/>
      <c r="T2546" s="33"/>
      <c r="U2546" s="33"/>
      <c r="V2546" s="33"/>
      <c r="W2546" s="33"/>
      <c r="X2546" s="33"/>
      <c r="Y2546" s="33"/>
      <c r="Z2546" s="33"/>
      <c r="AA2546" s="33"/>
      <c r="AB2546" s="33"/>
    </row>
    <row r="2547" spans="1:28" x14ac:dyDescent="0.15">
      <c r="A2547" s="46" t="s">
        <v>5145</v>
      </c>
      <c r="B2547" s="52" t="s">
        <v>7361</v>
      </c>
      <c r="C2547" s="53" t="s">
        <v>5146</v>
      </c>
      <c r="D2547" s="54" t="s">
        <v>9989</v>
      </c>
      <c r="E2547" s="50">
        <f t="shared" ref="E2547:F2576" si="87">VALUE(C2547)</f>
        <v>34.835616440000003</v>
      </c>
      <c r="F2547" s="51">
        <f t="shared" si="87"/>
        <v>4.6318384200000002</v>
      </c>
      <c r="H2547" s="33"/>
      <c r="I2547" s="33"/>
      <c r="J2547" s="33"/>
      <c r="K2547" s="33"/>
      <c r="L2547" s="33"/>
      <c r="M2547" s="33"/>
      <c r="N2547" s="33"/>
      <c r="O2547" s="33"/>
      <c r="P2547" s="33"/>
      <c r="Q2547" s="33"/>
      <c r="R2547" s="33"/>
      <c r="S2547" s="33"/>
      <c r="T2547" s="33"/>
      <c r="U2547" s="33"/>
      <c r="V2547" s="33"/>
      <c r="W2547" s="33"/>
      <c r="X2547" s="33"/>
      <c r="Y2547" s="33"/>
      <c r="Z2547" s="33"/>
      <c r="AA2547" s="33"/>
      <c r="AB2547" s="33"/>
    </row>
    <row r="2548" spans="1:28" x14ac:dyDescent="0.15">
      <c r="A2548" s="46" t="s">
        <v>5147</v>
      </c>
      <c r="B2548" s="52" t="s">
        <v>7361</v>
      </c>
      <c r="C2548" s="53" t="s">
        <v>5148</v>
      </c>
      <c r="D2548" s="54" t="s">
        <v>9990</v>
      </c>
      <c r="E2548" s="50">
        <f t="shared" si="87"/>
        <v>34.849315070000003</v>
      </c>
      <c r="F2548" s="51">
        <f t="shared" si="87"/>
        <v>4.63185161</v>
      </c>
      <c r="H2548" s="33"/>
      <c r="I2548" s="33"/>
      <c r="J2548" s="33"/>
      <c r="K2548" s="33"/>
      <c r="L2548" s="33"/>
      <c r="M2548" s="33"/>
      <c r="N2548" s="33"/>
      <c r="O2548" s="33"/>
      <c r="P2548" s="33"/>
      <c r="Q2548" s="33"/>
      <c r="R2548" s="33"/>
      <c r="S2548" s="33"/>
      <c r="T2548" s="33"/>
      <c r="U2548" s="33"/>
      <c r="V2548" s="33"/>
      <c r="W2548" s="33"/>
      <c r="X2548" s="33"/>
      <c r="Y2548" s="33"/>
      <c r="Z2548" s="33"/>
      <c r="AA2548" s="33"/>
      <c r="AB2548" s="33"/>
    </row>
    <row r="2549" spans="1:28" x14ac:dyDescent="0.15">
      <c r="A2549" s="46" t="s">
        <v>5149</v>
      </c>
      <c r="B2549" s="52" t="s">
        <v>7361</v>
      </c>
      <c r="C2549" s="53" t="s">
        <v>5150</v>
      </c>
      <c r="D2549" s="54" t="s">
        <v>9991</v>
      </c>
      <c r="E2549" s="50">
        <f t="shared" si="87"/>
        <v>34.863013700000003</v>
      </c>
      <c r="F2549" s="51">
        <f t="shared" si="87"/>
        <v>4.6318647400000001</v>
      </c>
      <c r="H2549" s="33"/>
      <c r="I2549" s="33"/>
      <c r="J2549" s="33"/>
      <c r="K2549" s="33"/>
      <c r="L2549" s="33"/>
      <c r="M2549" s="33"/>
      <c r="N2549" s="33"/>
      <c r="O2549" s="33"/>
      <c r="P2549" s="33"/>
      <c r="Q2549" s="33"/>
      <c r="R2549" s="33"/>
      <c r="S2549" s="33"/>
      <c r="T2549" s="33"/>
      <c r="U2549" s="33"/>
      <c r="V2549" s="33"/>
      <c r="W2549" s="33"/>
      <c r="X2549" s="33"/>
      <c r="Y2549" s="33"/>
      <c r="Z2549" s="33"/>
      <c r="AA2549" s="33"/>
      <c r="AB2549" s="33"/>
    </row>
    <row r="2550" spans="1:28" x14ac:dyDescent="0.15">
      <c r="A2550" s="46" t="s">
        <v>5151</v>
      </c>
      <c r="B2550" s="52" t="s">
        <v>7361</v>
      </c>
      <c r="C2550" s="53" t="s">
        <v>5152</v>
      </c>
      <c r="D2550" s="54" t="s">
        <v>9992</v>
      </c>
      <c r="E2550" s="50">
        <f t="shared" si="87"/>
        <v>34.876712329999997</v>
      </c>
      <c r="F2550" s="51">
        <f t="shared" si="87"/>
        <v>4.6318778700000003</v>
      </c>
      <c r="H2550" s="33"/>
      <c r="I2550" s="33"/>
      <c r="J2550" s="33"/>
      <c r="K2550" s="33"/>
      <c r="L2550" s="33"/>
      <c r="M2550" s="33"/>
      <c r="N2550" s="33"/>
      <c r="O2550" s="33"/>
      <c r="P2550" s="33"/>
      <c r="Q2550" s="33"/>
      <c r="R2550" s="33"/>
      <c r="S2550" s="33"/>
      <c r="T2550" s="33"/>
      <c r="U2550" s="33"/>
      <c r="V2550" s="33"/>
      <c r="W2550" s="33"/>
      <c r="X2550" s="33"/>
      <c r="Y2550" s="33"/>
      <c r="Z2550" s="33"/>
      <c r="AA2550" s="33"/>
      <c r="AB2550" s="33"/>
    </row>
    <row r="2551" spans="1:28" x14ac:dyDescent="0.15">
      <c r="A2551" s="46" t="s">
        <v>5153</v>
      </c>
      <c r="B2551" s="52" t="s">
        <v>7361</v>
      </c>
      <c r="C2551" s="53" t="s">
        <v>5154</v>
      </c>
      <c r="D2551" s="54" t="s">
        <v>9993</v>
      </c>
      <c r="E2551" s="50">
        <f t="shared" si="87"/>
        <v>34.890410959999997</v>
      </c>
      <c r="F2551" s="51">
        <f t="shared" si="87"/>
        <v>4.6318910799999999</v>
      </c>
      <c r="H2551" s="33"/>
      <c r="I2551" s="33"/>
      <c r="J2551" s="33"/>
      <c r="K2551" s="33"/>
      <c r="L2551" s="33"/>
      <c r="M2551" s="33"/>
      <c r="N2551" s="33"/>
      <c r="O2551" s="33"/>
      <c r="P2551" s="33"/>
      <c r="Q2551" s="33"/>
      <c r="R2551" s="33"/>
      <c r="S2551" s="33"/>
      <c r="T2551" s="33"/>
      <c r="U2551" s="33"/>
      <c r="V2551" s="33"/>
      <c r="W2551" s="33"/>
      <c r="X2551" s="33"/>
      <c r="Y2551" s="33"/>
      <c r="Z2551" s="33"/>
      <c r="AA2551" s="33"/>
      <c r="AB2551" s="33"/>
    </row>
    <row r="2552" spans="1:28" x14ac:dyDescent="0.15">
      <c r="A2552" s="46" t="s">
        <v>5155</v>
      </c>
      <c r="B2552" s="52" t="s">
        <v>7361</v>
      </c>
      <c r="C2552" s="53" t="s">
        <v>5156</v>
      </c>
      <c r="D2552" s="54" t="s">
        <v>9994</v>
      </c>
      <c r="E2552" s="50">
        <f t="shared" si="87"/>
        <v>34.904109589999997</v>
      </c>
      <c r="F2552" s="51">
        <f t="shared" si="87"/>
        <v>4.6319044199999997</v>
      </c>
      <c r="H2552" s="33"/>
      <c r="I2552" s="33"/>
      <c r="J2552" s="33"/>
      <c r="K2552" s="33"/>
      <c r="L2552" s="33"/>
      <c r="M2552" s="33"/>
      <c r="N2552" s="33"/>
      <c r="O2552" s="33"/>
      <c r="P2552" s="33"/>
      <c r="Q2552" s="33"/>
      <c r="R2552" s="33"/>
      <c r="S2552" s="33"/>
      <c r="T2552" s="33"/>
      <c r="U2552" s="33"/>
      <c r="V2552" s="33"/>
      <c r="W2552" s="33"/>
      <c r="X2552" s="33"/>
      <c r="Y2552" s="33"/>
      <c r="Z2552" s="33"/>
      <c r="AA2552" s="33"/>
      <c r="AB2552" s="33"/>
    </row>
    <row r="2553" spans="1:28" x14ac:dyDescent="0.15">
      <c r="A2553" s="46" t="s">
        <v>5157</v>
      </c>
      <c r="B2553" s="52" t="s">
        <v>7361</v>
      </c>
      <c r="C2553" s="53" t="s">
        <v>5158</v>
      </c>
      <c r="D2553" s="54" t="s">
        <v>9995</v>
      </c>
      <c r="E2553" s="50">
        <f t="shared" si="87"/>
        <v>34.917808219999998</v>
      </c>
      <c r="F2553" s="51">
        <f t="shared" si="87"/>
        <v>4.6319179500000001</v>
      </c>
      <c r="H2553" s="33"/>
      <c r="I2553" s="33"/>
      <c r="J2553" s="33"/>
      <c r="K2553" s="33"/>
      <c r="L2553" s="33"/>
      <c r="M2553" s="33"/>
      <c r="N2553" s="33"/>
      <c r="O2553" s="33"/>
      <c r="P2553" s="33"/>
      <c r="Q2553" s="33"/>
      <c r="R2553" s="33"/>
      <c r="S2553" s="33"/>
      <c r="T2553" s="33"/>
      <c r="U2553" s="33"/>
      <c r="V2553" s="33"/>
      <c r="W2553" s="33"/>
      <c r="X2553" s="33"/>
      <c r="Y2553" s="33"/>
      <c r="Z2553" s="33"/>
      <c r="AA2553" s="33"/>
      <c r="AB2553" s="33"/>
    </row>
    <row r="2554" spans="1:28" x14ac:dyDescent="0.15">
      <c r="A2554" s="46" t="s">
        <v>5159</v>
      </c>
      <c r="B2554" s="52" t="s">
        <v>7361</v>
      </c>
      <c r="C2554" s="53" t="s">
        <v>5160</v>
      </c>
      <c r="D2554" s="54" t="s">
        <v>9996</v>
      </c>
      <c r="E2554" s="50">
        <f t="shared" si="87"/>
        <v>34.931506849999998</v>
      </c>
      <c r="F2554" s="51">
        <f t="shared" si="87"/>
        <v>4.6319317299999998</v>
      </c>
      <c r="H2554" s="33"/>
      <c r="I2554" s="33"/>
      <c r="J2554" s="33"/>
      <c r="K2554" s="33"/>
      <c r="L2554" s="33"/>
      <c r="M2554" s="33"/>
      <c r="N2554" s="33"/>
      <c r="O2554" s="33"/>
      <c r="P2554" s="33"/>
      <c r="Q2554" s="33"/>
      <c r="R2554" s="33"/>
      <c r="S2554" s="33"/>
      <c r="T2554" s="33"/>
      <c r="U2554" s="33"/>
      <c r="V2554" s="33"/>
      <c r="W2554" s="33"/>
      <c r="X2554" s="33"/>
      <c r="Y2554" s="33"/>
      <c r="Z2554" s="33"/>
      <c r="AA2554" s="33"/>
      <c r="AB2554" s="33"/>
    </row>
    <row r="2555" spans="1:28" x14ac:dyDescent="0.15">
      <c r="A2555" s="46" t="s">
        <v>5161</v>
      </c>
      <c r="B2555" s="52" t="s">
        <v>7361</v>
      </c>
      <c r="C2555" s="53" t="s">
        <v>5162</v>
      </c>
      <c r="D2555" s="54" t="s">
        <v>9997</v>
      </c>
      <c r="E2555" s="50">
        <f t="shared" si="87"/>
        <v>34.945205479999998</v>
      </c>
      <c r="F2555" s="51">
        <f t="shared" si="87"/>
        <v>4.6319458400000002</v>
      </c>
      <c r="H2555" s="33"/>
      <c r="I2555" s="33"/>
      <c r="J2555" s="33"/>
      <c r="K2555" s="33"/>
      <c r="L2555" s="33"/>
      <c r="M2555" s="33"/>
      <c r="N2555" s="33"/>
      <c r="O2555" s="33"/>
      <c r="P2555" s="33"/>
      <c r="Q2555" s="33"/>
      <c r="R2555" s="33"/>
      <c r="S2555" s="33"/>
      <c r="T2555" s="33"/>
      <c r="U2555" s="33"/>
      <c r="V2555" s="33"/>
      <c r="W2555" s="33"/>
      <c r="X2555" s="33"/>
      <c r="Y2555" s="33"/>
      <c r="Z2555" s="33"/>
      <c r="AA2555" s="33"/>
      <c r="AB2555" s="33"/>
    </row>
    <row r="2556" spans="1:28" x14ac:dyDescent="0.15">
      <c r="A2556" s="46" t="s">
        <v>5163</v>
      </c>
      <c r="B2556" s="52" t="s">
        <v>7361</v>
      </c>
      <c r="C2556" s="53" t="s">
        <v>5164</v>
      </c>
      <c r="D2556" s="54" t="s">
        <v>9998</v>
      </c>
      <c r="E2556" s="50">
        <f t="shared" si="87"/>
        <v>34.958904109999999</v>
      </c>
      <c r="F2556" s="51">
        <f t="shared" si="87"/>
        <v>4.6319603200000001</v>
      </c>
      <c r="H2556" s="33"/>
      <c r="I2556" s="33"/>
      <c r="J2556" s="33"/>
      <c r="K2556" s="33"/>
      <c r="L2556" s="33"/>
      <c r="M2556" s="33"/>
      <c r="N2556" s="33"/>
      <c r="O2556" s="33"/>
      <c r="P2556" s="33"/>
      <c r="Q2556" s="33"/>
      <c r="R2556" s="33"/>
      <c r="S2556" s="33"/>
      <c r="T2556" s="33"/>
      <c r="U2556" s="33"/>
      <c r="V2556" s="33"/>
      <c r="W2556" s="33"/>
      <c r="X2556" s="33"/>
      <c r="Y2556" s="33"/>
      <c r="Z2556" s="33"/>
      <c r="AA2556" s="33"/>
      <c r="AB2556" s="33"/>
    </row>
    <row r="2557" spans="1:28" x14ac:dyDescent="0.15">
      <c r="A2557" s="46" t="s">
        <v>5165</v>
      </c>
      <c r="B2557" s="52" t="s">
        <v>7361</v>
      </c>
      <c r="C2557" s="53" t="s">
        <v>5166</v>
      </c>
      <c r="D2557" s="54" t="s">
        <v>9999</v>
      </c>
      <c r="E2557" s="50">
        <f t="shared" si="87"/>
        <v>34.972602739999999</v>
      </c>
      <c r="F2557" s="51">
        <f t="shared" si="87"/>
        <v>4.6319752300000001</v>
      </c>
      <c r="H2557" s="33"/>
      <c r="I2557" s="33"/>
      <c r="J2557" s="33"/>
      <c r="K2557" s="33"/>
      <c r="L2557" s="33"/>
      <c r="M2557" s="33"/>
      <c r="N2557" s="33"/>
      <c r="O2557" s="33"/>
      <c r="P2557" s="33"/>
      <c r="Q2557" s="33"/>
      <c r="R2557" s="33"/>
      <c r="S2557" s="33"/>
      <c r="T2557" s="33"/>
      <c r="U2557" s="33"/>
      <c r="V2557" s="33"/>
      <c r="W2557" s="33"/>
      <c r="X2557" s="33"/>
      <c r="Y2557" s="33"/>
      <c r="Z2557" s="33"/>
      <c r="AA2557" s="33"/>
      <c r="AB2557" s="33"/>
    </row>
    <row r="2558" spans="1:28" x14ac:dyDescent="0.15">
      <c r="A2558" s="46" t="s">
        <v>5167</v>
      </c>
      <c r="B2558" s="52" t="s">
        <v>7361</v>
      </c>
      <c r="C2558" s="53" t="s">
        <v>5168</v>
      </c>
      <c r="D2558" s="54" t="s">
        <v>10000</v>
      </c>
      <c r="E2558" s="50">
        <f t="shared" si="87"/>
        <v>34.98630137</v>
      </c>
      <c r="F2558" s="51">
        <f t="shared" si="87"/>
        <v>4.6319906599999996</v>
      </c>
      <c r="H2558" s="33"/>
      <c r="I2558" s="33"/>
      <c r="J2558" s="33"/>
      <c r="K2558" s="33"/>
      <c r="L2558" s="33"/>
      <c r="M2558" s="33"/>
      <c r="N2558" s="33"/>
      <c r="O2558" s="33"/>
      <c r="P2558" s="33"/>
      <c r="Q2558" s="33"/>
      <c r="R2558" s="33"/>
      <c r="S2558" s="33"/>
      <c r="T2558" s="33"/>
      <c r="U2558" s="33"/>
      <c r="V2558" s="33"/>
      <c r="W2558" s="33"/>
      <c r="X2558" s="33"/>
      <c r="Y2558" s="33"/>
      <c r="Z2558" s="33"/>
      <c r="AA2558" s="33"/>
      <c r="AB2558" s="33"/>
    </row>
    <row r="2559" spans="1:28" x14ac:dyDescent="0.15">
      <c r="A2559" s="46" t="s">
        <v>5169</v>
      </c>
      <c r="B2559" s="52" t="s">
        <v>7361</v>
      </c>
      <c r="C2559" s="53" t="s">
        <v>5170</v>
      </c>
      <c r="D2559" s="54" t="s">
        <v>10001</v>
      </c>
      <c r="E2559" s="50">
        <f t="shared" si="87"/>
        <v>35</v>
      </c>
      <c r="F2559" s="51">
        <f t="shared" si="87"/>
        <v>4.6320066400000002</v>
      </c>
      <c r="H2559" s="33"/>
      <c r="I2559" s="33"/>
      <c r="J2559" s="33"/>
      <c r="K2559" s="33"/>
      <c r="L2559" s="33"/>
      <c r="M2559" s="33"/>
      <c r="N2559" s="33"/>
      <c r="O2559" s="33"/>
      <c r="P2559" s="33"/>
      <c r="Q2559" s="33"/>
      <c r="R2559" s="33"/>
      <c r="S2559" s="33"/>
      <c r="T2559" s="33"/>
      <c r="U2559" s="33"/>
      <c r="V2559" s="33"/>
      <c r="W2559" s="33"/>
      <c r="X2559" s="33"/>
      <c r="Y2559" s="33"/>
      <c r="Z2559" s="33"/>
      <c r="AA2559" s="33"/>
      <c r="AB2559" s="33"/>
    </row>
    <row r="2560" spans="1:28" x14ac:dyDescent="0.15">
      <c r="A2560" s="46" t="s">
        <v>5171</v>
      </c>
      <c r="B2560" s="52" t="s">
        <v>7361</v>
      </c>
      <c r="C2560" s="53" t="s">
        <v>5172</v>
      </c>
      <c r="D2560" s="54" t="s">
        <v>10002</v>
      </c>
      <c r="E2560" s="50">
        <f t="shared" si="87"/>
        <v>35.01369863</v>
      </c>
      <c r="F2560" s="51">
        <f t="shared" si="87"/>
        <v>4.6320224999999997</v>
      </c>
      <c r="H2560" s="33"/>
      <c r="I2560" s="33"/>
      <c r="J2560" s="33"/>
      <c r="K2560" s="33"/>
      <c r="L2560" s="33"/>
      <c r="M2560" s="33"/>
      <c r="N2560" s="33"/>
      <c r="O2560" s="33"/>
      <c r="P2560" s="33"/>
      <c r="Q2560" s="33"/>
      <c r="R2560" s="33"/>
      <c r="S2560" s="33"/>
      <c r="T2560" s="33"/>
      <c r="U2560" s="33"/>
      <c r="V2560" s="33"/>
      <c r="W2560" s="33"/>
      <c r="X2560" s="33"/>
      <c r="Y2560" s="33"/>
      <c r="Z2560" s="33"/>
      <c r="AA2560" s="33"/>
      <c r="AB2560" s="33"/>
    </row>
    <row r="2561" spans="1:28" x14ac:dyDescent="0.15">
      <c r="A2561" s="46" t="s">
        <v>5173</v>
      </c>
      <c r="B2561" s="52" t="s">
        <v>7361</v>
      </c>
      <c r="C2561" s="53" t="s">
        <v>5174</v>
      </c>
      <c r="D2561" s="54" t="s">
        <v>10003</v>
      </c>
      <c r="E2561" s="50">
        <f t="shared" si="87"/>
        <v>35.027397260000001</v>
      </c>
      <c r="F2561" s="51">
        <f t="shared" si="87"/>
        <v>4.6320375399999998</v>
      </c>
      <c r="H2561" s="33"/>
      <c r="I2561" s="33"/>
      <c r="J2561" s="33"/>
      <c r="K2561" s="33"/>
      <c r="L2561" s="33"/>
      <c r="M2561" s="33"/>
      <c r="N2561" s="33"/>
      <c r="O2561" s="33"/>
      <c r="P2561" s="33"/>
      <c r="Q2561" s="33"/>
      <c r="R2561" s="33"/>
      <c r="S2561" s="33"/>
      <c r="T2561" s="33"/>
      <c r="U2561" s="33"/>
      <c r="V2561" s="33"/>
      <c r="W2561" s="33"/>
      <c r="X2561" s="33"/>
      <c r="Y2561" s="33"/>
      <c r="Z2561" s="33"/>
      <c r="AA2561" s="33"/>
      <c r="AB2561" s="33"/>
    </row>
    <row r="2562" spans="1:28" x14ac:dyDescent="0.15">
      <c r="A2562" s="46" t="s">
        <v>5175</v>
      </c>
      <c r="B2562" s="52" t="s">
        <v>7361</v>
      </c>
      <c r="C2562" s="53" t="s">
        <v>5176</v>
      </c>
      <c r="D2562" s="54" t="s">
        <v>10004</v>
      </c>
      <c r="E2562" s="50">
        <f t="shared" si="87"/>
        <v>35.041095890000001</v>
      </c>
      <c r="F2562" s="51">
        <f t="shared" si="87"/>
        <v>4.6320517700000003</v>
      </c>
      <c r="H2562" s="33"/>
      <c r="I2562" s="33"/>
      <c r="J2562" s="33"/>
      <c r="K2562" s="33"/>
      <c r="L2562" s="33"/>
      <c r="M2562" s="33"/>
      <c r="N2562" s="33"/>
      <c r="O2562" s="33"/>
      <c r="P2562" s="33"/>
      <c r="Q2562" s="33"/>
      <c r="R2562" s="33"/>
      <c r="S2562" s="33"/>
      <c r="T2562" s="33"/>
      <c r="U2562" s="33"/>
      <c r="V2562" s="33"/>
      <c r="W2562" s="33"/>
      <c r="X2562" s="33"/>
      <c r="Y2562" s="33"/>
      <c r="Z2562" s="33"/>
      <c r="AA2562" s="33"/>
      <c r="AB2562" s="33"/>
    </row>
    <row r="2563" spans="1:28" x14ac:dyDescent="0.15">
      <c r="A2563" s="46" t="s">
        <v>5177</v>
      </c>
      <c r="B2563" s="52" t="s">
        <v>7361</v>
      </c>
      <c r="C2563" s="53" t="s">
        <v>5178</v>
      </c>
      <c r="D2563" s="54" t="s">
        <v>10005</v>
      </c>
      <c r="E2563" s="50">
        <f t="shared" si="87"/>
        <v>35.054794520000002</v>
      </c>
      <c r="F2563" s="51">
        <f t="shared" si="87"/>
        <v>4.6320652100000004</v>
      </c>
      <c r="H2563" s="33"/>
      <c r="I2563" s="33"/>
      <c r="J2563" s="33"/>
      <c r="K2563" s="33"/>
      <c r="L2563" s="33"/>
      <c r="M2563" s="33"/>
      <c r="N2563" s="33"/>
      <c r="O2563" s="33"/>
      <c r="P2563" s="33"/>
      <c r="Q2563" s="33"/>
      <c r="R2563" s="33"/>
      <c r="S2563" s="33"/>
      <c r="T2563" s="33"/>
      <c r="U2563" s="33"/>
      <c r="V2563" s="33"/>
      <c r="W2563" s="33"/>
      <c r="X2563" s="33"/>
      <c r="Y2563" s="33"/>
      <c r="Z2563" s="33"/>
      <c r="AA2563" s="33"/>
      <c r="AB2563" s="33"/>
    </row>
    <row r="2564" spans="1:28" x14ac:dyDescent="0.15">
      <c r="A2564" s="46" t="s">
        <v>5179</v>
      </c>
      <c r="B2564" s="52" t="s">
        <v>7361</v>
      </c>
      <c r="C2564" s="53" t="s">
        <v>5180</v>
      </c>
      <c r="D2564" s="54" t="s">
        <v>10006</v>
      </c>
      <c r="E2564" s="50">
        <f t="shared" si="87"/>
        <v>35.068493150000002</v>
      </c>
      <c r="F2564" s="51">
        <f t="shared" si="87"/>
        <v>4.6320778899999997</v>
      </c>
      <c r="H2564" s="33"/>
      <c r="I2564" s="33"/>
      <c r="J2564" s="33"/>
      <c r="K2564" s="33"/>
      <c r="L2564" s="33"/>
      <c r="M2564" s="33"/>
      <c r="N2564" s="33"/>
      <c r="O2564" s="33"/>
      <c r="P2564" s="33"/>
      <c r="Q2564" s="33"/>
      <c r="R2564" s="33"/>
      <c r="S2564" s="33"/>
      <c r="T2564" s="33"/>
      <c r="U2564" s="33"/>
      <c r="V2564" s="33"/>
      <c r="W2564" s="33"/>
      <c r="X2564" s="33"/>
      <c r="Y2564" s="33"/>
      <c r="Z2564" s="33"/>
      <c r="AA2564" s="33"/>
      <c r="AB2564" s="33"/>
    </row>
    <row r="2565" spans="1:28" x14ac:dyDescent="0.15">
      <c r="A2565" s="46" t="s">
        <v>5181</v>
      </c>
      <c r="B2565" s="52" t="s">
        <v>7361</v>
      </c>
      <c r="C2565" s="53" t="s">
        <v>5182</v>
      </c>
      <c r="D2565" s="54" t="s">
        <v>10007</v>
      </c>
      <c r="E2565" s="50">
        <f t="shared" si="87"/>
        <v>35.082191780000002</v>
      </c>
      <c r="F2565" s="51">
        <f t="shared" si="87"/>
        <v>4.63208983</v>
      </c>
      <c r="H2565" s="33"/>
      <c r="I2565" s="33"/>
      <c r="J2565" s="33"/>
      <c r="K2565" s="33"/>
      <c r="L2565" s="33"/>
      <c r="M2565" s="33"/>
      <c r="N2565" s="33"/>
      <c r="O2565" s="33"/>
      <c r="P2565" s="33"/>
      <c r="Q2565" s="33"/>
      <c r="R2565" s="33"/>
      <c r="S2565" s="33"/>
      <c r="T2565" s="33"/>
      <c r="U2565" s="33"/>
      <c r="V2565" s="33"/>
      <c r="W2565" s="33"/>
      <c r="X2565" s="33"/>
      <c r="Y2565" s="33"/>
      <c r="Z2565" s="33"/>
      <c r="AA2565" s="33"/>
      <c r="AB2565" s="33"/>
    </row>
    <row r="2566" spans="1:28" x14ac:dyDescent="0.15">
      <c r="A2566" s="46" t="s">
        <v>5183</v>
      </c>
      <c r="B2566" s="52" t="s">
        <v>7361</v>
      </c>
      <c r="C2566" s="53" t="s">
        <v>5184</v>
      </c>
      <c r="D2566" s="54" t="s">
        <v>10008</v>
      </c>
      <c r="E2566" s="50">
        <f t="shared" si="87"/>
        <v>35.095890410000003</v>
      </c>
      <c r="F2566" s="51">
        <f t="shared" si="87"/>
        <v>4.6321010500000002</v>
      </c>
      <c r="H2566" s="33"/>
      <c r="I2566" s="33"/>
      <c r="J2566" s="33"/>
      <c r="K2566" s="33"/>
      <c r="L2566" s="33"/>
      <c r="M2566" s="33"/>
      <c r="N2566" s="33"/>
      <c r="O2566" s="33"/>
      <c r="P2566" s="33"/>
      <c r="Q2566" s="33"/>
      <c r="R2566" s="33"/>
      <c r="S2566" s="33"/>
      <c r="T2566" s="33"/>
      <c r="U2566" s="33"/>
      <c r="V2566" s="33"/>
      <c r="W2566" s="33"/>
      <c r="X2566" s="33"/>
      <c r="Y2566" s="33"/>
      <c r="Z2566" s="33"/>
      <c r="AA2566" s="33"/>
      <c r="AB2566" s="33"/>
    </row>
    <row r="2567" spans="1:28" x14ac:dyDescent="0.15">
      <c r="A2567" s="46" t="s">
        <v>5185</v>
      </c>
      <c r="B2567" s="52" t="s">
        <v>7361</v>
      </c>
      <c r="C2567" s="53" t="s">
        <v>5186</v>
      </c>
      <c r="D2567" s="54" t="s">
        <v>10009</v>
      </c>
      <c r="E2567" s="50">
        <f t="shared" si="87"/>
        <v>35.109589040000003</v>
      </c>
      <c r="F2567" s="51">
        <f t="shared" si="87"/>
        <v>4.6321115700000002</v>
      </c>
      <c r="H2567" s="33"/>
      <c r="I2567" s="33"/>
      <c r="J2567" s="33"/>
      <c r="K2567" s="33"/>
      <c r="L2567" s="33"/>
      <c r="M2567" s="33"/>
      <c r="N2567" s="33"/>
      <c r="O2567" s="33"/>
      <c r="P2567" s="33"/>
      <c r="Q2567" s="33"/>
      <c r="R2567" s="33"/>
      <c r="S2567" s="33"/>
      <c r="T2567" s="33"/>
      <c r="U2567" s="33"/>
      <c r="V2567" s="33"/>
      <c r="W2567" s="33"/>
      <c r="X2567" s="33"/>
      <c r="Y2567" s="33"/>
      <c r="Z2567" s="33"/>
      <c r="AA2567" s="33"/>
      <c r="AB2567" s="33"/>
    </row>
    <row r="2568" spans="1:28" x14ac:dyDescent="0.15">
      <c r="A2568" s="46" t="s">
        <v>5187</v>
      </c>
      <c r="B2568" s="52" t="s">
        <v>7361</v>
      </c>
      <c r="C2568" s="53" t="s">
        <v>5188</v>
      </c>
      <c r="D2568" s="54" t="s">
        <v>10010</v>
      </c>
      <c r="E2568" s="50">
        <f t="shared" si="87"/>
        <v>35.123287670000003</v>
      </c>
      <c r="F2568" s="51">
        <f t="shared" si="87"/>
        <v>4.6321214199999998</v>
      </c>
      <c r="H2568" s="33"/>
      <c r="I2568" s="33"/>
      <c r="J2568" s="33"/>
      <c r="K2568" s="33"/>
      <c r="L2568" s="33"/>
      <c r="M2568" s="33"/>
      <c r="N2568" s="33"/>
      <c r="O2568" s="33"/>
      <c r="P2568" s="33"/>
      <c r="Q2568" s="33"/>
      <c r="R2568" s="33"/>
      <c r="S2568" s="33"/>
      <c r="T2568" s="33"/>
      <c r="U2568" s="33"/>
      <c r="V2568" s="33"/>
      <c r="W2568" s="33"/>
      <c r="X2568" s="33"/>
      <c r="Y2568" s="33"/>
      <c r="Z2568" s="33"/>
      <c r="AA2568" s="33"/>
      <c r="AB2568" s="33"/>
    </row>
    <row r="2569" spans="1:28" x14ac:dyDescent="0.15">
      <c r="A2569" s="46" t="s">
        <v>5189</v>
      </c>
      <c r="B2569" s="52" t="s">
        <v>7361</v>
      </c>
      <c r="C2569" s="53" t="s">
        <v>5190</v>
      </c>
      <c r="D2569" s="54" t="s">
        <v>10011</v>
      </c>
      <c r="E2569" s="50">
        <f t="shared" si="87"/>
        <v>35.136986299999997</v>
      </c>
      <c r="F2569" s="51">
        <f t="shared" si="87"/>
        <v>4.6321306199999999</v>
      </c>
      <c r="H2569" s="33"/>
      <c r="I2569" s="33"/>
      <c r="J2569" s="33"/>
      <c r="K2569" s="33"/>
      <c r="L2569" s="33"/>
      <c r="M2569" s="33"/>
      <c r="N2569" s="33"/>
      <c r="O2569" s="33"/>
      <c r="P2569" s="33"/>
      <c r="Q2569" s="33"/>
      <c r="R2569" s="33"/>
      <c r="S2569" s="33"/>
      <c r="T2569" s="33"/>
      <c r="U2569" s="33"/>
      <c r="V2569" s="33"/>
      <c r="W2569" s="33"/>
      <c r="X2569" s="33"/>
      <c r="Y2569" s="33"/>
      <c r="Z2569" s="33"/>
      <c r="AA2569" s="33"/>
      <c r="AB2569" s="33"/>
    </row>
    <row r="2570" spans="1:28" x14ac:dyDescent="0.15">
      <c r="A2570" s="46" t="s">
        <v>5191</v>
      </c>
      <c r="B2570" s="52" t="s">
        <v>7361</v>
      </c>
      <c r="C2570" s="53" t="s">
        <v>5192</v>
      </c>
      <c r="D2570" s="54" t="s">
        <v>10012</v>
      </c>
      <c r="E2570" s="50">
        <f t="shared" si="87"/>
        <v>35.150684929999997</v>
      </c>
      <c r="F2570" s="51">
        <f t="shared" si="87"/>
        <v>4.6321391900000002</v>
      </c>
      <c r="H2570" s="33"/>
      <c r="I2570" s="33"/>
      <c r="J2570" s="33"/>
      <c r="K2570" s="33"/>
      <c r="L2570" s="33"/>
      <c r="M2570" s="33"/>
      <c r="N2570" s="33"/>
      <c r="O2570" s="33"/>
      <c r="P2570" s="33"/>
      <c r="Q2570" s="33"/>
      <c r="R2570" s="33"/>
      <c r="S2570" s="33"/>
      <c r="T2570" s="33"/>
      <c r="U2570" s="33"/>
      <c r="V2570" s="33"/>
      <c r="W2570" s="33"/>
      <c r="X2570" s="33"/>
      <c r="Y2570" s="33"/>
      <c r="Z2570" s="33"/>
      <c r="AA2570" s="33"/>
      <c r="AB2570" s="33"/>
    </row>
    <row r="2571" spans="1:28" x14ac:dyDescent="0.15">
      <c r="A2571" s="46" t="s">
        <v>5193</v>
      </c>
      <c r="B2571" s="52" t="s">
        <v>7361</v>
      </c>
      <c r="C2571" s="53" t="s">
        <v>5194</v>
      </c>
      <c r="D2571" s="54" t="s">
        <v>10013</v>
      </c>
      <c r="E2571" s="50">
        <f t="shared" si="87"/>
        <v>35.164383559999997</v>
      </c>
      <c r="F2571" s="51">
        <f t="shared" si="87"/>
        <v>4.6321471499999998</v>
      </c>
      <c r="H2571" s="33"/>
      <c r="I2571" s="33"/>
      <c r="J2571" s="33"/>
      <c r="K2571" s="33"/>
      <c r="L2571" s="33"/>
      <c r="M2571" s="33"/>
      <c r="N2571" s="33"/>
      <c r="O2571" s="33"/>
      <c r="P2571" s="33"/>
      <c r="Q2571" s="33"/>
      <c r="R2571" s="33"/>
      <c r="S2571" s="33"/>
      <c r="T2571" s="33"/>
      <c r="U2571" s="33"/>
      <c r="V2571" s="33"/>
      <c r="W2571" s="33"/>
      <c r="X2571" s="33"/>
      <c r="Y2571" s="33"/>
      <c r="Z2571" s="33"/>
      <c r="AA2571" s="33"/>
      <c r="AB2571" s="33"/>
    </row>
    <row r="2572" spans="1:28" x14ac:dyDescent="0.15">
      <c r="A2572" s="46" t="s">
        <v>5195</v>
      </c>
      <c r="B2572" s="52" t="s">
        <v>7361</v>
      </c>
      <c r="C2572" s="53" t="s">
        <v>5196</v>
      </c>
      <c r="D2572" s="54" t="s">
        <v>10014</v>
      </c>
      <c r="E2572" s="50">
        <f t="shared" si="87"/>
        <v>35.178082189999998</v>
      </c>
      <c r="F2572" s="51">
        <f t="shared" si="87"/>
        <v>4.6321545300000002</v>
      </c>
      <c r="H2572" s="33"/>
      <c r="I2572" s="33"/>
      <c r="J2572" s="33"/>
      <c r="K2572" s="33"/>
      <c r="L2572" s="33"/>
      <c r="M2572" s="33"/>
      <c r="N2572" s="33"/>
      <c r="O2572" s="33"/>
      <c r="P2572" s="33"/>
      <c r="Q2572" s="33"/>
      <c r="R2572" s="33"/>
      <c r="S2572" s="33"/>
      <c r="T2572" s="33"/>
      <c r="U2572" s="33"/>
      <c r="V2572" s="33"/>
      <c r="W2572" s="33"/>
      <c r="X2572" s="33"/>
      <c r="Y2572" s="33"/>
      <c r="Z2572" s="33"/>
      <c r="AA2572" s="33"/>
      <c r="AB2572" s="33"/>
    </row>
    <row r="2573" spans="1:28" x14ac:dyDescent="0.15">
      <c r="A2573" s="46" t="s">
        <v>5197</v>
      </c>
      <c r="B2573" s="52" t="s">
        <v>7361</v>
      </c>
      <c r="C2573" s="53" t="s">
        <v>5198</v>
      </c>
      <c r="D2573" s="54" t="s">
        <v>10015</v>
      </c>
      <c r="E2573" s="50">
        <f t="shared" si="87"/>
        <v>35.191780819999998</v>
      </c>
      <c r="F2573" s="51">
        <f t="shared" si="87"/>
        <v>4.6321613399999997</v>
      </c>
      <c r="H2573" s="33"/>
      <c r="I2573" s="33"/>
      <c r="J2573" s="33"/>
      <c r="K2573" s="33"/>
      <c r="L2573" s="33"/>
      <c r="M2573" s="33"/>
      <c r="N2573" s="33"/>
      <c r="O2573" s="33"/>
      <c r="P2573" s="33"/>
      <c r="Q2573" s="33"/>
      <c r="R2573" s="33"/>
      <c r="S2573" s="33"/>
      <c r="T2573" s="33"/>
      <c r="U2573" s="33"/>
      <c r="V2573" s="33"/>
      <c r="W2573" s="33"/>
      <c r="X2573" s="33"/>
      <c r="Y2573" s="33"/>
      <c r="Z2573" s="33"/>
      <c r="AA2573" s="33"/>
      <c r="AB2573" s="33"/>
    </row>
    <row r="2574" spans="1:28" x14ac:dyDescent="0.15">
      <c r="A2574" s="46" t="s">
        <v>5199</v>
      </c>
      <c r="B2574" s="52" t="s">
        <v>7361</v>
      </c>
      <c r="C2574" s="53" t="s">
        <v>5200</v>
      </c>
      <c r="D2574" s="54" t="s">
        <v>10016</v>
      </c>
      <c r="E2574" s="50">
        <f t="shared" si="87"/>
        <v>35.205479449999999</v>
      </c>
      <c r="F2574" s="51">
        <f t="shared" si="87"/>
        <v>4.6321676199999997</v>
      </c>
      <c r="H2574" s="33"/>
      <c r="I2574" s="33"/>
      <c r="J2574" s="33"/>
      <c r="K2574" s="33"/>
      <c r="L2574" s="33"/>
      <c r="M2574" s="33"/>
      <c r="N2574" s="33"/>
      <c r="O2574" s="33"/>
      <c r="P2574" s="33"/>
      <c r="Q2574" s="33"/>
      <c r="R2574" s="33"/>
      <c r="S2574" s="33"/>
      <c r="T2574" s="33"/>
      <c r="U2574" s="33"/>
      <c r="V2574" s="33"/>
      <c r="W2574" s="33"/>
      <c r="X2574" s="33"/>
      <c r="Y2574" s="33"/>
      <c r="Z2574" s="33"/>
      <c r="AA2574" s="33"/>
      <c r="AB2574" s="33"/>
    </row>
    <row r="2575" spans="1:28" x14ac:dyDescent="0.15">
      <c r="A2575" s="46" t="s">
        <v>5201</v>
      </c>
      <c r="B2575" s="52" t="s">
        <v>7361</v>
      </c>
      <c r="C2575" s="53" t="s">
        <v>5202</v>
      </c>
      <c r="D2575" s="54" t="s">
        <v>10017</v>
      </c>
      <c r="E2575" s="50">
        <f t="shared" si="87"/>
        <v>35.219178079999999</v>
      </c>
      <c r="F2575" s="51">
        <f t="shared" si="87"/>
        <v>4.6321733700000003</v>
      </c>
      <c r="H2575" s="33"/>
      <c r="I2575" s="33"/>
      <c r="J2575" s="33"/>
      <c r="K2575" s="33"/>
      <c r="L2575" s="33"/>
      <c r="M2575" s="33"/>
      <c r="N2575" s="33"/>
      <c r="O2575" s="33"/>
      <c r="P2575" s="33"/>
      <c r="Q2575" s="33"/>
      <c r="R2575" s="33"/>
      <c r="S2575" s="33"/>
      <c r="T2575" s="33"/>
      <c r="U2575" s="33"/>
      <c r="V2575" s="33"/>
      <c r="W2575" s="33"/>
      <c r="X2575" s="33"/>
      <c r="Y2575" s="33"/>
      <c r="Z2575" s="33"/>
      <c r="AA2575" s="33"/>
      <c r="AB2575" s="33"/>
    </row>
    <row r="2576" spans="1:28" x14ac:dyDescent="0.15">
      <c r="A2576" s="46" t="s">
        <v>5203</v>
      </c>
      <c r="B2576" s="52" t="s">
        <v>7361</v>
      </c>
      <c r="C2576" s="53" t="s">
        <v>5204</v>
      </c>
      <c r="D2576" s="54" t="s">
        <v>10018</v>
      </c>
      <c r="E2576" s="50">
        <f t="shared" si="87"/>
        <v>35.232876709999999</v>
      </c>
      <c r="F2576" s="51">
        <f t="shared" si="87"/>
        <v>4.6321786300000003</v>
      </c>
      <c r="H2576" s="33"/>
      <c r="I2576" s="33"/>
      <c r="J2576" s="33"/>
      <c r="K2576" s="33"/>
      <c r="L2576" s="33"/>
      <c r="M2576" s="33"/>
      <c r="N2576" s="33"/>
      <c r="O2576" s="33"/>
      <c r="P2576" s="33"/>
      <c r="Q2576" s="33"/>
      <c r="R2576" s="33"/>
      <c r="S2576" s="33"/>
      <c r="T2576" s="33"/>
      <c r="U2576" s="33"/>
      <c r="V2576" s="33"/>
      <c r="W2576" s="33"/>
      <c r="X2576" s="33"/>
      <c r="Y2576" s="33"/>
      <c r="Z2576" s="33"/>
      <c r="AA2576" s="33"/>
      <c r="AB2576" s="33"/>
    </row>
    <row r="2577" spans="1:28" x14ac:dyDescent="0.15">
      <c r="A2577" s="46" t="s">
        <v>5205</v>
      </c>
      <c r="B2577" s="52" t="s">
        <v>7361</v>
      </c>
      <c r="C2577" s="53" t="s">
        <v>5206</v>
      </c>
      <c r="D2577" s="54" t="s">
        <v>10019</v>
      </c>
      <c r="E2577" s="50">
        <f t="shared" ref="E2577:F2607" si="88">VALUE(C2577)</f>
        <v>35.24657534</v>
      </c>
      <c r="F2577" s="51">
        <f t="shared" si="88"/>
        <v>4.6321834199999996</v>
      </c>
      <c r="H2577" s="33"/>
      <c r="I2577" s="33"/>
      <c r="J2577" s="33"/>
      <c r="K2577" s="33"/>
      <c r="L2577" s="33"/>
      <c r="M2577" s="33"/>
      <c r="N2577" s="33"/>
      <c r="O2577" s="33"/>
      <c r="P2577" s="33"/>
      <c r="Q2577" s="33"/>
      <c r="R2577" s="33"/>
      <c r="S2577" s="33"/>
      <c r="T2577" s="33"/>
      <c r="U2577" s="33"/>
      <c r="V2577" s="33"/>
      <c r="W2577" s="33"/>
      <c r="X2577" s="33"/>
      <c r="Y2577" s="33"/>
      <c r="Z2577" s="33"/>
      <c r="AA2577" s="33"/>
      <c r="AB2577" s="33"/>
    </row>
    <row r="2578" spans="1:28" x14ac:dyDescent="0.15">
      <c r="A2578" s="46" t="s">
        <v>5207</v>
      </c>
      <c r="B2578" s="52" t="s">
        <v>7361</v>
      </c>
      <c r="C2578" s="53" t="s">
        <v>5208</v>
      </c>
      <c r="D2578" s="54" t="s">
        <v>10020</v>
      </c>
      <c r="E2578" s="50">
        <f t="shared" si="88"/>
        <v>35.26027397</v>
      </c>
      <c r="F2578" s="51">
        <f t="shared" si="88"/>
        <v>4.6321877499999999</v>
      </c>
      <c r="H2578" s="33"/>
      <c r="I2578" s="33"/>
      <c r="J2578" s="33"/>
      <c r="K2578" s="33"/>
      <c r="L2578" s="33"/>
      <c r="M2578" s="33"/>
      <c r="N2578" s="33"/>
      <c r="O2578" s="33"/>
      <c r="P2578" s="33"/>
      <c r="Q2578" s="33"/>
      <c r="R2578" s="33"/>
      <c r="S2578" s="33"/>
      <c r="T2578" s="33"/>
      <c r="U2578" s="33"/>
      <c r="V2578" s="33"/>
      <c r="W2578" s="33"/>
      <c r="X2578" s="33"/>
      <c r="Y2578" s="33"/>
      <c r="Z2578" s="33"/>
      <c r="AA2578" s="33"/>
      <c r="AB2578" s="33"/>
    </row>
    <row r="2579" spans="1:28" x14ac:dyDescent="0.15">
      <c r="A2579" s="46" t="s">
        <v>5209</v>
      </c>
      <c r="B2579" s="52" t="s">
        <v>7361</v>
      </c>
      <c r="C2579" s="53" t="s">
        <v>5210</v>
      </c>
      <c r="D2579" s="54" t="s">
        <v>10021</v>
      </c>
      <c r="E2579" s="50">
        <f t="shared" si="88"/>
        <v>35.2739726</v>
      </c>
      <c r="F2579" s="51">
        <f t="shared" si="88"/>
        <v>4.6321916500000002</v>
      </c>
      <c r="H2579" s="33"/>
      <c r="I2579" s="33"/>
      <c r="J2579" s="33"/>
      <c r="K2579" s="33"/>
      <c r="L2579" s="33"/>
      <c r="M2579" s="33"/>
      <c r="N2579" s="33"/>
      <c r="O2579" s="33"/>
      <c r="P2579" s="33"/>
      <c r="Q2579" s="33"/>
      <c r="R2579" s="33"/>
      <c r="S2579" s="33"/>
      <c r="T2579" s="33"/>
      <c r="U2579" s="33"/>
      <c r="V2579" s="33"/>
      <c r="W2579" s="33"/>
      <c r="X2579" s="33"/>
      <c r="Y2579" s="33"/>
      <c r="Z2579" s="33"/>
      <c r="AA2579" s="33"/>
      <c r="AB2579" s="33"/>
    </row>
    <row r="2580" spans="1:28" x14ac:dyDescent="0.15">
      <c r="A2580" s="46" t="s">
        <v>5211</v>
      </c>
      <c r="B2580" s="52" t="s">
        <v>7361</v>
      </c>
      <c r="C2580" s="53" t="s">
        <v>5212</v>
      </c>
      <c r="D2580" s="54" t="s">
        <v>10022</v>
      </c>
      <c r="E2580" s="50">
        <f t="shared" si="88"/>
        <v>35.287671230000001</v>
      </c>
      <c r="F2580" s="51">
        <f t="shared" si="88"/>
        <v>4.6321951500000003</v>
      </c>
      <c r="H2580" s="33"/>
      <c r="I2580" s="33"/>
      <c r="J2580" s="33"/>
      <c r="K2580" s="33"/>
      <c r="L2580" s="33"/>
      <c r="M2580" s="33"/>
      <c r="N2580" s="33"/>
      <c r="O2580" s="33"/>
      <c r="P2580" s="33"/>
      <c r="Q2580" s="33"/>
      <c r="R2580" s="33"/>
      <c r="S2580" s="33"/>
      <c r="T2580" s="33"/>
      <c r="U2580" s="33"/>
      <c r="V2580" s="33"/>
      <c r="W2580" s="33"/>
      <c r="X2580" s="33"/>
      <c r="Y2580" s="33"/>
      <c r="Z2580" s="33"/>
      <c r="AA2580" s="33"/>
      <c r="AB2580" s="33"/>
    </row>
    <row r="2581" spans="1:28" x14ac:dyDescent="0.15">
      <c r="A2581" s="46" t="s">
        <v>5213</v>
      </c>
      <c r="B2581" s="52" t="s">
        <v>7361</v>
      </c>
      <c r="C2581" s="53" t="s">
        <v>5214</v>
      </c>
      <c r="D2581" s="54" t="s">
        <v>10023</v>
      </c>
      <c r="E2581" s="50">
        <f t="shared" si="88"/>
        <v>35.301369860000001</v>
      </c>
      <c r="F2581" s="51">
        <f t="shared" si="88"/>
        <v>4.63219826</v>
      </c>
      <c r="H2581" s="33"/>
      <c r="I2581" s="33"/>
      <c r="J2581" s="33"/>
      <c r="K2581" s="33"/>
      <c r="L2581" s="33"/>
      <c r="M2581" s="33"/>
      <c r="N2581" s="33"/>
      <c r="O2581" s="33"/>
      <c r="P2581" s="33"/>
      <c r="Q2581" s="33"/>
      <c r="R2581" s="33"/>
      <c r="S2581" s="33"/>
      <c r="T2581" s="33"/>
      <c r="U2581" s="33"/>
      <c r="V2581" s="33"/>
      <c r="W2581" s="33"/>
      <c r="X2581" s="33"/>
      <c r="Y2581" s="33"/>
      <c r="Z2581" s="33"/>
      <c r="AA2581" s="33"/>
      <c r="AB2581" s="33"/>
    </row>
    <row r="2582" spans="1:28" x14ac:dyDescent="0.15">
      <c r="A2582" s="46" t="s">
        <v>5215</v>
      </c>
      <c r="B2582" s="52" t="s">
        <v>7361</v>
      </c>
      <c r="C2582" s="53" t="s">
        <v>5216</v>
      </c>
      <c r="D2582" s="54" t="s">
        <v>10024</v>
      </c>
      <c r="E2582" s="50">
        <f t="shared" si="88"/>
        <v>35.315068490000002</v>
      </c>
      <c r="F2582" s="51">
        <f t="shared" si="88"/>
        <v>4.6322010100000002</v>
      </c>
      <c r="H2582" s="33"/>
      <c r="I2582" s="33"/>
      <c r="J2582" s="33"/>
      <c r="K2582" s="33"/>
      <c r="L2582" s="33"/>
      <c r="M2582" s="33"/>
      <c r="N2582" s="33"/>
      <c r="O2582" s="33"/>
      <c r="P2582" s="33"/>
      <c r="Q2582" s="33"/>
      <c r="R2582" s="33"/>
      <c r="S2582" s="33"/>
      <c r="T2582" s="33"/>
      <c r="U2582" s="33"/>
      <c r="V2582" s="33"/>
      <c r="W2582" s="33"/>
      <c r="X2582" s="33"/>
      <c r="Y2582" s="33"/>
      <c r="Z2582" s="33"/>
      <c r="AA2582" s="33"/>
      <c r="AB2582" s="33"/>
    </row>
    <row r="2583" spans="1:28" x14ac:dyDescent="0.15">
      <c r="A2583" s="46" t="s">
        <v>5217</v>
      </c>
      <c r="B2583" s="52" t="s">
        <v>7361</v>
      </c>
      <c r="C2583" s="53" t="s">
        <v>5218</v>
      </c>
      <c r="D2583" s="54" t="s">
        <v>10025</v>
      </c>
      <c r="E2583" s="50">
        <f t="shared" si="88"/>
        <v>35.328767120000002</v>
      </c>
      <c r="F2583" s="51">
        <f t="shared" si="88"/>
        <v>4.6322034199999997</v>
      </c>
      <c r="H2583" s="33"/>
      <c r="I2583" s="33"/>
      <c r="J2583" s="33"/>
      <c r="K2583" s="33"/>
      <c r="L2583" s="33"/>
      <c r="M2583" s="33"/>
      <c r="N2583" s="33"/>
      <c r="O2583" s="33"/>
      <c r="P2583" s="33"/>
      <c r="Q2583" s="33"/>
      <c r="R2583" s="33"/>
      <c r="S2583" s="33"/>
      <c r="T2583" s="33"/>
      <c r="U2583" s="33"/>
      <c r="V2583" s="33"/>
      <c r="W2583" s="33"/>
      <c r="X2583" s="33"/>
      <c r="Y2583" s="33"/>
      <c r="Z2583" s="33"/>
      <c r="AA2583" s="33"/>
      <c r="AB2583" s="33"/>
    </row>
    <row r="2584" spans="1:28" x14ac:dyDescent="0.15">
      <c r="A2584" s="46" t="s">
        <v>5219</v>
      </c>
      <c r="B2584" s="52" t="s">
        <v>7361</v>
      </c>
      <c r="C2584" s="53" t="s">
        <v>5220</v>
      </c>
      <c r="D2584" s="54" t="s">
        <v>10026</v>
      </c>
      <c r="E2584" s="50">
        <f t="shared" si="88"/>
        <v>35.342465750000002</v>
      </c>
      <c r="F2584" s="51">
        <f t="shared" si="88"/>
        <v>4.6322055100000004</v>
      </c>
      <c r="H2584" s="33"/>
      <c r="I2584" s="33"/>
      <c r="J2584" s="33"/>
      <c r="K2584" s="33"/>
      <c r="L2584" s="33"/>
      <c r="M2584" s="33"/>
      <c r="N2584" s="33"/>
      <c r="O2584" s="33"/>
      <c r="P2584" s="33"/>
      <c r="Q2584" s="33"/>
      <c r="R2584" s="33"/>
      <c r="S2584" s="33"/>
      <c r="T2584" s="33"/>
      <c r="U2584" s="33"/>
      <c r="V2584" s="33"/>
      <c r="W2584" s="33"/>
      <c r="X2584" s="33"/>
      <c r="Y2584" s="33"/>
      <c r="Z2584" s="33"/>
      <c r="AA2584" s="33"/>
      <c r="AB2584" s="33"/>
    </row>
    <row r="2585" spans="1:28" x14ac:dyDescent="0.15">
      <c r="A2585" s="46" t="s">
        <v>5221</v>
      </c>
      <c r="B2585" s="52" t="s">
        <v>7361</v>
      </c>
      <c r="C2585" s="53" t="s">
        <v>5222</v>
      </c>
      <c r="D2585" s="54" t="s">
        <v>10027</v>
      </c>
      <c r="E2585" s="50">
        <f t="shared" si="88"/>
        <v>35.356164380000003</v>
      </c>
      <c r="F2585" s="51">
        <f t="shared" si="88"/>
        <v>4.6322073000000001</v>
      </c>
      <c r="H2585" s="33"/>
      <c r="I2585" s="33"/>
      <c r="J2585" s="33"/>
      <c r="K2585" s="33"/>
      <c r="L2585" s="33"/>
      <c r="M2585" s="33"/>
      <c r="N2585" s="33"/>
      <c r="O2585" s="33"/>
      <c r="P2585" s="33"/>
      <c r="Q2585" s="33"/>
      <c r="R2585" s="33"/>
      <c r="S2585" s="33"/>
      <c r="T2585" s="33"/>
      <c r="U2585" s="33"/>
      <c r="V2585" s="33"/>
      <c r="W2585" s="33"/>
      <c r="X2585" s="33"/>
      <c r="Y2585" s="33"/>
      <c r="Z2585" s="33"/>
      <c r="AA2585" s="33"/>
      <c r="AB2585" s="33"/>
    </row>
    <row r="2586" spans="1:28" x14ac:dyDescent="0.15">
      <c r="A2586" s="46" t="s">
        <v>5223</v>
      </c>
      <c r="B2586" s="52" t="s">
        <v>7361</v>
      </c>
      <c r="C2586" s="53" t="s">
        <v>5224</v>
      </c>
      <c r="D2586" s="54" t="s">
        <v>10028</v>
      </c>
      <c r="E2586" s="50">
        <f t="shared" si="88"/>
        <v>35.369863010000003</v>
      </c>
      <c r="F2586" s="51">
        <f t="shared" si="88"/>
        <v>4.6322088199999998</v>
      </c>
      <c r="H2586" s="33"/>
      <c r="I2586" s="33"/>
      <c r="J2586" s="33"/>
      <c r="K2586" s="33"/>
      <c r="L2586" s="33"/>
      <c r="M2586" s="33"/>
      <c r="N2586" s="33"/>
      <c r="O2586" s="33"/>
      <c r="P2586" s="33"/>
      <c r="Q2586" s="33"/>
      <c r="R2586" s="33"/>
      <c r="S2586" s="33"/>
      <c r="T2586" s="33"/>
      <c r="U2586" s="33"/>
      <c r="V2586" s="33"/>
      <c r="W2586" s="33"/>
      <c r="X2586" s="33"/>
      <c r="Y2586" s="33"/>
      <c r="Z2586" s="33"/>
      <c r="AA2586" s="33"/>
      <c r="AB2586" s="33"/>
    </row>
    <row r="2587" spans="1:28" x14ac:dyDescent="0.15">
      <c r="A2587" s="46" t="s">
        <v>5225</v>
      </c>
      <c r="B2587" s="52" t="s">
        <v>7361</v>
      </c>
      <c r="C2587" s="53" t="s">
        <v>5226</v>
      </c>
      <c r="D2587" s="54" t="s">
        <v>10029</v>
      </c>
      <c r="E2587" s="50">
        <f t="shared" si="88"/>
        <v>35.383561640000003</v>
      </c>
      <c r="F2587" s="51">
        <f t="shared" si="88"/>
        <v>4.6322100800000001</v>
      </c>
      <c r="H2587" s="33"/>
      <c r="I2587" s="33"/>
      <c r="J2587" s="33"/>
      <c r="K2587" s="33"/>
      <c r="L2587" s="33"/>
      <c r="M2587" s="33"/>
      <c r="N2587" s="33"/>
      <c r="O2587" s="33"/>
      <c r="P2587" s="33"/>
      <c r="Q2587" s="33"/>
      <c r="R2587" s="33"/>
      <c r="S2587" s="33"/>
      <c r="T2587" s="33"/>
      <c r="U2587" s="33"/>
      <c r="V2587" s="33"/>
      <c r="W2587" s="33"/>
      <c r="X2587" s="33"/>
      <c r="Y2587" s="33"/>
      <c r="Z2587" s="33"/>
      <c r="AA2587" s="33"/>
      <c r="AB2587" s="33"/>
    </row>
    <row r="2588" spans="1:28" x14ac:dyDescent="0.15">
      <c r="A2588" s="46" t="s">
        <v>5227</v>
      </c>
      <c r="B2588" s="52" t="s">
        <v>7361</v>
      </c>
      <c r="C2588" s="53" t="s">
        <v>5228</v>
      </c>
      <c r="D2588" s="54" t="s">
        <v>10030</v>
      </c>
      <c r="E2588" s="50">
        <f t="shared" si="88"/>
        <v>35.397260269999997</v>
      </c>
      <c r="F2588" s="51">
        <f t="shared" si="88"/>
        <v>4.63221112</v>
      </c>
      <c r="H2588" s="33"/>
      <c r="I2588" s="33"/>
      <c r="J2588" s="33"/>
      <c r="K2588" s="33"/>
      <c r="L2588" s="33"/>
      <c r="M2588" s="33"/>
      <c r="N2588" s="33"/>
      <c r="O2588" s="33"/>
      <c r="P2588" s="33"/>
      <c r="Q2588" s="33"/>
      <c r="R2588" s="33"/>
      <c r="S2588" s="33"/>
      <c r="T2588" s="33"/>
      <c r="U2588" s="33"/>
      <c r="V2588" s="33"/>
      <c r="W2588" s="33"/>
      <c r="X2588" s="33"/>
      <c r="Y2588" s="33"/>
      <c r="Z2588" s="33"/>
      <c r="AA2588" s="33"/>
      <c r="AB2588" s="33"/>
    </row>
    <row r="2589" spans="1:28" x14ac:dyDescent="0.15">
      <c r="A2589" s="46" t="s">
        <v>5229</v>
      </c>
      <c r="B2589" s="52" t="s">
        <v>7361</v>
      </c>
      <c r="C2589" s="53" t="s">
        <v>5230</v>
      </c>
      <c r="D2589" s="54" t="s">
        <v>10031</v>
      </c>
      <c r="E2589" s="50">
        <f t="shared" si="88"/>
        <v>35.410958899999997</v>
      </c>
      <c r="F2589" s="51">
        <f t="shared" si="88"/>
        <v>4.6322119500000003</v>
      </c>
      <c r="H2589" s="33"/>
      <c r="I2589" s="33"/>
      <c r="J2589" s="33"/>
      <c r="K2589" s="33"/>
      <c r="L2589" s="33"/>
      <c r="M2589" s="33"/>
      <c r="N2589" s="33"/>
      <c r="O2589" s="33"/>
      <c r="P2589" s="33"/>
      <c r="Q2589" s="33"/>
      <c r="R2589" s="33"/>
      <c r="S2589" s="33"/>
      <c r="T2589" s="33"/>
      <c r="U2589" s="33"/>
      <c r="V2589" s="33"/>
      <c r="W2589" s="33"/>
      <c r="X2589" s="33"/>
      <c r="Y2589" s="33"/>
      <c r="Z2589" s="33"/>
      <c r="AA2589" s="33"/>
      <c r="AB2589" s="33"/>
    </row>
    <row r="2590" spans="1:28" x14ac:dyDescent="0.15">
      <c r="A2590" s="46" t="s">
        <v>5231</v>
      </c>
      <c r="B2590" s="52" t="s">
        <v>7361</v>
      </c>
      <c r="C2590" s="53" t="s">
        <v>5232</v>
      </c>
      <c r="D2590" s="54" t="s">
        <v>10032</v>
      </c>
      <c r="E2590" s="50">
        <f t="shared" si="88"/>
        <v>35.424657529999998</v>
      </c>
      <c r="F2590" s="51">
        <f t="shared" si="88"/>
        <v>4.6322125999999999</v>
      </c>
      <c r="H2590" s="33"/>
      <c r="I2590" s="33"/>
      <c r="J2590" s="33"/>
      <c r="K2590" s="33"/>
      <c r="L2590" s="33"/>
      <c r="M2590" s="33"/>
      <c r="N2590" s="33"/>
      <c r="O2590" s="33"/>
      <c r="P2590" s="33"/>
      <c r="Q2590" s="33"/>
      <c r="R2590" s="33"/>
      <c r="S2590" s="33"/>
      <c r="T2590" s="33"/>
      <c r="U2590" s="33"/>
      <c r="V2590" s="33"/>
      <c r="W2590" s="33"/>
      <c r="X2590" s="33"/>
      <c r="Y2590" s="33"/>
      <c r="Z2590" s="33"/>
      <c r="AA2590" s="33"/>
      <c r="AB2590" s="33"/>
    </row>
    <row r="2591" spans="1:28" x14ac:dyDescent="0.15">
      <c r="A2591" s="46" t="s">
        <v>5233</v>
      </c>
      <c r="B2591" s="52" t="s">
        <v>7361</v>
      </c>
      <c r="C2591" s="53" t="s">
        <v>5234</v>
      </c>
      <c r="D2591" s="54" t="s">
        <v>10033</v>
      </c>
      <c r="E2591" s="50">
        <f t="shared" si="88"/>
        <v>35.438356159999998</v>
      </c>
      <c r="F2591" s="51">
        <f t="shared" si="88"/>
        <v>4.6322130799999996</v>
      </c>
      <c r="H2591" s="33"/>
      <c r="I2591" s="33"/>
      <c r="J2591" s="33"/>
      <c r="K2591" s="33"/>
      <c r="L2591" s="33"/>
      <c r="M2591" s="33"/>
      <c r="N2591" s="33"/>
      <c r="O2591" s="33"/>
      <c r="P2591" s="33"/>
      <c r="Q2591" s="33"/>
      <c r="R2591" s="33"/>
      <c r="S2591" s="33"/>
      <c r="T2591" s="33"/>
      <c r="U2591" s="33"/>
      <c r="V2591" s="33"/>
      <c r="W2591" s="33"/>
      <c r="X2591" s="33"/>
      <c r="Y2591" s="33"/>
      <c r="Z2591" s="33"/>
      <c r="AA2591" s="33"/>
      <c r="AB2591" s="33"/>
    </row>
    <row r="2592" spans="1:28" x14ac:dyDescent="0.15">
      <c r="A2592" s="46" t="s">
        <v>5235</v>
      </c>
      <c r="B2592" s="52" t="s">
        <v>7361</v>
      </c>
      <c r="C2592" s="53" t="s">
        <v>5236</v>
      </c>
      <c r="D2592" s="54" t="s">
        <v>10034</v>
      </c>
      <c r="E2592" s="50">
        <f t="shared" si="88"/>
        <v>35.452054789999998</v>
      </c>
      <c r="F2592" s="51">
        <f t="shared" si="88"/>
        <v>4.6322134200000002</v>
      </c>
      <c r="H2592" s="33"/>
      <c r="I2592" s="33"/>
      <c r="J2592" s="33"/>
      <c r="K2592" s="33"/>
      <c r="L2592" s="33"/>
      <c r="M2592" s="33"/>
      <c r="N2592" s="33"/>
      <c r="O2592" s="33"/>
      <c r="P2592" s="33"/>
      <c r="Q2592" s="33"/>
      <c r="R2592" s="33"/>
      <c r="S2592" s="33"/>
      <c r="T2592" s="33"/>
      <c r="U2592" s="33"/>
      <c r="V2592" s="33"/>
      <c r="W2592" s="33"/>
      <c r="X2592" s="33"/>
      <c r="Y2592" s="33"/>
      <c r="Z2592" s="33"/>
      <c r="AA2592" s="33"/>
      <c r="AB2592" s="33"/>
    </row>
    <row r="2593" spans="1:28" x14ac:dyDescent="0.15">
      <c r="A2593" s="46" t="s">
        <v>5237</v>
      </c>
      <c r="B2593" s="52" t="s">
        <v>7361</v>
      </c>
      <c r="C2593" s="53" t="s">
        <v>5238</v>
      </c>
      <c r="D2593" s="54" t="s">
        <v>10035</v>
      </c>
      <c r="E2593" s="50">
        <f t="shared" si="88"/>
        <v>35.465753419999999</v>
      </c>
      <c r="F2593" s="51">
        <f t="shared" si="88"/>
        <v>4.6322136399999998</v>
      </c>
      <c r="H2593" s="33"/>
      <c r="I2593" s="33"/>
      <c r="J2593" s="33"/>
      <c r="K2593" s="33"/>
      <c r="L2593" s="33"/>
      <c r="M2593" s="33"/>
      <c r="N2593" s="33"/>
      <c r="O2593" s="33"/>
      <c r="P2593" s="33"/>
      <c r="Q2593" s="33"/>
      <c r="R2593" s="33"/>
      <c r="S2593" s="33"/>
      <c r="T2593" s="33"/>
      <c r="U2593" s="33"/>
      <c r="V2593" s="33"/>
      <c r="W2593" s="33"/>
      <c r="X2593" s="33"/>
      <c r="Y2593" s="33"/>
      <c r="Z2593" s="33"/>
      <c r="AA2593" s="33"/>
      <c r="AB2593" s="33"/>
    </row>
    <row r="2594" spans="1:28" x14ac:dyDescent="0.15">
      <c r="A2594" s="46" t="s">
        <v>5239</v>
      </c>
      <c r="B2594" s="52" t="s">
        <v>7361</v>
      </c>
      <c r="C2594" s="53" t="s">
        <v>5240</v>
      </c>
      <c r="D2594" s="54" t="s">
        <v>10036</v>
      </c>
      <c r="E2594" s="50">
        <f t="shared" si="88"/>
        <v>35.479452049999999</v>
      </c>
      <c r="F2594" s="51">
        <f t="shared" si="88"/>
        <v>4.6322137699999999</v>
      </c>
      <c r="H2594" s="33"/>
      <c r="I2594" s="33"/>
      <c r="J2594" s="33"/>
      <c r="K2594" s="33"/>
      <c r="L2594" s="33"/>
      <c r="M2594" s="33"/>
      <c r="N2594" s="33"/>
      <c r="O2594" s="33"/>
      <c r="P2594" s="33"/>
      <c r="Q2594" s="33"/>
      <c r="R2594" s="33"/>
      <c r="S2594" s="33"/>
      <c r="T2594" s="33"/>
      <c r="U2594" s="33"/>
      <c r="V2594" s="33"/>
      <c r="W2594" s="33"/>
      <c r="X2594" s="33"/>
      <c r="Y2594" s="33"/>
      <c r="Z2594" s="33"/>
      <c r="AA2594" s="33"/>
      <c r="AB2594" s="33"/>
    </row>
    <row r="2595" spans="1:28" x14ac:dyDescent="0.15">
      <c r="A2595" s="46" t="s">
        <v>5241</v>
      </c>
      <c r="B2595" s="52" t="s">
        <v>7361</v>
      </c>
      <c r="C2595" s="53" t="s">
        <v>5242</v>
      </c>
      <c r="D2595" s="54" t="s">
        <v>10037</v>
      </c>
      <c r="E2595" s="50">
        <f t="shared" si="88"/>
        <v>35.493150679999999</v>
      </c>
      <c r="F2595" s="51">
        <f t="shared" si="88"/>
        <v>4.6322138199999996</v>
      </c>
      <c r="H2595" s="33"/>
      <c r="I2595" s="33"/>
      <c r="J2595" s="33"/>
      <c r="K2595" s="33"/>
      <c r="L2595" s="33"/>
      <c r="M2595" s="33"/>
      <c r="N2595" s="33"/>
      <c r="O2595" s="33"/>
      <c r="P2595" s="33"/>
      <c r="Q2595" s="33"/>
      <c r="R2595" s="33"/>
      <c r="S2595" s="33"/>
      <c r="T2595" s="33"/>
      <c r="U2595" s="33"/>
      <c r="V2595" s="33"/>
      <c r="W2595" s="33"/>
      <c r="X2595" s="33"/>
      <c r="Y2595" s="33"/>
      <c r="Z2595" s="33"/>
      <c r="AA2595" s="33"/>
      <c r="AB2595" s="33"/>
    </row>
    <row r="2596" spans="1:28" x14ac:dyDescent="0.15">
      <c r="A2596" s="46" t="s">
        <v>5243</v>
      </c>
      <c r="B2596" s="52" t="s">
        <v>7361</v>
      </c>
      <c r="C2596" s="53" t="s">
        <v>5244</v>
      </c>
      <c r="D2596" s="54" t="s">
        <v>10038</v>
      </c>
      <c r="E2596" s="50">
        <f t="shared" si="88"/>
        <v>35.506849320000001</v>
      </c>
      <c r="F2596" s="51">
        <f t="shared" si="88"/>
        <v>4.6322137799999998</v>
      </c>
      <c r="H2596" s="33"/>
      <c r="I2596" s="33"/>
      <c r="J2596" s="33"/>
      <c r="K2596" s="33"/>
      <c r="L2596" s="33"/>
      <c r="M2596" s="33"/>
      <c r="N2596" s="33"/>
      <c r="O2596" s="33"/>
      <c r="P2596" s="33"/>
      <c r="Q2596" s="33"/>
      <c r="R2596" s="33"/>
      <c r="S2596" s="33"/>
      <c r="T2596" s="33"/>
      <c r="U2596" s="33"/>
      <c r="V2596" s="33"/>
      <c r="W2596" s="33"/>
      <c r="X2596" s="33"/>
      <c r="Y2596" s="33"/>
      <c r="Z2596" s="33"/>
      <c r="AA2596" s="33"/>
      <c r="AB2596" s="33"/>
    </row>
    <row r="2597" spans="1:28" x14ac:dyDescent="0.15">
      <c r="A2597" s="46" t="s">
        <v>5245</v>
      </c>
      <c r="B2597" s="52" t="s">
        <v>7361</v>
      </c>
      <c r="C2597" s="53" t="s">
        <v>5246</v>
      </c>
      <c r="D2597" s="54" t="s">
        <v>10039</v>
      </c>
      <c r="E2597" s="50">
        <f t="shared" si="88"/>
        <v>35.520547950000001</v>
      </c>
      <c r="F2597" s="51">
        <f t="shared" si="88"/>
        <v>4.6322133399999998</v>
      </c>
      <c r="H2597" s="33"/>
      <c r="I2597" s="33"/>
      <c r="J2597" s="33"/>
      <c r="K2597" s="33"/>
      <c r="L2597" s="33"/>
      <c r="M2597" s="33"/>
      <c r="N2597" s="33"/>
      <c r="O2597" s="33"/>
      <c r="P2597" s="33"/>
      <c r="Q2597" s="33"/>
      <c r="R2597" s="33"/>
      <c r="S2597" s="33"/>
      <c r="T2597" s="33"/>
      <c r="U2597" s="33"/>
      <c r="V2597" s="33"/>
      <c r="W2597" s="33"/>
      <c r="X2597" s="33"/>
      <c r="Y2597" s="33"/>
      <c r="Z2597" s="33"/>
      <c r="AA2597" s="33"/>
      <c r="AB2597" s="33"/>
    </row>
    <row r="2598" spans="1:28" x14ac:dyDescent="0.15">
      <c r="A2598" s="46" t="s">
        <v>5247</v>
      </c>
      <c r="B2598" s="52" t="s">
        <v>7361</v>
      </c>
      <c r="C2598" s="53" t="s">
        <v>5248</v>
      </c>
      <c r="D2598" s="54" t="s">
        <v>10040</v>
      </c>
      <c r="E2598" s="50">
        <f t="shared" si="88"/>
        <v>35.534246580000001</v>
      </c>
      <c r="F2598" s="51">
        <f t="shared" si="88"/>
        <v>4.6322124999999996</v>
      </c>
      <c r="H2598" s="33"/>
      <c r="I2598" s="33"/>
      <c r="J2598" s="33"/>
      <c r="K2598" s="33"/>
      <c r="L2598" s="33"/>
      <c r="M2598" s="33"/>
      <c r="N2598" s="33"/>
      <c r="O2598" s="33"/>
      <c r="P2598" s="33"/>
      <c r="Q2598" s="33"/>
      <c r="R2598" s="33"/>
      <c r="S2598" s="33"/>
      <c r="T2598" s="33"/>
      <c r="U2598" s="33"/>
      <c r="V2598" s="33"/>
      <c r="W2598" s="33"/>
      <c r="X2598" s="33"/>
      <c r="Y2598" s="33"/>
      <c r="Z2598" s="33"/>
      <c r="AA2598" s="33"/>
      <c r="AB2598" s="33"/>
    </row>
    <row r="2599" spans="1:28" x14ac:dyDescent="0.15">
      <c r="A2599" s="46" t="s">
        <v>5249</v>
      </c>
      <c r="B2599" s="52" t="s">
        <v>7361</v>
      </c>
      <c r="C2599" s="53" t="s">
        <v>5250</v>
      </c>
      <c r="D2599" s="54" t="s">
        <v>10041</v>
      </c>
      <c r="E2599" s="50">
        <f t="shared" si="88"/>
        <v>35.547945210000002</v>
      </c>
      <c r="F2599" s="51">
        <f t="shared" si="88"/>
        <v>4.6322112600000001</v>
      </c>
      <c r="H2599" s="33"/>
      <c r="I2599" s="33"/>
      <c r="J2599" s="33"/>
      <c r="K2599" s="33"/>
      <c r="L2599" s="33"/>
      <c r="M2599" s="33"/>
      <c r="N2599" s="33"/>
      <c r="O2599" s="33"/>
      <c r="P2599" s="33"/>
      <c r="Q2599" s="33"/>
      <c r="R2599" s="33"/>
      <c r="S2599" s="33"/>
      <c r="T2599" s="33"/>
      <c r="U2599" s="33"/>
      <c r="V2599" s="33"/>
      <c r="W2599" s="33"/>
      <c r="X2599" s="33"/>
      <c r="Y2599" s="33"/>
      <c r="Z2599" s="33"/>
      <c r="AA2599" s="33"/>
      <c r="AB2599" s="33"/>
    </row>
    <row r="2600" spans="1:28" x14ac:dyDescent="0.15">
      <c r="A2600" s="46" t="s">
        <v>5251</v>
      </c>
      <c r="B2600" s="52" t="s">
        <v>7361</v>
      </c>
      <c r="C2600" s="53" t="s">
        <v>5252</v>
      </c>
      <c r="D2600" s="54" t="s">
        <v>10042</v>
      </c>
      <c r="E2600" s="50">
        <f t="shared" si="88"/>
        <v>35.561643840000002</v>
      </c>
      <c r="F2600" s="51">
        <f t="shared" si="88"/>
        <v>4.6322096400000001</v>
      </c>
      <c r="H2600" s="33"/>
      <c r="I2600" s="33"/>
      <c r="J2600" s="33"/>
      <c r="K2600" s="33"/>
      <c r="L2600" s="33"/>
      <c r="M2600" s="33"/>
      <c r="N2600" s="33"/>
      <c r="O2600" s="33"/>
      <c r="P2600" s="33"/>
      <c r="Q2600" s="33"/>
      <c r="R2600" s="33"/>
      <c r="S2600" s="33"/>
      <c r="T2600" s="33"/>
      <c r="U2600" s="33"/>
      <c r="V2600" s="33"/>
      <c r="W2600" s="33"/>
      <c r="X2600" s="33"/>
      <c r="Y2600" s="33"/>
      <c r="Z2600" s="33"/>
      <c r="AA2600" s="33"/>
      <c r="AB2600" s="33"/>
    </row>
    <row r="2601" spans="1:28" x14ac:dyDescent="0.15">
      <c r="A2601" s="46" t="s">
        <v>5253</v>
      </c>
      <c r="B2601" s="52" t="s">
        <v>7361</v>
      </c>
      <c r="C2601" s="53" t="s">
        <v>5254</v>
      </c>
      <c r="D2601" s="54" t="s">
        <v>10043</v>
      </c>
      <c r="E2601" s="50">
        <f t="shared" si="88"/>
        <v>35.575342470000002</v>
      </c>
      <c r="F2601" s="51">
        <f t="shared" si="88"/>
        <v>4.6322076699999997</v>
      </c>
      <c r="H2601" s="33"/>
      <c r="I2601" s="33"/>
      <c r="J2601" s="33"/>
      <c r="K2601" s="33"/>
      <c r="L2601" s="33"/>
      <c r="M2601" s="33"/>
      <c r="N2601" s="33"/>
      <c r="O2601" s="33"/>
      <c r="P2601" s="33"/>
      <c r="Q2601" s="33"/>
      <c r="R2601" s="33"/>
      <c r="S2601" s="33"/>
      <c r="T2601" s="33"/>
      <c r="U2601" s="33"/>
      <c r="V2601" s="33"/>
      <c r="W2601" s="33"/>
      <c r="X2601" s="33"/>
      <c r="Y2601" s="33"/>
      <c r="Z2601" s="33"/>
      <c r="AA2601" s="33"/>
      <c r="AB2601" s="33"/>
    </row>
    <row r="2602" spans="1:28" x14ac:dyDescent="0.15">
      <c r="A2602" s="46" t="s">
        <v>5255</v>
      </c>
      <c r="B2602" s="52" t="s">
        <v>7361</v>
      </c>
      <c r="C2602" s="53" t="s">
        <v>5256</v>
      </c>
      <c r="D2602" s="54" t="s">
        <v>10044</v>
      </c>
      <c r="E2602" s="50">
        <f t="shared" si="88"/>
        <v>35.589041100000003</v>
      </c>
      <c r="F2602" s="51">
        <f t="shared" si="88"/>
        <v>4.6322053500000004</v>
      </c>
      <c r="H2602" s="33"/>
      <c r="I2602" s="33"/>
      <c r="J2602" s="33"/>
      <c r="K2602" s="33"/>
      <c r="L2602" s="33"/>
      <c r="M2602" s="33"/>
      <c r="N2602" s="33"/>
      <c r="O2602" s="33"/>
      <c r="P2602" s="33"/>
      <c r="Q2602" s="33"/>
      <c r="R2602" s="33"/>
      <c r="S2602" s="33"/>
      <c r="T2602" s="33"/>
      <c r="U2602" s="33"/>
      <c r="V2602" s="33"/>
      <c r="W2602" s="33"/>
      <c r="X2602" s="33"/>
      <c r="Y2602" s="33"/>
      <c r="Z2602" s="33"/>
      <c r="AA2602" s="33"/>
      <c r="AB2602" s="33"/>
    </row>
    <row r="2603" spans="1:28" x14ac:dyDescent="0.15">
      <c r="A2603" s="46" t="s">
        <v>5257</v>
      </c>
      <c r="B2603" s="52" t="s">
        <v>7361</v>
      </c>
      <c r="C2603" s="53" t="s">
        <v>5258</v>
      </c>
      <c r="D2603" s="54" t="s">
        <v>10045</v>
      </c>
      <c r="E2603" s="50">
        <f t="shared" si="88"/>
        <v>35.602739730000003</v>
      </c>
      <c r="F2603" s="51">
        <f t="shared" si="88"/>
        <v>4.6322027099999996</v>
      </c>
      <c r="H2603" s="33"/>
      <c r="I2603" s="33"/>
      <c r="J2603" s="33"/>
      <c r="K2603" s="33"/>
      <c r="L2603" s="33"/>
      <c r="M2603" s="33"/>
      <c r="N2603" s="33"/>
      <c r="O2603" s="33"/>
      <c r="P2603" s="33"/>
      <c r="Q2603" s="33"/>
      <c r="R2603" s="33"/>
      <c r="S2603" s="33"/>
      <c r="T2603" s="33"/>
      <c r="U2603" s="33"/>
      <c r="V2603" s="33"/>
      <c r="W2603" s="33"/>
      <c r="X2603" s="33"/>
      <c r="Y2603" s="33"/>
      <c r="Z2603" s="33"/>
      <c r="AA2603" s="33"/>
      <c r="AB2603" s="33"/>
    </row>
    <row r="2604" spans="1:28" x14ac:dyDescent="0.15">
      <c r="A2604" s="46" t="s">
        <v>5259</v>
      </c>
      <c r="B2604" s="52" t="s">
        <v>7361</v>
      </c>
      <c r="C2604" s="53" t="s">
        <v>5260</v>
      </c>
      <c r="D2604" s="54" t="s">
        <v>10046</v>
      </c>
      <c r="E2604" s="50">
        <f t="shared" si="88"/>
        <v>35.616438359999997</v>
      </c>
      <c r="F2604" s="51">
        <f t="shared" si="88"/>
        <v>4.6321997599999998</v>
      </c>
      <c r="H2604" s="33"/>
      <c r="I2604" s="33"/>
      <c r="J2604" s="33"/>
      <c r="K2604" s="33"/>
      <c r="L2604" s="33"/>
      <c r="M2604" s="33"/>
      <c r="N2604" s="33"/>
      <c r="O2604" s="33"/>
      <c r="P2604" s="33"/>
      <c r="Q2604" s="33"/>
      <c r="R2604" s="33"/>
      <c r="S2604" s="33"/>
      <c r="T2604" s="33"/>
      <c r="U2604" s="33"/>
      <c r="V2604" s="33"/>
      <c r="W2604" s="33"/>
      <c r="X2604" s="33"/>
      <c r="Y2604" s="33"/>
      <c r="Z2604" s="33"/>
      <c r="AA2604" s="33"/>
      <c r="AB2604" s="33"/>
    </row>
    <row r="2605" spans="1:28" x14ac:dyDescent="0.15">
      <c r="A2605" s="46" t="s">
        <v>5261</v>
      </c>
      <c r="B2605" s="52" t="s">
        <v>7361</v>
      </c>
      <c r="C2605" s="53" t="s">
        <v>5262</v>
      </c>
      <c r="D2605" s="54" t="s">
        <v>10047</v>
      </c>
      <c r="E2605" s="50">
        <f t="shared" si="88"/>
        <v>35.630136989999997</v>
      </c>
      <c r="F2605" s="51">
        <f t="shared" si="88"/>
        <v>4.6321965299999999</v>
      </c>
      <c r="H2605" s="33"/>
      <c r="I2605" s="33"/>
      <c r="J2605" s="33"/>
      <c r="K2605" s="33"/>
      <c r="L2605" s="33"/>
      <c r="M2605" s="33"/>
      <c r="N2605" s="33"/>
      <c r="O2605" s="33"/>
      <c r="P2605" s="33"/>
      <c r="Q2605" s="33"/>
      <c r="R2605" s="33"/>
      <c r="S2605" s="33"/>
      <c r="T2605" s="33"/>
      <c r="U2605" s="33"/>
      <c r="V2605" s="33"/>
      <c r="W2605" s="33"/>
      <c r="X2605" s="33"/>
      <c r="Y2605" s="33"/>
      <c r="Z2605" s="33"/>
      <c r="AA2605" s="33"/>
      <c r="AB2605" s="33"/>
    </row>
    <row r="2606" spans="1:28" x14ac:dyDescent="0.15">
      <c r="A2606" s="46" t="s">
        <v>5263</v>
      </c>
      <c r="B2606" s="52" t="s">
        <v>7361</v>
      </c>
      <c r="C2606" s="53" t="s">
        <v>5264</v>
      </c>
      <c r="D2606" s="54" t="s">
        <v>10048</v>
      </c>
      <c r="E2606" s="50">
        <f t="shared" si="88"/>
        <v>35.643835619999997</v>
      </c>
      <c r="F2606" s="51">
        <f t="shared" si="88"/>
        <v>4.6321930299999998</v>
      </c>
      <c r="H2606" s="33"/>
      <c r="I2606" s="33"/>
      <c r="J2606" s="33"/>
      <c r="K2606" s="33"/>
      <c r="L2606" s="33"/>
      <c r="M2606" s="33"/>
      <c r="N2606" s="33"/>
      <c r="O2606" s="33"/>
      <c r="P2606" s="33"/>
      <c r="Q2606" s="33"/>
      <c r="R2606" s="33"/>
      <c r="S2606" s="33"/>
      <c r="T2606" s="33"/>
      <c r="U2606" s="33"/>
      <c r="V2606" s="33"/>
      <c r="W2606" s="33"/>
      <c r="X2606" s="33"/>
      <c r="Y2606" s="33"/>
      <c r="Z2606" s="33"/>
      <c r="AA2606" s="33"/>
      <c r="AB2606" s="33"/>
    </row>
    <row r="2607" spans="1:28" x14ac:dyDescent="0.15">
      <c r="A2607" s="46" t="s">
        <v>5265</v>
      </c>
      <c r="B2607" s="52" t="s">
        <v>7361</v>
      </c>
      <c r="C2607" s="53" t="s">
        <v>5266</v>
      </c>
      <c r="D2607" s="54" t="s">
        <v>10049</v>
      </c>
      <c r="E2607" s="50">
        <f t="shared" si="88"/>
        <v>35.657534249999998</v>
      </c>
      <c r="F2607" s="51">
        <f t="shared" si="88"/>
        <v>4.6321892699999996</v>
      </c>
      <c r="H2607" s="33"/>
      <c r="I2607" s="33"/>
      <c r="J2607" s="33"/>
      <c r="K2607" s="33"/>
      <c r="L2607" s="33"/>
      <c r="M2607" s="33"/>
      <c r="N2607" s="33"/>
      <c r="O2607" s="33"/>
      <c r="P2607" s="33"/>
      <c r="Q2607" s="33"/>
      <c r="R2607" s="33"/>
      <c r="S2607" s="33"/>
      <c r="T2607" s="33"/>
      <c r="U2607" s="33"/>
      <c r="V2607" s="33"/>
      <c r="W2607" s="33"/>
      <c r="X2607" s="33"/>
      <c r="Y2607" s="33"/>
      <c r="Z2607" s="33"/>
      <c r="AA2607" s="33"/>
      <c r="AB2607" s="33"/>
    </row>
    <row r="2608" spans="1:28" x14ac:dyDescent="0.15">
      <c r="A2608" s="46" t="s">
        <v>5267</v>
      </c>
      <c r="B2608" s="52" t="s">
        <v>7361</v>
      </c>
      <c r="C2608" s="53" t="s">
        <v>5268</v>
      </c>
      <c r="D2608" s="54" t="s">
        <v>10050</v>
      </c>
      <c r="E2608" s="50">
        <f t="shared" ref="E2608:F2637" si="89">VALUE(C2608)</f>
        <v>35.671232879999998</v>
      </c>
      <c r="F2608" s="51">
        <f t="shared" si="89"/>
        <v>4.6321852899999998</v>
      </c>
      <c r="H2608" s="33"/>
      <c r="I2608" s="33"/>
      <c r="J2608" s="33"/>
      <c r="K2608" s="33"/>
      <c r="L2608" s="33"/>
      <c r="M2608" s="33"/>
      <c r="N2608" s="33"/>
      <c r="O2608" s="33"/>
      <c r="P2608" s="33"/>
      <c r="Q2608" s="33"/>
      <c r="R2608" s="33"/>
      <c r="S2608" s="33"/>
      <c r="T2608" s="33"/>
      <c r="U2608" s="33"/>
      <c r="V2608" s="33"/>
      <c r="W2608" s="33"/>
      <c r="X2608" s="33"/>
      <c r="Y2608" s="33"/>
      <c r="Z2608" s="33"/>
      <c r="AA2608" s="33"/>
      <c r="AB2608" s="33"/>
    </row>
    <row r="2609" spans="1:28" x14ac:dyDescent="0.15">
      <c r="A2609" s="46" t="s">
        <v>5269</v>
      </c>
      <c r="B2609" s="52" t="s">
        <v>7361</v>
      </c>
      <c r="C2609" s="53" t="s">
        <v>5270</v>
      </c>
      <c r="D2609" s="54" t="s">
        <v>10051</v>
      </c>
      <c r="E2609" s="50">
        <f t="shared" si="89"/>
        <v>35.684931509999998</v>
      </c>
      <c r="F2609" s="51">
        <f t="shared" si="89"/>
        <v>4.6321810899999996</v>
      </c>
      <c r="H2609" s="33"/>
      <c r="I2609" s="33"/>
      <c r="J2609" s="33"/>
      <c r="K2609" s="33"/>
      <c r="L2609" s="33"/>
      <c r="M2609" s="33"/>
      <c r="N2609" s="33"/>
      <c r="O2609" s="33"/>
      <c r="P2609" s="33"/>
      <c r="Q2609" s="33"/>
      <c r="R2609" s="33"/>
      <c r="S2609" s="33"/>
      <c r="T2609" s="33"/>
      <c r="U2609" s="33"/>
      <c r="V2609" s="33"/>
      <c r="W2609" s="33"/>
      <c r="X2609" s="33"/>
      <c r="Y2609" s="33"/>
      <c r="Z2609" s="33"/>
      <c r="AA2609" s="33"/>
      <c r="AB2609" s="33"/>
    </row>
    <row r="2610" spans="1:28" x14ac:dyDescent="0.15">
      <c r="A2610" s="46" t="s">
        <v>5271</v>
      </c>
      <c r="B2610" s="52" t="s">
        <v>7361</v>
      </c>
      <c r="C2610" s="53" t="s">
        <v>5272</v>
      </c>
      <c r="D2610" s="54" t="s">
        <v>10052</v>
      </c>
      <c r="E2610" s="50">
        <f t="shared" si="89"/>
        <v>35.698630139999999</v>
      </c>
      <c r="F2610" s="51">
        <f t="shared" si="89"/>
        <v>4.6321766999999996</v>
      </c>
      <c r="H2610" s="33"/>
      <c r="I2610" s="33"/>
      <c r="J2610" s="33"/>
      <c r="K2610" s="33"/>
      <c r="L2610" s="33"/>
      <c r="M2610" s="33"/>
      <c r="N2610" s="33"/>
      <c r="O2610" s="33"/>
      <c r="P2610" s="33"/>
      <c r="Q2610" s="33"/>
      <c r="R2610" s="33"/>
      <c r="S2610" s="33"/>
      <c r="T2610" s="33"/>
      <c r="U2610" s="33"/>
      <c r="V2610" s="33"/>
      <c r="W2610" s="33"/>
      <c r="X2610" s="33"/>
      <c r="Y2610" s="33"/>
      <c r="Z2610" s="33"/>
      <c r="AA2610" s="33"/>
      <c r="AB2610" s="33"/>
    </row>
    <row r="2611" spans="1:28" x14ac:dyDescent="0.15">
      <c r="A2611" s="46" t="s">
        <v>5273</v>
      </c>
      <c r="B2611" s="52" t="s">
        <v>7361</v>
      </c>
      <c r="C2611" s="53" t="s">
        <v>5274</v>
      </c>
      <c r="D2611" s="54" t="s">
        <v>10053</v>
      </c>
      <c r="E2611" s="50">
        <f t="shared" si="89"/>
        <v>35.712328769999999</v>
      </c>
      <c r="F2611" s="51">
        <f t="shared" si="89"/>
        <v>4.6321721199999999</v>
      </c>
      <c r="H2611" s="33"/>
      <c r="I2611" s="33"/>
      <c r="J2611" s="33"/>
      <c r="K2611" s="33"/>
      <c r="L2611" s="33"/>
      <c r="M2611" s="33"/>
      <c r="N2611" s="33"/>
      <c r="O2611" s="33"/>
      <c r="P2611" s="33"/>
      <c r="Q2611" s="33"/>
      <c r="R2611" s="33"/>
      <c r="S2611" s="33"/>
      <c r="T2611" s="33"/>
      <c r="U2611" s="33"/>
      <c r="V2611" s="33"/>
      <c r="W2611" s="33"/>
      <c r="X2611" s="33"/>
      <c r="Y2611" s="33"/>
      <c r="Z2611" s="33"/>
      <c r="AA2611" s="33"/>
      <c r="AB2611" s="33"/>
    </row>
    <row r="2612" spans="1:28" x14ac:dyDescent="0.15">
      <c r="A2612" s="46" t="s">
        <v>5275</v>
      </c>
      <c r="B2612" s="52" t="s">
        <v>7361</v>
      </c>
      <c r="C2612" s="53" t="s">
        <v>5276</v>
      </c>
      <c r="D2612" s="54" t="s">
        <v>10054</v>
      </c>
      <c r="E2612" s="50">
        <f t="shared" si="89"/>
        <v>35.7260274</v>
      </c>
      <c r="F2612" s="51">
        <f t="shared" si="89"/>
        <v>4.6321673900000002</v>
      </c>
      <c r="H2612" s="33"/>
      <c r="I2612" s="33"/>
      <c r="J2612" s="33"/>
      <c r="K2612" s="33"/>
      <c r="L2612" s="33"/>
      <c r="M2612" s="33"/>
      <c r="N2612" s="33"/>
      <c r="O2612" s="33"/>
      <c r="P2612" s="33"/>
      <c r="Q2612" s="33"/>
      <c r="R2612" s="33"/>
      <c r="S2612" s="33"/>
      <c r="T2612" s="33"/>
      <c r="U2612" s="33"/>
      <c r="V2612" s="33"/>
      <c r="W2612" s="33"/>
      <c r="X2612" s="33"/>
      <c r="Y2612" s="33"/>
      <c r="Z2612" s="33"/>
      <c r="AA2612" s="33"/>
      <c r="AB2612" s="33"/>
    </row>
    <row r="2613" spans="1:28" x14ac:dyDescent="0.15">
      <c r="A2613" s="46" t="s">
        <v>5277</v>
      </c>
      <c r="B2613" s="52" t="s">
        <v>7361</v>
      </c>
      <c r="C2613" s="53" t="s">
        <v>5278</v>
      </c>
      <c r="D2613" s="54" t="s">
        <v>10055</v>
      </c>
      <c r="E2613" s="50">
        <f t="shared" si="89"/>
        <v>35.73972603</v>
      </c>
      <c r="F2613" s="51">
        <f t="shared" si="89"/>
        <v>4.6321625099999997</v>
      </c>
      <c r="H2613" s="33"/>
      <c r="I2613" s="33"/>
      <c r="J2613" s="33"/>
      <c r="K2613" s="33"/>
      <c r="L2613" s="33"/>
      <c r="M2613" s="33"/>
      <c r="N2613" s="33"/>
      <c r="O2613" s="33"/>
      <c r="P2613" s="33"/>
      <c r="Q2613" s="33"/>
      <c r="R2613" s="33"/>
      <c r="S2613" s="33"/>
      <c r="T2613" s="33"/>
      <c r="U2613" s="33"/>
      <c r="V2613" s="33"/>
      <c r="W2613" s="33"/>
      <c r="X2613" s="33"/>
      <c r="Y2613" s="33"/>
      <c r="Z2613" s="33"/>
      <c r="AA2613" s="33"/>
      <c r="AB2613" s="33"/>
    </row>
    <row r="2614" spans="1:28" x14ac:dyDescent="0.15">
      <c r="A2614" s="46" t="s">
        <v>5279</v>
      </c>
      <c r="B2614" s="52" t="s">
        <v>7361</v>
      </c>
      <c r="C2614" s="53" t="s">
        <v>5280</v>
      </c>
      <c r="D2614" s="54" t="s">
        <v>10056</v>
      </c>
      <c r="E2614" s="50">
        <f t="shared" si="89"/>
        <v>35.75342466</v>
      </c>
      <c r="F2614" s="51">
        <f t="shared" si="89"/>
        <v>4.6321575199999998</v>
      </c>
      <c r="H2614" s="33"/>
      <c r="I2614" s="33"/>
      <c r="J2614" s="33"/>
      <c r="K2614" s="33"/>
      <c r="L2614" s="33"/>
      <c r="M2614" s="33"/>
      <c r="N2614" s="33"/>
      <c r="O2614" s="33"/>
      <c r="P2614" s="33"/>
      <c r="Q2614" s="33"/>
      <c r="R2614" s="33"/>
      <c r="S2614" s="33"/>
      <c r="T2614" s="33"/>
      <c r="U2614" s="33"/>
      <c r="V2614" s="33"/>
      <c r="W2614" s="33"/>
      <c r="X2614" s="33"/>
      <c r="Y2614" s="33"/>
      <c r="Z2614" s="33"/>
      <c r="AA2614" s="33"/>
      <c r="AB2614" s="33"/>
    </row>
    <row r="2615" spans="1:28" x14ac:dyDescent="0.15">
      <c r="A2615" s="46" t="s">
        <v>5281</v>
      </c>
      <c r="B2615" s="52" t="s">
        <v>7361</v>
      </c>
      <c r="C2615" s="53" t="s">
        <v>5282</v>
      </c>
      <c r="D2615" s="54" t="s">
        <v>10057</v>
      </c>
      <c r="E2615" s="50">
        <f t="shared" si="89"/>
        <v>35.767123290000001</v>
      </c>
      <c r="F2615" s="51">
        <f t="shared" si="89"/>
        <v>4.6321524099999998</v>
      </c>
      <c r="H2615" s="33"/>
      <c r="I2615" s="33"/>
      <c r="J2615" s="33"/>
      <c r="K2615" s="33"/>
      <c r="L2615" s="33"/>
      <c r="M2615" s="33"/>
      <c r="N2615" s="33"/>
      <c r="O2615" s="33"/>
      <c r="P2615" s="33"/>
      <c r="Q2615" s="33"/>
      <c r="R2615" s="33"/>
      <c r="S2615" s="33"/>
      <c r="T2615" s="33"/>
      <c r="U2615" s="33"/>
      <c r="V2615" s="33"/>
      <c r="W2615" s="33"/>
      <c r="X2615" s="33"/>
      <c r="Y2615" s="33"/>
      <c r="Z2615" s="33"/>
      <c r="AA2615" s="33"/>
      <c r="AB2615" s="33"/>
    </row>
    <row r="2616" spans="1:28" x14ac:dyDescent="0.15">
      <c r="A2616" s="46" t="s">
        <v>5283</v>
      </c>
      <c r="B2616" s="52" t="s">
        <v>7361</v>
      </c>
      <c r="C2616" s="53" t="s">
        <v>5284</v>
      </c>
      <c r="D2616" s="54" t="s">
        <v>10058</v>
      </c>
      <c r="E2616" s="50">
        <f t="shared" si="89"/>
        <v>35.780821920000001</v>
      </c>
      <c r="F2616" s="51">
        <f t="shared" si="89"/>
        <v>4.6321472200000002</v>
      </c>
      <c r="H2616" s="33"/>
      <c r="I2616" s="33"/>
      <c r="J2616" s="33"/>
      <c r="K2616" s="33"/>
      <c r="L2616" s="33"/>
      <c r="M2616" s="33"/>
      <c r="N2616" s="33"/>
      <c r="O2616" s="33"/>
      <c r="P2616" s="33"/>
      <c r="Q2616" s="33"/>
      <c r="R2616" s="33"/>
      <c r="S2616" s="33"/>
      <c r="T2616" s="33"/>
      <c r="U2616" s="33"/>
      <c r="V2616" s="33"/>
      <c r="W2616" s="33"/>
      <c r="X2616" s="33"/>
      <c r="Y2616" s="33"/>
      <c r="Z2616" s="33"/>
      <c r="AA2616" s="33"/>
      <c r="AB2616" s="33"/>
    </row>
    <row r="2617" spans="1:28" x14ac:dyDescent="0.15">
      <c r="A2617" s="46" t="s">
        <v>5285</v>
      </c>
      <c r="B2617" s="52" t="s">
        <v>7361</v>
      </c>
      <c r="C2617" s="53" t="s">
        <v>5286</v>
      </c>
      <c r="D2617" s="54" t="s">
        <v>10059</v>
      </c>
      <c r="E2617" s="50">
        <f t="shared" si="89"/>
        <v>35.794520550000001</v>
      </c>
      <c r="F2617" s="51">
        <f t="shared" si="89"/>
        <v>4.6321419600000002</v>
      </c>
      <c r="H2617" s="33"/>
      <c r="I2617" s="33"/>
      <c r="J2617" s="33"/>
      <c r="K2617" s="33"/>
      <c r="L2617" s="33"/>
      <c r="M2617" s="33"/>
      <c r="N2617" s="33"/>
      <c r="O2617" s="33"/>
      <c r="P2617" s="33"/>
      <c r="Q2617" s="33"/>
      <c r="R2617" s="33"/>
      <c r="S2617" s="33"/>
      <c r="T2617" s="33"/>
      <c r="U2617" s="33"/>
      <c r="V2617" s="33"/>
      <c r="W2617" s="33"/>
      <c r="X2617" s="33"/>
      <c r="Y2617" s="33"/>
      <c r="Z2617" s="33"/>
      <c r="AA2617" s="33"/>
      <c r="AB2617" s="33"/>
    </row>
    <row r="2618" spans="1:28" x14ac:dyDescent="0.15">
      <c r="A2618" s="46" t="s">
        <v>5287</v>
      </c>
      <c r="B2618" s="52" t="s">
        <v>7361</v>
      </c>
      <c r="C2618" s="53" t="s">
        <v>5288</v>
      </c>
      <c r="D2618" s="54" t="s">
        <v>10060</v>
      </c>
      <c r="E2618" s="50">
        <f t="shared" si="89"/>
        <v>35.808219180000002</v>
      </c>
      <c r="F2618" s="51">
        <f t="shared" si="89"/>
        <v>4.6321366399999997</v>
      </c>
      <c r="H2618" s="33"/>
      <c r="I2618" s="33"/>
      <c r="J2618" s="33"/>
      <c r="K2618" s="33"/>
      <c r="L2618" s="33"/>
      <c r="M2618" s="33"/>
      <c r="N2618" s="33"/>
      <c r="O2618" s="33"/>
      <c r="P2618" s="33"/>
      <c r="Q2618" s="33"/>
      <c r="R2618" s="33"/>
      <c r="S2618" s="33"/>
      <c r="T2618" s="33"/>
      <c r="U2618" s="33"/>
      <c r="V2618" s="33"/>
      <c r="W2618" s="33"/>
      <c r="X2618" s="33"/>
      <c r="Y2618" s="33"/>
      <c r="Z2618" s="33"/>
      <c r="AA2618" s="33"/>
      <c r="AB2618" s="33"/>
    </row>
    <row r="2619" spans="1:28" x14ac:dyDescent="0.15">
      <c r="A2619" s="46" t="s">
        <v>5289</v>
      </c>
      <c r="B2619" s="52" t="s">
        <v>7361</v>
      </c>
      <c r="C2619" s="53" t="s">
        <v>5290</v>
      </c>
      <c r="D2619" s="54" t="s">
        <v>10061</v>
      </c>
      <c r="E2619" s="50">
        <f t="shared" si="89"/>
        <v>35.821917810000002</v>
      </c>
      <c r="F2619" s="51">
        <f t="shared" si="89"/>
        <v>4.6321313000000002</v>
      </c>
      <c r="H2619" s="33"/>
      <c r="I2619" s="33"/>
      <c r="J2619" s="33"/>
      <c r="K2619" s="33"/>
      <c r="L2619" s="33"/>
      <c r="M2619" s="33"/>
      <c r="N2619" s="33"/>
      <c r="O2619" s="33"/>
      <c r="P2619" s="33"/>
      <c r="Q2619" s="33"/>
      <c r="R2619" s="33"/>
      <c r="S2619" s="33"/>
      <c r="T2619" s="33"/>
      <c r="U2619" s="33"/>
      <c r="V2619" s="33"/>
      <c r="W2619" s="33"/>
      <c r="X2619" s="33"/>
      <c r="Y2619" s="33"/>
      <c r="Z2619" s="33"/>
      <c r="AA2619" s="33"/>
      <c r="AB2619" s="33"/>
    </row>
    <row r="2620" spans="1:28" x14ac:dyDescent="0.15">
      <c r="A2620" s="46" t="s">
        <v>5291</v>
      </c>
      <c r="B2620" s="52" t="s">
        <v>7361</v>
      </c>
      <c r="C2620" s="53" t="s">
        <v>5292</v>
      </c>
      <c r="D2620" s="54" t="s">
        <v>10062</v>
      </c>
      <c r="E2620" s="50">
        <f t="shared" si="89"/>
        <v>35.835616440000003</v>
      </c>
      <c r="F2620" s="51">
        <f t="shared" si="89"/>
        <v>4.6321259399999999</v>
      </c>
      <c r="H2620" s="33"/>
      <c r="I2620" s="33"/>
      <c r="J2620" s="33"/>
      <c r="K2620" s="33"/>
      <c r="L2620" s="33"/>
      <c r="M2620" s="33"/>
      <c r="N2620" s="33"/>
      <c r="O2620" s="33"/>
      <c r="P2620" s="33"/>
      <c r="Q2620" s="33"/>
      <c r="R2620" s="33"/>
      <c r="S2620" s="33"/>
      <c r="T2620" s="33"/>
      <c r="U2620" s="33"/>
      <c r="V2620" s="33"/>
      <c r="W2620" s="33"/>
      <c r="X2620" s="33"/>
      <c r="Y2620" s="33"/>
      <c r="Z2620" s="33"/>
      <c r="AA2620" s="33"/>
      <c r="AB2620" s="33"/>
    </row>
    <row r="2621" spans="1:28" x14ac:dyDescent="0.15">
      <c r="A2621" s="46" t="s">
        <v>5293</v>
      </c>
      <c r="B2621" s="52" t="s">
        <v>7361</v>
      </c>
      <c r="C2621" s="53" t="s">
        <v>5294</v>
      </c>
      <c r="D2621" s="54" t="s">
        <v>10063</v>
      </c>
      <c r="E2621" s="50">
        <f t="shared" si="89"/>
        <v>35.849315070000003</v>
      </c>
      <c r="F2621" s="51">
        <f t="shared" si="89"/>
        <v>4.6321205799999996</v>
      </c>
      <c r="H2621" s="33"/>
      <c r="I2621" s="33"/>
      <c r="J2621" s="33"/>
      <c r="K2621" s="33"/>
      <c r="L2621" s="33"/>
      <c r="M2621" s="33"/>
      <c r="N2621" s="33"/>
      <c r="O2621" s="33"/>
      <c r="P2621" s="33"/>
      <c r="Q2621" s="33"/>
      <c r="R2621" s="33"/>
      <c r="S2621" s="33"/>
      <c r="T2621" s="33"/>
      <c r="U2621" s="33"/>
      <c r="V2621" s="33"/>
      <c r="W2621" s="33"/>
      <c r="X2621" s="33"/>
      <c r="Y2621" s="33"/>
      <c r="Z2621" s="33"/>
      <c r="AA2621" s="33"/>
      <c r="AB2621" s="33"/>
    </row>
    <row r="2622" spans="1:28" x14ac:dyDescent="0.15">
      <c r="A2622" s="46" t="s">
        <v>5295</v>
      </c>
      <c r="B2622" s="52" t="s">
        <v>7361</v>
      </c>
      <c r="C2622" s="53" t="s">
        <v>5296</v>
      </c>
      <c r="D2622" s="54" t="s">
        <v>10064</v>
      </c>
      <c r="E2622" s="50">
        <f t="shared" si="89"/>
        <v>35.863013700000003</v>
      </c>
      <c r="F2622" s="51">
        <f t="shared" si="89"/>
        <v>4.6321152400000001</v>
      </c>
      <c r="H2622" s="33"/>
      <c r="I2622" s="33"/>
      <c r="J2622" s="33"/>
      <c r="K2622" s="33"/>
      <c r="L2622" s="33"/>
      <c r="M2622" s="33"/>
      <c r="N2622" s="33"/>
      <c r="O2622" s="33"/>
      <c r="P2622" s="33"/>
      <c r="Q2622" s="33"/>
      <c r="R2622" s="33"/>
      <c r="S2622" s="33"/>
      <c r="T2622" s="33"/>
      <c r="U2622" s="33"/>
      <c r="V2622" s="33"/>
      <c r="W2622" s="33"/>
      <c r="X2622" s="33"/>
      <c r="Y2622" s="33"/>
      <c r="Z2622" s="33"/>
      <c r="AA2622" s="33"/>
      <c r="AB2622" s="33"/>
    </row>
    <row r="2623" spans="1:28" x14ac:dyDescent="0.15">
      <c r="A2623" s="46" t="s">
        <v>5297</v>
      </c>
      <c r="B2623" s="52" t="s">
        <v>7361</v>
      </c>
      <c r="C2623" s="53" t="s">
        <v>5298</v>
      </c>
      <c r="D2623" s="54" t="s">
        <v>10065</v>
      </c>
      <c r="E2623" s="50">
        <f t="shared" si="89"/>
        <v>35.876712329999997</v>
      </c>
      <c r="F2623" s="51">
        <f t="shared" si="89"/>
        <v>4.6321099400000003</v>
      </c>
      <c r="H2623" s="33"/>
      <c r="I2623" s="33"/>
      <c r="J2623" s="33"/>
      <c r="K2623" s="33"/>
      <c r="L2623" s="33"/>
      <c r="M2623" s="33"/>
      <c r="N2623" s="33"/>
      <c r="O2623" s="33"/>
      <c r="P2623" s="33"/>
      <c r="Q2623" s="33"/>
      <c r="R2623" s="33"/>
      <c r="S2623" s="33"/>
      <c r="T2623" s="33"/>
      <c r="U2623" s="33"/>
      <c r="V2623" s="33"/>
      <c r="W2623" s="33"/>
      <c r="X2623" s="33"/>
      <c r="Y2623" s="33"/>
      <c r="Z2623" s="33"/>
      <c r="AA2623" s="33"/>
      <c r="AB2623" s="33"/>
    </row>
    <row r="2624" spans="1:28" x14ac:dyDescent="0.15">
      <c r="A2624" s="46" t="s">
        <v>5299</v>
      </c>
      <c r="B2624" s="52" t="s">
        <v>7361</v>
      </c>
      <c r="C2624" s="53" t="s">
        <v>5300</v>
      </c>
      <c r="D2624" s="54" t="s">
        <v>10066</v>
      </c>
      <c r="E2624" s="50">
        <f t="shared" si="89"/>
        <v>35.890410959999997</v>
      </c>
      <c r="F2624" s="51">
        <f t="shared" si="89"/>
        <v>4.6321047000000002</v>
      </c>
      <c r="H2624" s="33"/>
      <c r="I2624" s="33"/>
      <c r="J2624" s="33"/>
      <c r="K2624" s="33"/>
      <c r="L2624" s="33"/>
      <c r="M2624" s="33"/>
      <c r="N2624" s="33"/>
      <c r="O2624" s="33"/>
      <c r="P2624" s="33"/>
      <c r="Q2624" s="33"/>
      <c r="R2624" s="33"/>
      <c r="S2624" s="33"/>
      <c r="T2624" s="33"/>
      <c r="U2624" s="33"/>
      <c r="V2624" s="33"/>
      <c r="W2624" s="33"/>
      <c r="X2624" s="33"/>
      <c r="Y2624" s="33"/>
      <c r="Z2624" s="33"/>
      <c r="AA2624" s="33"/>
      <c r="AB2624" s="33"/>
    </row>
    <row r="2625" spans="1:28" x14ac:dyDescent="0.15">
      <c r="A2625" s="46" t="s">
        <v>5301</v>
      </c>
      <c r="B2625" s="52" t="s">
        <v>7361</v>
      </c>
      <c r="C2625" s="53" t="s">
        <v>5302</v>
      </c>
      <c r="D2625" s="54" t="s">
        <v>10067</v>
      </c>
      <c r="E2625" s="50">
        <f t="shared" si="89"/>
        <v>35.904109589999997</v>
      </c>
      <c r="F2625" s="51">
        <f t="shared" si="89"/>
        <v>4.6320995399999996</v>
      </c>
      <c r="H2625" s="33"/>
      <c r="I2625" s="33"/>
      <c r="J2625" s="33"/>
      <c r="K2625" s="33"/>
      <c r="L2625" s="33"/>
      <c r="M2625" s="33"/>
      <c r="N2625" s="33"/>
      <c r="O2625" s="33"/>
      <c r="P2625" s="33"/>
      <c r="Q2625" s="33"/>
      <c r="R2625" s="33"/>
      <c r="S2625" s="33"/>
      <c r="T2625" s="33"/>
      <c r="U2625" s="33"/>
      <c r="V2625" s="33"/>
      <c r="W2625" s="33"/>
      <c r="X2625" s="33"/>
      <c r="Y2625" s="33"/>
      <c r="Z2625" s="33"/>
      <c r="AA2625" s="33"/>
      <c r="AB2625" s="33"/>
    </row>
    <row r="2626" spans="1:28" x14ac:dyDescent="0.15">
      <c r="A2626" s="46" t="s">
        <v>5303</v>
      </c>
      <c r="B2626" s="52" t="s">
        <v>7361</v>
      </c>
      <c r="C2626" s="53" t="s">
        <v>5304</v>
      </c>
      <c r="D2626" s="54" t="s">
        <v>10068</v>
      </c>
      <c r="E2626" s="50">
        <f t="shared" si="89"/>
        <v>35.917808219999998</v>
      </c>
      <c r="F2626" s="51">
        <f t="shared" si="89"/>
        <v>4.6320944700000002</v>
      </c>
      <c r="H2626" s="33"/>
      <c r="I2626" s="33"/>
      <c r="J2626" s="33"/>
      <c r="K2626" s="33"/>
      <c r="L2626" s="33"/>
      <c r="M2626" s="33"/>
      <c r="N2626" s="33"/>
      <c r="O2626" s="33"/>
      <c r="P2626" s="33"/>
      <c r="Q2626" s="33"/>
      <c r="R2626" s="33"/>
      <c r="S2626" s="33"/>
      <c r="T2626" s="33"/>
      <c r="U2626" s="33"/>
      <c r="V2626" s="33"/>
      <c r="W2626" s="33"/>
      <c r="X2626" s="33"/>
      <c r="Y2626" s="33"/>
      <c r="Z2626" s="33"/>
      <c r="AA2626" s="33"/>
      <c r="AB2626" s="33"/>
    </row>
    <row r="2627" spans="1:28" x14ac:dyDescent="0.15">
      <c r="A2627" s="46" t="s">
        <v>5305</v>
      </c>
      <c r="B2627" s="52" t="s">
        <v>7361</v>
      </c>
      <c r="C2627" s="53" t="s">
        <v>5306</v>
      </c>
      <c r="D2627" s="54" t="s">
        <v>10069</v>
      </c>
      <c r="E2627" s="50">
        <f t="shared" si="89"/>
        <v>35.931506849999998</v>
      </c>
      <c r="F2627" s="51">
        <f t="shared" si="89"/>
        <v>4.6320895100000001</v>
      </c>
      <c r="H2627" s="33"/>
      <c r="I2627" s="33"/>
      <c r="J2627" s="33"/>
      <c r="K2627" s="33"/>
      <c r="L2627" s="33"/>
      <c r="M2627" s="33"/>
      <c r="N2627" s="33"/>
      <c r="O2627" s="33"/>
      <c r="P2627" s="33"/>
      <c r="Q2627" s="33"/>
      <c r="R2627" s="33"/>
      <c r="S2627" s="33"/>
      <c r="T2627" s="33"/>
      <c r="U2627" s="33"/>
      <c r="V2627" s="33"/>
      <c r="W2627" s="33"/>
      <c r="X2627" s="33"/>
      <c r="Y2627" s="33"/>
      <c r="Z2627" s="33"/>
      <c r="AA2627" s="33"/>
      <c r="AB2627" s="33"/>
    </row>
    <row r="2628" spans="1:28" x14ac:dyDescent="0.15">
      <c r="A2628" s="46" t="s">
        <v>5307</v>
      </c>
      <c r="B2628" s="52" t="s">
        <v>7361</v>
      </c>
      <c r="C2628" s="53" t="s">
        <v>5308</v>
      </c>
      <c r="D2628" s="54" t="s">
        <v>10070</v>
      </c>
      <c r="E2628" s="50">
        <f t="shared" si="89"/>
        <v>35.945205479999998</v>
      </c>
      <c r="F2628" s="51">
        <f t="shared" si="89"/>
        <v>4.6320846800000002</v>
      </c>
      <c r="H2628" s="33"/>
      <c r="I2628" s="33"/>
      <c r="J2628" s="33"/>
      <c r="K2628" s="33"/>
      <c r="L2628" s="33"/>
      <c r="M2628" s="33"/>
      <c r="N2628" s="33"/>
      <c r="O2628" s="33"/>
      <c r="P2628" s="33"/>
      <c r="Q2628" s="33"/>
      <c r="R2628" s="33"/>
      <c r="S2628" s="33"/>
      <c r="T2628" s="33"/>
      <c r="U2628" s="33"/>
      <c r="V2628" s="33"/>
      <c r="W2628" s="33"/>
      <c r="X2628" s="33"/>
      <c r="Y2628" s="33"/>
      <c r="Z2628" s="33"/>
      <c r="AA2628" s="33"/>
      <c r="AB2628" s="33"/>
    </row>
    <row r="2629" spans="1:28" x14ac:dyDescent="0.15">
      <c r="A2629" s="46" t="s">
        <v>5309</v>
      </c>
      <c r="B2629" s="52" t="s">
        <v>7361</v>
      </c>
      <c r="C2629" s="53" t="s">
        <v>5310</v>
      </c>
      <c r="D2629" s="54" t="s">
        <v>10071</v>
      </c>
      <c r="E2629" s="50">
        <f t="shared" si="89"/>
        <v>35.958904109999999</v>
      </c>
      <c r="F2629" s="51">
        <f t="shared" si="89"/>
        <v>4.6320800000000002</v>
      </c>
      <c r="H2629" s="33"/>
      <c r="I2629" s="33"/>
      <c r="J2629" s="33"/>
      <c r="K2629" s="33"/>
      <c r="L2629" s="33"/>
      <c r="M2629" s="33"/>
      <c r="N2629" s="33"/>
      <c r="O2629" s="33"/>
      <c r="P2629" s="33"/>
      <c r="Q2629" s="33"/>
      <c r="R2629" s="33"/>
      <c r="S2629" s="33"/>
      <c r="T2629" s="33"/>
      <c r="U2629" s="33"/>
      <c r="V2629" s="33"/>
      <c r="W2629" s="33"/>
      <c r="X2629" s="33"/>
      <c r="Y2629" s="33"/>
      <c r="Z2629" s="33"/>
      <c r="AA2629" s="33"/>
      <c r="AB2629" s="33"/>
    </row>
    <row r="2630" spans="1:28" x14ac:dyDescent="0.15">
      <c r="A2630" s="46" t="s">
        <v>5311</v>
      </c>
      <c r="B2630" s="52" t="s">
        <v>7361</v>
      </c>
      <c r="C2630" s="53" t="s">
        <v>5312</v>
      </c>
      <c r="D2630" s="54" t="s">
        <v>10072</v>
      </c>
      <c r="E2630" s="50">
        <f t="shared" si="89"/>
        <v>35.972602739999999</v>
      </c>
      <c r="F2630" s="51">
        <f t="shared" si="89"/>
        <v>4.6320754800000001</v>
      </c>
      <c r="H2630" s="33"/>
      <c r="I2630" s="33"/>
      <c r="J2630" s="33"/>
      <c r="K2630" s="33"/>
      <c r="L2630" s="33"/>
      <c r="M2630" s="33"/>
      <c r="N2630" s="33"/>
      <c r="O2630" s="33"/>
      <c r="P2630" s="33"/>
      <c r="Q2630" s="33"/>
      <c r="R2630" s="33"/>
      <c r="S2630" s="33"/>
      <c r="T2630" s="33"/>
      <c r="U2630" s="33"/>
      <c r="V2630" s="33"/>
      <c r="W2630" s="33"/>
      <c r="X2630" s="33"/>
      <c r="Y2630" s="33"/>
      <c r="Z2630" s="33"/>
      <c r="AA2630" s="33"/>
      <c r="AB2630" s="33"/>
    </row>
    <row r="2631" spans="1:28" x14ac:dyDescent="0.15">
      <c r="A2631" s="46" t="s">
        <v>5313</v>
      </c>
      <c r="B2631" s="52" t="s">
        <v>7361</v>
      </c>
      <c r="C2631" s="53" t="s">
        <v>5314</v>
      </c>
      <c r="D2631" s="54" t="s">
        <v>10073</v>
      </c>
      <c r="E2631" s="50">
        <f t="shared" si="89"/>
        <v>35.98630137</v>
      </c>
      <c r="F2631" s="51">
        <f t="shared" si="89"/>
        <v>4.6320711499999998</v>
      </c>
      <c r="H2631" s="33"/>
      <c r="I2631" s="33"/>
      <c r="J2631" s="33"/>
      <c r="K2631" s="33"/>
      <c r="L2631" s="33"/>
      <c r="M2631" s="33"/>
      <c r="N2631" s="33"/>
      <c r="O2631" s="33"/>
      <c r="P2631" s="33"/>
      <c r="Q2631" s="33"/>
      <c r="R2631" s="33"/>
      <c r="S2631" s="33"/>
      <c r="T2631" s="33"/>
      <c r="U2631" s="33"/>
      <c r="V2631" s="33"/>
      <c r="W2631" s="33"/>
      <c r="X2631" s="33"/>
      <c r="Y2631" s="33"/>
      <c r="Z2631" s="33"/>
      <c r="AA2631" s="33"/>
      <c r="AB2631" s="33"/>
    </row>
    <row r="2632" spans="1:28" x14ac:dyDescent="0.15">
      <c r="A2632" s="46" t="s">
        <v>5315</v>
      </c>
      <c r="B2632" s="52" t="s">
        <v>7361</v>
      </c>
      <c r="C2632" s="53" t="s">
        <v>5316</v>
      </c>
      <c r="D2632" s="54" t="s">
        <v>10074</v>
      </c>
      <c r="E2632" s="50">
        <f t="shared" si="89"/>
        <v>36</v>
      </c>
      <c r="F2632" s="51">
        <f t="shared" si="89"/>
        <v>4.63206702</v>
      </c>
      <c r="H2632" s="33"/>
      <c r="I2632" s="33"/>
      <c r="J2632" s="33"/>
      <c r="K2632" s="33"/>
      <c r="L2632" s="33"/>
      <c r="M2632" s="33"/>
      <c r="N2632" s="33"/>
      <c r="O2632" s="33"/>
      <c r="P2632" s="33"/>
      <c r="Q2632" s="33"/>
      <c r="R2632" s="33"/>
      <c r="S2632" s="33"/>
      <c r="T2632" s="33"/>
      <c r="U2632" s="33"/>
      <c r="V2632" s="33"/>
      <c r="W2632" s="33"/>
      <c r="X2632" s="33"/>
      <c r="Y2632" s="33"/>
      <c r="Z2632" s="33"/>
      <c r="AA2632" s="33"/>
      <c r="AB2632" s="33"/>
    </row>
    <row r="2633" spans="1:28" x14ac:dyDescent="0.15">
      <c r="A2633" s="46" t="s">
        <v>5317</v>
      </c>
      <c r="B2633" s="52" t="s">
        <v>7361</v>
      </c>
      <c r="C2633" s="53" t="s">
        <v>5318</v>
      </c>
      <c r="D2633" s="54" t="s">
        <v>10075</v>
      </c>
      <c r="E2633" s="50">
        <f t="shared" si="89"/>
        <v>36.01369863</v>
      </c>
      <c r="F2633" s="51">
        <f t="shared" si="89"/>
        <v>4.6320626499999999</v>
      </c>
      <c r="H2633" s="33"/>
      <c r="I2633" s="33"/>
      <c r="J2633" s="33"/>
      <c r="K2633" s="33"/>
      <c r="L2633" s="33"/>
      <c r="M2633" s="33"/>
      <c r="N2633" s="33"/>
      <c r="O2633" s="33"/>
      <c r="P2633" s="33"/>
      <c r="Q2633" s="33"/>
      <c r="R2633" s="33"/>
      <c r="S2633" s="33"/>
      <c r="T2633" s="33"/>
      <c r="U2633" s="33"/>
      <c r="V2633" s="33"/>
      <c r="W2633" s="33"/>
      <c r="X2633" s="33"/>
      <c r="Y2633" s="33"/>
      <c r="Z2633" s="33"/>
      <c r="AA2633" s="33"/>
      <c r="AB2633" s="33"/>
    </row>
    <row r="2634" spans="1:28" x14ac:dyDescent="0.15">
      <c r="A2634" s="46" t="s">
        <v>5319</v>
      </c>
      <c r="B2634" s="52" t="s">
        <v>7361</v>
      </c>
      <c r="C2634" s="53" t="s">
        <v>5320</v>
      </c>
      <c r="D2634" s="54" t="s">
        <v>10076</v>
      </c>
      <c r="E2634" s="50">
        <f t="shared" si="89"/>
        <v>36.027397260000001</v>
      </c>
      <c r="F2634" s="51">
        <f t="shared" si="89"/>
        <v>4.6320576200000003</v>
      </c>
      <c r="H2634" s="33"/>
      <c r="I2634" s="33"/>
      <c r="J2634" s="33"/>
      <c r="K2634" s="33"/>
      <c r="L2634" s="33"/>
      <c r="M2634" s="33"/>
      <c r="N2634" s="33"/>
      <c r="O2634" s="33"/>
      <c r="P2634" s="33"/>
      <c r="Q2634" s="33"/>
      <c r="R2634" s="33"/>
      <c r="S2634" s="33"/>
      <c r="T2634" s="33"/>
      <c r="U2634" s="33"/>
      <c r="V2634" s="33"/>
      <c r="W2634" s="33"/>
      <c r="X2634" s="33"/>
      <c r="Y2634" s="33"/>
      <c r="Z2634" s="33"/>
      <c r="AA2634" s="33"/>
      <c r="AB2634" s="33"/>
    </row>
    <row r="2635" spans="1:28" x14ac:dyDescent="0.15">
      <c r="A2635" s="46" t="s">
        <v>5321</v>
      </c>
      <c r="B2635" s="52" t="s">
        <v>7361</v>
      </c>
      <c r="C2635" s="53" t="s">
        <v>5322</v>
      </c>
      <c r="D2635" s="54" t="s">
        <v>10077</v>
      </c>
      <c r="E2635" s="50">
        <f t="shared" si="89"/>
        <v>36.041095890000001</v>
      </c>
      <c r="F2635" s="51">
        <f t="shared" si="89"/>
        <v>4.6320519400000002</v>
      </c>
      <c r="H2635" s="33"/>
      <c r="I2635" s="33"/>
      <c r="J2635" s="33"/>
      <c r="K2635" s="33"/>
      <c r="L2635" s="33"/>
      <c r="M2635" s="33"/>
      <c r="N2635" s="33"/>
      <c r="O2635" s="33"/>
      <c r="P2635" s="33"/>
      <c r="Q2635" s="33"/>
      <c r="R2635" s="33"/>
      <c r="S2635" s="33"/>
      <c r="T2635" s="33"/>
      <c r="U2635" s="33"/>
      <c r="V2635" s="33"/>
      <c r="W2635" s="33"/>
      <c r="X2635" s="33"/>
      <c r="Y2635" s="33"/>
      <c r="Z2635" s="33"/>
      <c r="AA2635" s="33"/>
      <c r="AB2635" s="33"/>
    </row>
    <row r="2636" spans="1:28" x14ac:dyDescent="0.15">
      <c r="A2636" s="46" t="s">
        <v>5323</v>
      </c>
      <c r="B2636" s="52" t="s">
        <v>7361</v>
      </c>
      <c r="C2636" s="53" t="s">
        <v>5324</v>
      </c>
      <c r="D2636" s="54" t="s">
        <v>10078</v>
      </c>
      <c r="E2636" s="50">
        <f t="shared" si="89"/>
        <v>36.054794520000002</v>
      </c>
      <c r="F2636" s="51">
        <f t="shared" si="89"/>
        <v>4.6320456500000002</v>
      </c>
      <c r="H2636" s="33"/>
      <c r="I2636" s="33"/>
      <c r="J2636" s="33"/>
      <c r="K2636" s="33"/>
      <c r="L2636" s="33"/>
      <c r="M2636" s="33"/>
      <c r="N2636" s="33"/>
      <c r="O2636" s="33"/>
      <c r="P2636" s="33"/>
      <c r="Q2636" s="33"/>
      <c r="R2636" s="33"/>
      <c r="S2636" s="33"/>
      <c r="T2636" s="33"/>
      <c r="U2636" s="33"/>
      <c r="V2636" s="33"/>
      <c r="W2636" s="33"/>
      <c r="X2636" s="33"/>
      <c r="Y2636" s="33"/>
      <c r="Z2636" s="33"/>
      <c r="AA2636" s="33"/>
      <c r="AB2636" s="33"/>
    </row>
    <row r="2637" spans="1:28" x14ac:dyDescent="0.15">
      <c r="A2637" s="46" t="s">
        <v>5325</v>
      </c>
      <c r="B2637" s="52" t="s">
        <v>7361</v>
      </c>
      <c r="C2637" s="53" t="s">
        <v>5326</v>
      </c>
      <c r="D2637" s="54" t="s">
        <v>10079</v>
      </c>
      <c r="E2637" s="50">
        <f t="shared" si="89"/>
        <v>36.068493150000002</v>
      </c>
      <c r="F2637" s="51">
        <f t="shared" si="89"/>
        <v>4.6320387800000002</v>
      </c>
      <c r="H2637" s="33"/>
      <c r="I2637" s="33"/>
      <c r="J2637" s="33"/>
      <c r="K2637" s="33"/>
      <c r="L2637" s="33"/>
      <c r="M2637" s="33"/>
      <c r="N2637" s="33"/>
      <c r="O2637" s="33"/>
      <c r="P2637" s="33"/>
      <c r="Q2637" s="33"/>
      <c r="R2637" s="33"/>
      <c r="S2637" s="33"/>
      <c r="T2637" s="33"/>
      <c r="U2637" s="33"/>
      <c r="V2637" s="33"/>
      <c r="W2637" s="33"/>
      <c r="X2637" s="33"/>
      <c r="Y2637" s="33"/>
      <c r="Z2637" s="33"/>
      <c r="AA2637" s="33"/>
      <c r="AB2637" s="33"/>
    </row>
    <row r="2638" spans="1:28" x14ac:dyDescent="0.15">
      <c r="A2638" s="46" t="s">
        <v>5327</v>
      </c>
      <c r="B2638" s="52" t="s">
        <v>7361</v>
      </c>
      <c r="C2638" s="53" t="s">
        <v>5328</v>
      </c>
      <c r="D2638" s="54" t="s">
        <v>10080</v>
      </c>
      <c r="E2638" s="50">
        <f t="shared" ref="E2638:F2668" si="90">VALUE(C2638)</f>
        <v>36.082191780000002</v>
      </c>
      <c r="F2638" s="51">
        <f t="shared" si="90"/>
        <v>4.6320313500000001</v>
      </c>
      <c r="H2638" s="33"/>
      <c r="I2638" s="33"/>
      <c r="J2638" s="33"/>
      <c r="K2638" s="33"/>
      <c r="L2638" s="33"/>
      <c r="M2638" s="33"/>
      <c r="N2638" s="33"/>
      <c r="O2638" s="33"/>
      <c r="P2638" s="33"/>
      <c r="Q2638" s="33"/>
      <c r="R2638" s="33"/>
      <c r="S2638" s="33"/>
      <c r="T2638" s="33"/>
      <c r="U2638" s="33"/>
      <c r="V2638" s="33"/>
      <c r="W2638" s="33"/>
      <c r="X2638" s="33"/>
      <c r="Y2638" s="33"/>
      <c r="Z2638" s="33"/>
      <c r="AA2638" s="33"/>
      <c r="AB2638" s="33"/>
    </row>
    <row r="2639" spans="1:28" x14ac:dyDescent="0.15">
      <c r="A2639" s="46" t="s">
        <v>5329</v>
      </c>
      <c r="B2639" s="52" t="s">
        <v>7361</v>
      </c>
      <c r="C2639" s="53" t="s">
        <v>5330</v>
      </c>
      <c r="D2639" s="54" t="s">
        <v>10081</v>
      </c>
      <c r="E2639" s="50">
        <f t="shared" si="90"/>
        <v>36.095890410000003</v>
      </c>
      <c r="F2639" s="51">
        <f t="shared" si="90"/>
        <v>4.6320233899999996</v>
      </c>
      <c r="H2639" s="33"/>
      <c r="I2639" s="33"/>
      <c r="J2639" s="33"/>
      <c r="K2639" s="33"/>
      <c r="L2639" s="33"/>
      <c r="M2639" s="33"/>
      <c r="N2639" s="33"/>
      <c r="O2639" s="33"/>
      <c r="P2639" s="33"/>
      <c r="Q2639" s="33"/>
      <c r="R2639" s="33"/>
      <c r="S2639" s="33"/>
      <c r="T2639" s="33"/>
      <c r="U2639" s="33"/>
      <c r="V2639" s="33"/>
      <c r="W2639" s="33"/>
      <c r="X2639" s="33"/>
      <c r="Y2639" s="33"/>
      <c r="Z2639" s="33"/>
      <c r="AA2639" s="33"/>
      <c r="AB2639" s="33"/>
    </row>
    <row r="2640" spans="1:28" x14ac:dyDescent="0.15">
      <c r="A2640" s="46" t="s">
        <v>5331</v>
      </c>
      <c r="B2640" s="52" t="s">
        <v>7361</v>
      </c>
      <c r="C2640" s="53" t="s">
        <v>5332</v>
      </c>
      <c r="D2640" s="54" t="s">
        <v>10082</v>
      </c>
      <c r="E2640" s="50">
        <f t="shared" si="90"/>
        <v>36.109589040000003</v>
      </c>
      <c r="F2640" s="51">
        <f t="shared" si="90"/>
        <v>4.6320149400000004</v>
      </c>
      <c r="H2640" s="33"/>
      <c r="I2640" s="33"/>
      <c r="J2640" s="33"/>
      <c r="K2640" s="33"/>
      <c r="L2640" s="33"/>
      <c r="M2640" s="33"/>
      <c r="N2640" s="33"/>
      <c r="O2640" s="33"/>
      <c r="P2640" s="33"/>
      <c r="Q2640" s="33"/>
      <c r="R2640" s="33"/>
      <c r="S2640" s="33"/>
      <c r="T2640" s="33"/>
      <c r="U2640" s="33"/>
      <c r="V2640" s="33"/>
      <c r="W2640" s="33"/>
      <c r="X2640" s="33"/>
      <c r="Y2640" s="33"/>
      <c r="Z2640" s="33"/>
      <c r="AA2640" s="33"/>
      <c r="AB2640" s="33"/>
    </row>
    <row r="2641" spans="1:28" x14ac:dyDescent="0.15">
      <c r="A2641" s="46" t="s">
        <v>5333</v>
      </c>
      <c r="B2641" s="52" t="s">
        <v>7361</v>
      </c>
      <c r="C2641" s="53" t="s">
        <v>5334</v>
      </c>
      <c r="D2641" s="54" t="s">
        <v>10083</v>
      </c>
      <c r="E2641" s="50">
        <f t="shared" si="90"/>
        <v>36.123287670000003</v>
      </c>
      <c r="F2641" s="51">
        <f t="shared" si="90"/>
        <v>4.6320060200000004</v>
      </c>
      <c r="H2641" s="33"/>
      <c r="I2641" s="33"/>
      <c r="J2641" s="33"/>
      <c r="K2641" s="33"/>
      <c r="L2641" s="33"/>
      <c r="M2641" s="33"/>
      <c r="N2641" s="33"/>
      <c r="O2641" s="33"/>
      <c r="P2641" s="33"/>
      <c r="Q2641" s="33"/>
      <c r="R2641" s="33"/>
      <c r="S2641" s="33"/>
      <c r="T2641" s="33"/>
      <c r="U2641" s="33"/>
      <c r="V2641" s="33"/>
      <c r="W2641" s="33"/>
      <c r="X2641" s="33"/>
      <c r="Y2641" s="33"/>
      <c r="Z2641" s="33"/>
      <c r="AA2641" s="33"/>
      <c r="AB2641" s="33"/>
    </row>
    <row r="2642" spans="1:28" x14ac:dyDescent="0.15">
      <c r="A2642" s="46" t="s">
        <v>5335</v>
      </c>
      <c r="B2642" s="52" t="s">
        <v>7361</v>
      </c>
      <c r="C2642" s="53" t="s">
        <v>5336</v>
      </c>
      <c r="D2642" s="54" t="s">
        <v>10084</v>
      </c>
      <c r="E2642" s="50">
        <f t="shared" si="90"/>
        <v>36.136986299999997</v>
      </c>
      <c r="F2642" s="51">
        <f t="shared" si="90"/>
        <v>4.6319966499999996</v>
      </c>
      <c r="H2642" s="33"/>
      <c r="I2642" s="33"/>
      <c r="J2642" s="33"/>
      <c r="K2642" s="33"/>
      <c r="L2642" s="33"/>
      <c r="M2642" s="33"/>
      <c r="N2642" s="33"/>
      <c r="O2642" s="33"/>
      <c r="P2642" s="33"/>
      <c r="Q2642" s="33"/>
      <c r="R2642" s="33"/>
      <c r="S2642" s="33"/>
      <c r="T2642" s="33"/>
      <c r="U2642" s="33"/>
      <c r="V2642" s="33"/>
      <c r="W2642" s="33"/>
      <c r="X2642" s="33"/>
      <c r="Y2642" s="33"/>
      <c r="Z2642" s="33"/>
      <c r="AA2642" s="33"/>
      <c r="AB2642" s="33"/>
    </row>
    <row r="2643" spans="1:28" x14ac:dyDescent="0.15">
      <c r="A2643" s="46" t="s">
        <v>5337</v>
      </c>
      <c r="B2643" s="52" t="s">
        <v>7361</v>
      </c>
      <c r="C2643" s="53" t="s">
        <v>5338</v>
      </c>
      <c r="D2643" s="54" t="s">
        <v>10085</v>
      </c>
      <c r="E2643" s="50">
        <f t="shared" si="90"/>
        <v>36.150684929999997</v>
      </c>
      <c r="F2643" s="51">
        <f t="shared" si="90"/>
        <v>4.6319868800000004</v>
      </c>
      <c r="H2643" s="33"/>
      <c r="I2643" s="33"/>
      <c r="J2643" s="33"/>
      <c r="K2643" s="33"/>
      <c r="L2643" s="33"/>
      <c r="M2643" s="33"/>
      <c r="N2643" s="33"/>
      <c r="O2643" s="33"/>
      <c r="P2643" s="33"/>
      <c r="Q2643" s="33"/>
      <c r="R2643" s="33"/>
      <c r="S2643" s="33"/>
      <c r="T2643" s="33"/>
      <c r="U2643" s="33"/>
      <c r="V2643" s="33"/>
      <c r="W2643" s="33"/>
      <c r="X2643" s="33"/>
      <c r="Y2643" s="33"/>
      <c r="Z2643" s="33"/>
      <c r="AA2643" s="33"/>
      <c r="AB2643" s="33"/>
    </row>
    <row r="2644" spans="1:28" x14ac:dyDescent="0.15">
      <c r="A2644" s="46" t="s">
        <v>5339</v>
      </c>
      <c r="B2644" s="52" t="s">
        <v>7361</v>
      </c>
      <c r="C2644" s="53" t="s">
        <v>5340</v>
      </c>
      <c r="D2644" s="54" t="s">
        <v>10086</v>
      </c>
      <c r="E2644" s="50">
        <f t="shared" si="90"/>
        <v>36.164383559999997</v>
      </c>
      <c r="F2644" s="51">
        <f t="shared" si="90"/>
        <v>4.6319767199999999</v>
      </c>
      <c r="H2644" s="33"/>
      <c r="I2644" s="33"/>
      <c r="J2644" s="33"/>
      <c r="K2644" s="33"/>
      <c r="L2644" s="33"/>
      <c r="M2644" s="33"/>
      <c r="N2644" s="33"/>
      <c r="O2644" s="33"/>
      <c r="P2644" s="33"/>
      <c r="Q2644" s="33"/>
      <c r="R2644" s="33"/>
      <c r="S2644" s="33"/>
      <c r="T2644" s="33"/>
      <c r="U2644" s="33"/>
      <c r="V2644" s="33"/>
      <c r="W2644" s="33"/>
      <c r="X2644" s="33"/>
      <c r="Y2644" s="33"/>
      <c r="Z2644" s="33"/>
      <c r="AA2644" s="33"/>
      <c r="AB2644" s="33"/>
    </row>
    <row r="2645" spans="1:28" x14ac:dyDescent="0.15">
      <c r="A2645" s="46" t="s">
        <v>5341</v>
      </c>
      <c r="B2645" s="52" t="s">
        <v>7361</v>
      </c>
      <c r="C2645" s="53" t="s">
        <v>5342</v>
      </c>
      <c r="D2645" s="54" t="s">
        <v>10087</v>
      </c>
      <c r="E2645" s="50">
        <f t="shared" si="90"/>
        <v>36.178082189999998</v>
      </c>
      <c r="F2645" s="51">
        <f t="shared" si="90"/>
        <v>4.6319662099999999</v>
      </c>
      <c r="H2645" s="33"/>
      <c r="I2645" s="33"/>
      <c r="J2645" s="33"/>
      <c r="K2645" s="33"/>
      <c r="L2645" s="33"/>
      <c r="M2645" s="33"/>
      <c r="N2645" s="33"/>
      <c r="O2645" s="33"/>
      <c r="P2645" s="33"/>
      <c r="Q2645" s="33"/>
      <c r="R2645" s="33"/>
      <c r="S2645" s="33"/>
      <c r="T2645" s="33"/>
      <c r="U2645" s="33"/>
      <c r="V2645" s="33"/>
      <c r="W2645" s="33"/>
      <c r="X2645" s="33"/>
      <c r="Y2645" s="33"/>
      <c r="Z2645" s="33"/>
      <c r="AA2645" s="33"/>
      <c r="AB2645" s="33"/>
    </row>
    <row r="2646" spans="1:28" x14ac:dyDescent="0.15">
      <c r="A2646" s="46" t="s">
        <v>5343</v>
      </c>
      <c r="B2646" s="52" t="s">
        <v>7361</v>
      </c>
      <c r="C2646" s="53" t="s">
        <v>5344</v>
      </c>
      <c r="D2646" s="54" t="s">
        <v>10088</v>
      </c>
      <c r="E2646" s="50">
        <f t="shared" si="90"/>
        <v>36.191780819999998</v>
      </c>
      <c r="F2646" s="51">
        <f t="shared" si="90"/>
        <v>4.63195538</v>
      </c>
      <c r="H2646" s="33"/>
      <c r="I2646" s="33"/>
      <c r="J2646" s="33"/>
      <c r="K2646" s="33"/>
      <c r="L2646" s="33"/>
      <c r="M2646" s="33"/>
      <c r="N2646" s="33"/>
      <c r="O2646" s="33"/>
      <c r="P2646" s="33"/>
      <c r="Q2646" s="33"/>
      <c r="R2646" s="33"/>
      <c r="S2646" s="33"/>
      <c r="T2646" s="33"/>
      <c r="U2646" s="33"/>
      <c r="V2646" s="33"/>
      <c r="W2646" s="33"/>
      <c r="X2646" s="33"/>
      <c r="Y2646" s="33"/>
      <c r="Z2646" s="33"/>
      <c r="AA2646" s="33"/>
      <c r="AB2646" s="33"/>
    </row>
    <row r="2647" spans="1:28" x14ac:dyDescent="0.15">
      <c r="A2647" s="46" t="s">
        <v>5345</v>
      </c>
      <c r="B2647" s="52" t="s">
        <v>7361</v>
      </c>
      <c r="C2647" s="53" t="s">
        <v>5346</v>
      </c>
      <c r="D2647" s="54" t="s">
        <v>10089</v>
      </c>
      <c r="E2647" s="50">
        <f t="shared" si="90"/>
        <v>36.205479449999999</v>
      </c>
      <c r="F2647" s="51">
        <f t="shared" si="90"/>
        <v>4.6319442500000001</v>
      </c>
      <c r="H2647" s="33"/>
      <c r="I2647" s="33"/>
      <c r="J2647" s="33"/>
      <c r="K2647" s="33"/>
      <c r="L2647" s="33"/>
      <c r="M2647" s="33"/>
      <c r="N2647" s="33"/>
      <c r="O2647" s="33"/>
      <c r="P2647" s="33"/>
      <c r="Q2647" s="33"/>
      <c r="R2647" s="33"/>
      <c r="S2647" s="33"/>
      <c r="T2647" s="33"/>
      <c r="U2647" s="33"/>
      <c r="V2647" s="33"/>
      <c r="W2647" s="33"/>
      <c r="X2647" s="33"/>
      <c r="Y2647" s="33"/>
      <c r="Z2647" s="33"/>
      <c r="AA2647" s="33"/>
      <c r="AB2647" s="33"/>
    </row>
    <row r="2648" spans="1:28" x14ac:dyDescent="0.15">
      <c r="A2648" s="46" t="s">
        <v>5347</v>
      </c>
      <c r="B2648" s="52" t="s">
        <v>7361</v>
      </c>
      <c r="C2648" s="53" t="s">
        <v>5348</v>
      </c>
      <c r="D2648" s="54" t="s">
        <v>10090</v>
      </c>
      <c r="E2648" s="50">
        <f t="shared" si="90"/>
        <v>36.219178079999999</v>
      </c>
      <c r="F2648" s="51">
        <f t="shared" si="90"/>
        <v>4.6319328500000001</v>
      </c>
      <c r="H2648" s="33"/>
      <c r="I2648" s="33"/>
      <c r="J2648" s="33"/>
      <c r="K2648" s="33"/>
      <c r="L2648" s="33"/>
      <c r="M2648" s="33"/>
      <c r="N2648" s="33"/>
      <c r="O2648" s="33"/>
      <c r="P2648" s="33"/>
      <c r="Q2648" s="33"/>
      <c r="R2648" s="33"/>
      <c r="S2648" s="33"/>
      <c r="T2648" s="33"/>
      <c r="U2648" s="33"/>
      <c r="V2648" s="33"/>
      <c r="W2648" s="33"/>
      <c r="X2648" s="33"/>
      <c r="Y2648" s="33"/>
      <c r="Z2648" s="33"/>
      <c r="AA2648" s="33"/>
      <c r="AB2648" s="33"/>
    </row>
    <row r="2649" spans="1:28" x14ac:dyDescent="0.15">
      <c r="A2649" s="46" t="s">
        <v>5349</v>
      </c>
      <c r="B2649" s="52" t="s">
        <v>7361</v>
      </c>
      <c r="C2649" s="53" t="s">
        <v>5350</v>
      </c>
      <c r="D2649" s="54" t="s">
        <v>10091</v>
      </c>
      <c r="E2649" s="50">
        <f t="shared" si="90"/>
        <v>36.232876709999999</v>
      </c>
      <c r="F2649" s="51">
        <f t="shared" si="90"/>
        <v>4.6319212099999998</v>
      </c>
      <c r="H2649" s="33"/>
      <c r="I2649" s="33"/>
      <c r="J2649" s="33"/>
      <c r="K2649" s="33"/>
      <c r="L2649" s="33"/>
      <c r="M2649" s="33"/>
      <c r="N2649" s="33"/>
      <c r="O2649" s="33"/>
      <c r="P2649" s="33"/>
      <c r="Q2649" s="33"/>
      <c r="R2649" s="33"/>
      <c r="S2649" s="33"/>
      <c r="T2649" s="33"/>
      <c r="U2649" s="33"/>
      <c r="V2649" s="33"/>
      <c r="W2649" s="33"/>
      <c r="X2649" s="33"/>
      <c r="Y2649" s="33"/>
      <c r="Z2649" s="33"/>
      <c r="AA2649" s="33"/>
      <c r="AB2649" s="33"/>
    </row>
    <row r="2650" spans="1:28" x14ac:dyDescent="0.15">
      <c r="A2650" s="46" t="s">
        <v>5351</v>
      </c>
      <c r="B2650" s="52" t="s">
        <v>7361</v>
      </c>
      <c r="C2650" s="53" t="s">
        <v>5352</v>
      </c>
      <c r="D2650" s="54" t="s">
        <v>10092</v>
      </c>
      <c r="E2650" s="50">
        <f t="shared" si="90"/>
        <v>36.24657534</v>
      </c>
      <c r="F2650" s="51">
        <f t="shared" si="90"/>
        <v>4.6319093599999999</v>
      </c>
      <c r="H2650" s="33"/>
      <c r="I2650" s="33"/>
      <c r="J2650" s="33"/>
      <c r="K2650" s="33"/>
      <c r="L2650" s="33"/>
      <c r="M2650" s="33"/>
      <c r="N2650" s="33"/>
      <c r="O2650" s="33"/>
      <c r="P2650" s="33"/>
      <c r="Q2650" s="33"/>
      <c r="R2650" s="33"/>
      <c r="S2650" s="33"/>
      <c r="T2650" s="33"/>
      <c r="U2650" s="33"/>
      <c r="V2650" s="33"/>
      <c r="W2650" s="33"/>
      <c r="X2650" s="33"/>
      <c r="Y2650" s="33"/>
      <c r="Z2650" s="33"/>
      <c r="AA2650" s="33"/>
      <c r="AB2650" s="33"/>
    </row>
    <row r="2651" spans="1:28" x14ac:dyDescent="0.15">
      <c r="A2651" s="46" t="s">
        <v>5353</v>
      </c>
      <c r="B2651" s="52" t="s">
        <v>7361</v>
      </c>
      <c r="C2651" s="53" t="s">
        <v>5354</v>
      </c>
      <c r="D2651" s="54" t="s">
        <v>10093</v>
      </c>
      <c r="E2651" s="50">
        <f t="shared" si="90"/>
        <v>36.26027397</v>
      </c>
      <c r="F2651" s="51">
        <f t="shared" si="90"/>
        <v>4.6318973200000002</v>
      </c>
      <c r="H2651" s="33"/>
      <c r="I2651" s="33"/>
      <c r="J2651" s="33"/>
      <c r="K2651" s="33"/>
      <c r="L2651" s="33"/>
      <c r="M2651" s="33"/>
      <c r="N2651" s="33"/>
      <c r="O2651" s="33"/>
      <c r="P2651" s="33"/>
      <c r="Q2651" s="33"/>
      <c r="R2651" s="33"/>
      <c r="S2651" s="33"/>
      <c r="T2651" s="33"/>
      <c r="U2651" s="33"/>
      <c r="V2651" s="33"/>
      <c r="W2651" s="33"/>
      <c r="X2651" s="33"/>
      <c r="Y2651" s="33"/>
      <c r="Z2651" s="33"/>
      <c r="AA2651" s="33"/>
      <c r="AB2651" s="33"/>
    </row>
    <row r="2652" spans="1:28" x14ac:dyDescent="0.15">
      <c r="A2652" s="46" t="s">
        <v>5355</v>
      </c>
      <c r="B2652" s="52" t="s">
        <v>7361</v>
      </c>
      <c r="C2652" s="53" t="s">
        <v>5356</v>
      </c>
      <c r="D2652" s="54" t="s">
        <v>10094</v>
      </c>
      <c r="E2652" s="50">
        <f t="shared" si="90"/>
        <v>36.2739726</v>
      </c>
      <c r="F2652" s="51">
        <f t="shared" si="90"/>
        <v>4.6318851399999996</v>
      </c>
      <c r="H2652" s="33"/>
      <c r="I2652" s="33"/>
      <c r="J2652" s="33"/>
      <c r="K2652" s="33"/>
      <c r="L2652" s="33"/>
      <c r="M2652" s="33"/>
      <c r="N2652" s="33"/>
      <c r="O2652" s="33"/>
      <c r="P2652" s="33"/>
      <c r="Q2652" s="33"/>
      <c r="R2652" s="33"/>
      <c r="S2652" s="33"/>
      <c r="T2652" s="33"/>
      <c r="U2652" s="33"/>
      <c r="V2652" s="33"/>
      <c r="W2652" s="33"/>
      <c r="X2652" s="33"/>
      <c r="Y2652" s="33"/>
      <c r="Z2652" s="33"/>
      <c r="AA2652" s="33"/>
      <c r="AB2652" s="33"/>
    </row>
    <row r="2653" spans="1:28" x14ac:dyDescent="0.15">
      <c r="A2653" s="46" t="s">
        <v>5357</v>
      </c>
      <c r="B2653" s="52" t="s">
        <v>7361</v>
      </c>
      <c r="C2653" s="53" t="s">
        <v>5358</v>
      </c>
      <c r="D2653" s="54" t="s">
        <v>10095</v>
      </c>
      <c r="E2653" s="50">
        <f t="shared" si="90"/>
        <v>36.287671230000001</v>
      </c>
      <c r="F2653" s="51">
        <f t="shared" si="90"/>
        <v>4.6318728299999998</v>
      </c>
      <c r="H2653" s="33"/>
      <c r="I2653" s="33"/>
      <c r="J2653" s="33"/>
      <c r="K2653" s="33"/>
      <c r="L2653" s="33"/>
      <c r="M2653" s="33"/>
      <c r="N2653" s="33"/>
      <c r="O2653" s="33"/>
      <c r="P2653" s="33"/>
      <c r="Q2653" s="33"/>
      <c r="R2653" s="33"/>
      <c r="S2653" s="33"/>
      <c r="T2653" s="33"/>
      <c r="U2653" s="33"/>
      <c r="V2653" s="33"/>
      <c r="W2653" s="33"/>
      <c r="X2653" s="33"/>
      <c r="Y2653" s="33"/>
      <c r="Z2653" s="33"/>
      <c r="AA2653" s="33"/>
      <c r="AB2653" s="33"/>
    </row>
    <row r="2654" spans="1:28" x14ac:dyDescent="0.15">
      <c r="A2654" s="46" t="s">
        <v>5359</v>
      </c>
      <c r="B2654" s="52" t="s">
        <v>7361</v>
      </c>
      <c r="C2654" s="53" t="s">
        <v>5360</v>
      </c>
      <c r="D2654" s="54" t="s">
        <v>10096</v>
      </c>
      <c r="E2654" s="50">
        <f t="shared" si="90"/>
        <v>36.301369860000001</v>
      </c>
      <c r="F2654" s="51">
        <f t="shared" si="90"/>
        <v>4.6318604199999998</v>
      </c>
      <c r="H2654" s="33"/>
      <c r="I2654" s="33"/>
      <c r="J2654" s="33"/>
      <c r="K2654" s="33"/>
      <c r="L2654" s="33"/>
      <c r="M2654" s="33"/>
      <c r="N2654" s="33"/>
      <c r="O2654" s="33"/>
      <c r="P2654" s="33"/>
      <c r="Q2654" s="33"/>
      <c r="R2654" s="33"/>
      <c r="S2654" s="33"/>
      <c r="T2654" s="33"/>
      <c r="U2654" s="33"/>
      <c r="V2654" s="33"/>
      <c r="W2654" s="33"/>
      <c r="X2654" s="33"/>
      <c r="Y2654" s="33"/>
      <c r="Z2654" s="33"/>
      <c r="AA2654" s="33"/>
      <c r="AB2654" s="33"/>
    </row>
    <row r="2655" spans="1:28" x14ac:dyDescent="0.15">
      <c r="A2655" s="46" t="s">
        <v>5361</v>
      </c>
      <c r="B2655" s="52" t="s">
        <v>7361</v>
      </c>
      <c r="C2655" s="53" t="s">
        <v>5362</v>
      </c>
      <c r="D2655" s="54" t="s">
        <v>10097</v>
      </c>
      <c r="E2655" s="50">
        <f t="shared" si="90"/>
        <v>36.315068490000002</v>
      </c>
      <c r="F2655" s="51">
        <f t="shared" si="90"/>
        <v>4.63184795</v>
      </c>
      <c r="H2655" s="33"/>
      <c r="I2655" s="33"/>
      <c r="J2655" s="33"/>
      <c r="K2655" s="33"/>
      <c r="L2655" s="33"/>
      <c r="M2655" s="33"/>
      <c r="N2655" s="33"/>
      <c r="O2655" s="33"/>
      <c r="P2655" s="33"/>
      <c r="Q2655" s="33"/>
      <c r="R2655" s="33"/>
      <c r="S2655" s="33"/>
      <c r="T2655" s="33"/>
      <c r="U2655" s="33"/>
      <c r="V2655" s="33"/>
      <c r="W2655" s="33"/>
      <c r="X2655" s="33"/>
      <c r="Y2655" s="33"/>
      <c r="Z2655" s="33"/>
      <c r="AA2655" s="33"/>
      <c r="AB2655" s="33"/>
    </row>
    <row r="2656" spans="1:28" x14ac:dyDescent="0.15">
      <c r="A2656" s="46" t="s">
        <v>5363</v>
      </c>
      <c r="B2656" s="52" t="s">
        <v>7361</v>
      </c>
      <c r="C2656" s="53" t="s">
        <v>5364</v>
      </c>
      <c r="D2656" s="54" t="s">
        <v>10098</v>
      </c>
      <c r="E2656" s="50">
        <f t="shared" si="90"/>
        <v>36.328767120000002</v>
      </c>
      <c r="F2656" s="51">
        <f t="shared" si="90"/>
        <v>4.6318354399999997</v>
      </c>
      <c r="H2656" s="33"/>
      <c r="I2656" s="33"/>
      <c r="J2656" s="33"/>
      <c r="K2656" s="33"/>
      <c r="L2656" s="33"/>
      <c r="M2656" s="33"/>
      <c r="N2656" s="33"/>
      <c r="O2656" s="33"/>
      <c r="P2656" s="33"/>
      <c r="Q2656" s="33"/>
      <c r="R2656" s="33"/>
      <c r="S2656" s="33"/>
      <c r="T2656" s="33"/>
      <c r="U2656" s="33"/>
      <c r="V2656" s="33"/>
      <c r="W2656" s="33"/>
      <c r="X2656" s="33"/>
      <c r="Y2656" s="33"/>
      <c r="Z2656" s="33"/>
      <c r="AA2656" s="33"/>
      <c r="AB2656" s="33"/>
    </row>
    <row r="2657" spans="1:28" x14ac:dyDescent="0.15">
      <c r="A2657" s="46" t="s">
        <v>5365</v>
      </c>
      <c r="B2657" s="52" t="s">
        <v>7361</v>
      </c>
      <c r="C2657" s="53" t="s">
        <v>5366</v>
      </c>
      <c r="D2657" s="54" t="s">
        <v>10099</v>
      </c>
      <c r="E2657" s="50">
        <f t="shared" si="90"/>
        <v>36.342465750000002</v>
      </c>
      <c r="F2657" s="51">
        <f t="shared" si="90"/>
        <v>4.6318229200000003</v>
      </c>
      <c r="H2657" s="33"/>
      <c r="I2657" s="33"/>
      <c r="J2657" s="33"/>
      <c r="K2657" s="33"/>
      <c r="L2657" s="33"/>
      <c r="M2657" s="33"/>
      <c r="N2657" s="33"/>
      <c r="O2657" s="33"/>
      <c r="P2657" s="33"/>
      <c r="Q2657" s="33"/>
      <c r="R2657" s="33"/>
      <c r="S2657" s="33"/>
      <c r="T2657" s="33"/>
      <c r="U2657" s="33"/>
      <c r="V2657" s="33"/>
      <c r="W2657" s="33"/>
      <c r="X2657" s="33"/>
      <c r="Y2657" s="33"/>
      <c r="Z2657" s="33"/>
      <c r="AA2657" s="33"/>
      <c r="AB2657" s="33"/>
    </row>
    <row r="2658" spans="1:28" x14ac:dyDescent="0.15">
      <c r="A2658" s="46" t="s">
        <v>5367</v>
      </c>
      <c r="B2658" s="52" t="s">
        <v>7361</v>
      </c>
      <c r="C2658" s="53" t="s">
        <v>5368</v>
      </c>
      <c r="D2658" s="54" t="s">
        <v>10100</v>
      </c>
      <c r="E2658" s="50">
        <f t="shared" si="90"/>
        <v>36.356164380000003</v>
      </c>
      <c r="F2658" s="51">
        <f t="shared" si="90"/>
        <v>4.6318104199999999</v>
      </c>
      <c r="H2658" s="33"/>
      <c r="I2658" s="33"/>
      <c r="J2658" s="33"/>
      <c r="K2658" s="33"/>
      <c r="L2658" s="33"/>
      <c r="M2658" s="33"/>
      <c r="N2658" s="33"/>
      <c r="O2658" s="33"/>
      <c r="P2658" s="33"/>
      <c r="Q2658" s="33"/>
      <c r="R2658" s="33"/>
      <c r="S2658" s="33"/>
      <c r="T2658" s="33"/>
      <c r="U2658" s="33"/>
      <c r="V2658" s="33"/>
      <c r="W2658" s="33"/>
      <c r="X2658" s="33"/>
      <c r="Y2658" s="33"/>
      <c r="Z2658" s="33"/>
      <c r="AA2658" s="33"/>
      <c r="AB2658" s="33"/>
    </row>
    <row r="2659" spans="1:28" x14ac:dyDescent="0.15">
      <c r="A2659" s="46" t="s">
        <v>5369</v>
      </c>
      <c r="B2659" s="52" t="s">
        <v>7361</v>
      </c>
      <c r="C2659" s="53" t="s">
        <v>5370</v>
      </c>
      <c r="D2659" s="54" t="s">
        <v>10101</v>
      </c>
      <c r="E2659" s="50">
        <f t="shared" si="90"/>
        <v>36.369863010000003</v>
      </c>
      <c r="F2659" s="51">
        <f t="shared" si="90"/>
        <v>4.63179797</v>
      </c>
      <c r="H2659" s="33"/>
      <c r="I2659" s="33"/>
      <c r="J2659" s="33"/>
      <c r="K2659" s="33"/>
      <c r="L2659" s="33"/>
      <c r="M2659" s="33"/>
      <c r="N2659" s="33"/>
      <c r="O2659" s="33"/>
      <c r="P2659" s="33"/>
      <c r="Q2659" s="33"/>
      <c r="R2659" s="33"/>
      <c r="S2659" s="33"/>
      <c r="T2659" s="33"/>
      <c r="U2659" s="33"/>
      <c r="V2659" s="33"/>
      <c r="W2659" s="33"/>
      <c r="X2659" s="33"/>
      <c r="Y2659" s="33"/>
      <c r="Z2659" s="33"/>
      <c r="AA2659" s="33"/>
      <c r="AB2659" s="33"/>
    </row>
    <row r="2660" spans="1:28" x14ac:dyDescent="0.15">
      <c r="A2660" s="46" t="s">
        <v>5371</v>
      </c>
      <c r="B2660" s="52" t="s">
        <v>7361</v>
      </c>
      <c r="C2660" s="53" t="s">
        <v>5372</v>
      </c>
      <c r="D2660" s="54" t="s">
        <v>10102</v>
      </c>
      <c r="E2660" s="50">
        <f t="shared" si="90"/>
        <v>36.383561640000003</v>
      </c>
      <c r="F2660" s="51">
        <f t="shared" si="90"/>
        <v>4.6317855899999998</v>
      </c>
      <c r="H2660" s="33"/>
      <c r="I2660" s="33"/>
      <c r="J2660" s="33"/>
      <c r="K2660" s="33"/>
      <c r="L2660" s="33"/>
      <c r="M2660" s="33"/>
      <c r="N2660" s="33"/>
      <c r="O2660" s="33"/>
      <c r="P2660" s="33"/>
      <c r="Q2660" s="33"/>
      <c r="R2660" s="33"/>
      <c r="S2660" s="33"/>
      <c r="T2660" s="33"/>
      <c r="U2660" s="33"/>
      <c r="V2660" s="33"/>
      <c r="W2660" s="33"/>
      <c r="X2660" s="33"/>
      <c r="Y2660" s="33"/>
      <c r="Z2660" s="33"/>
      <c r="AA2660" s="33"/>
      <c r="AB2660" s="33"/>
    </row>
    <row r="2661" spans="1:28" x14ac:dyDescent="0.15">
      <c r="A2661" s="46" t="s">
        <v>5373</v>
      </c>
      <c r="B2661" s="52" t="s">
        <v>7361</v>
      </c>
      <c r="C2661" s="53" t="s">
        <v>5374</v>
      </c>
      <c r="D2661" s="54" t="s">
        <v>10103</v>
      </c>
      <c r="E2661" s="50">
        <f t="shared" si="90"/>
        <v>36.397260269999997</v>
      </c>
      <c r="F2661" s="51">
        <f t="shared" si="90"/>
        <v>4.6317733199999997</v>
      </c>
      <c r="H2661" s="33"/>
      <c r="I2661" s="33"/>
      <c r="J2661" s="33"/>
      <c r="K2661" s="33"/>
      <c r="L2661" s="33"/>
      <c r="M2661" s="33"/>
      <c r="N2661" s="33"/>
      <c r="O2661" s="33"/>
      <c r="P2661" s="33"/>
      <c r="Q2661" s="33"/>
      <c r="R2661" s="33"/>
      <c r="S2661" s="33"/>
      <c r="T2661" s="33"/>
      <c r="U2661" s="33"/>
      <c r="V2661" s="33"/>
      <c r="W2661" s="33"/>
      <c r="X2661" s="33"/>
      <c r="Y2661" s="33"/>
      <c r="Z2661" s="33"/>
      <c r="AA2661" s="33"/>
      <c r="AB2661" s="33"/>
    </row>
    <row r="2662" spans="1:28" x14ac:dyDescent="0.15">
      <c r="A2662" s="46" t="s">
        <v>5375</v>
      </c>
      <c r="B2662" s="52" t="s">
        <v>7361</v>
      </c>
      <c r="C2662" s="53" t="s">
        <v>5376</v>
      </c>
      <c r="D2662" s="54" t="s">
        <v>10104</v>
      </c>
      <c r="E2662" s="50">
        <f t="shared" si="90"/>
        <v>36.410958899999997</v>
      </c>
      <c r="F2662" s="51">
        <f t="shared" si="90"/>
        <v>4.6317611799999998</v>
      </c>
      <c r="H2662" s="33"/>
      <c r="I2662" s="33"/>
      <c r="J2662" s="33"/>
      <c r="K2662" s="33"/>
      <c r="L2662" s="33"/>
      <c r="M2662" s="33"/>
      <c r="N2662" s="33"/>
      <c r="O2662" s="33"/>
      <c r="P2662" s="33"/>
      <c r="Q2662" s="33"/>
      <c r="R2662" s="33"/>
      <c r="S2662" s="33"/>
      <c r="T2662" s="33"/>
      <c r="U2662" s="33"/>
      <c r="V2662" s="33"/>
      <c r="W2662" s="33"/>
      <c r="X2662" s="33"/>
      <c r="Y2662" s="33"/>
      <c r="Z2662" s="33"/>
      <c r="AA2662" s="33"/>
      <c r="AB2662" s="33"/>
    </row>
    <row r="2663" spans="1:28" x14ac:dyDescent="0.15">
      <c r="A2663" s="46" t="s">
        <v>5377</v>
      </c>
      <c r="B2663" s="52" t="s">
        <v>7361</v>
      </c>
      <c r="C2663" s="53" t="s">
        <v>5378</v>
      </c>
      <c r="D2663" s="54" t="s">
        <v>10105</v>
      </c>
      <c r="E2663" s="50">
        <f t="shared" si="90"/>
        <v>36.424657529999998</v>
      </c>
      <c r="F2663" s="51">
        <f t="shared" si="90"/>
        <v>4.6317492099999997</v>
      </c>
      <c r="H2663" s="33"/>
      <c r="I2663" s="33"/>
      <c r="J2663" s="33"/>
      <c r="K2663" s="33"/>
      <c r="L2663" s="33"/>
      <c r="M2663" s="33"/>
      <c r="N2663" s="33"/>
      <c r="O2663" s="33"/>
      <c r="P2663" s="33"/>
      <c r="Q2663" s="33"/>
      <c r="R2663" s="33"/>
      <c r="S2663" s="33"/>
      <c r="T2663" s="33"/>
      <c r="U2663" s="33"/>
      <c r="V2663" s="33"/>
      <c r="W2663" s="33"/>
      <c r="X2663" s="33"/>
      <c r="Y2663" s="33"/>
      <c r="Z2663" s="33"/>
      <c r="AA2663" s="33"/>
      <c r="AB2663" s="33"/>
    </row>
    <row r="2664" spans="1:28" x14ac:dyDescent="0.15">
      <c r="A2664" s="46" t="s">
        <v>5379</v>
      </c>
      <c r="B2664" s="52" t="s">
        <v>7361</v>
      </c>
      <c r="C2664" s="53" t="s">
        <v>5380</v>
      </c>
      <c r="D2664" s="54" t="s">
        <v>10106</v>
      </c>
      <c r="E2664" s="50">
        <f t="shared" si="90"/>
        <v>36.438356159999998</v>
      </c>
      <c r="F2664" s="51">
        <f t="shared" si="90"/>
        <v>4.6317374300000003</v>
      </c>
      <c r="H2664" s="33"/>
      <c r="I2664" s="33"/>
      <c r="J2664" s="33"/>
      <c r="K2664" s="33"/>
      <c r="L2664" s="33"/>
      <c r="M2664" s="33"/>
      <c r="N2664" s="33"/>
      <c r="O2664" s="33"/>
      <c r="P2664" s="33"/>
      <c r="Q2664" s="33"/>
      <c r="R2664" s="33"/>
      <c r="S2664" s="33"/>
      <c r="T2664" s="33"/>
      <c r="U2664" s="33"/>
      <c r="V2664" s="33"/>
      <c r="W2664" s="33"/>
      <c r="X2664" s="33"/>
      <c r="Y2664" s="33"/>
      <c r="Z2664" s="33"/>
      <c r="AA2664" s="33"/>
      <c r="AB2664" s="33"/>
    </row>
    <row r="2665" spans="1:28" x14ac:dyDescent="0.15">
      <c r="A2665" s="46" t="s">
        <v>5381</v>
      </c>
      <c r="B2665" s="52" t="s">
        <v>7361</v>
      </c>
      <c r="C2665" s="53" t="s">
        <v>5382</v>
      </c>
      <c r="D2665" s="54" t="s">
        <v>10107</v>
      </c>
      <c r="E2665" s="50">
        <f t="shared" si="90"/>
        <v>36.452054789999998</v>
      </c>
      <c r="F2665" s="51">
        <f t="shared" si="90"/>
        <v>4.6317258600000004</v>
      </c>
      <c r="H2665" s="33"/>
      <c r="I2665" s="33"/>
      <c r="J2665" s="33"/>
      <c r="K2665" s="33"/>
      <c r="L2665" s="33"/>
      <c r="M2665" s="33"/>
      <c r="N2665" s="33"/>
      <c r="O2665" s="33"/>
      <c r="P2665" s="33"/>
      <c r="Q2665" s="33"/>
      <c r="R2665" s="33"/>
      <c r="S2665" s="33"/>
      <c r="T2665" s="33"/>
      <c r="U2665" s="33"/>
      <c r="V2665" s="33"/>
      <c r="W2665" s="33"/>
      <c r="X2665" s="33"/>
      <c r="Y2665" s="33"/>
      <c r="Z2665" s="33"/>
      <c r="AA2665" s="33"/>
      <c r="AB2665" s="33"/>
    </row>
    <row r="2666" spans="1:28" x14ac:dyDescent="0.15">
      <c r="A2666" s="46" t="s">
        <v>5383</v>
      </c>
      <c r="B2666" s="52" t="s">
        <v>7361</v>
      </c>
      <c r="C2666" s="53" t="s">
        <v>5384</v>
      </c>
      <c r="D2666" s="54" t="s">
        <v>10108</v>
      </c>
      <c r="E2666" s="50">
        <f t="shared" si="90"/>
        <v>36.465753419999999</v>
      </c>
      <c r="F2666" s="51">
        <f t="shared" si="90"/>
        <v>4.6317145499999999</v>
      </c>
      <c r="H2666" s="33"/>
      <c r="I2666" s="33"/>
      <c r="J2666" s="33"/>
      <c r="K2666" s="33"/>
      <c r="L2666" s="33"/>
      <c r="M2666" s="33"/>
      <c r="N2666" s="33"/>
      <c r="O2666" s="33"/>
      <c r="P2666" s="33"/>
      <c r="Q2666" s="33"/>
      <c r="R2666" s="33"/>
      <c r="S2666" s="33"/>
      <c r="T2666" s="33"/>
      <c r="U2666" s="33"/>
      <c r="V2666" s="33"/>
      <c r="W2666" s="33"/>
      <c r="X2666" s="33"/>
      <c r="Y2666" s="33"/>
      <c r="Z2666" s="33"/>
      <c r="AA2666" s="33"/>
      <c r="AB2666" s="33"/>
    </row>
    <row r="2667" spans="1:28" x14ac:dyDescent="0.15">
      <c r="A2667" s="46" t="s">
        <v>5385</v>
      </c>
      <c r="B2667" s="52" t="s">
        <v>7361</v>
      </c>
      <c r="C2667" s="53" t="s">
        <v>5386</v>
      </c>
      <c r="D2667" s="54" t="s">
        <v>10109</v>
      </c>
      <c r="E2667" s="50">
        <f t="shared" si="90"/>
        <v>36.479452049999999</v>
      </c>
      <c r="F2667" s="51">
        <f t="shared" si="90"/>
        <v>4.6317035100000004</v>
      </c>
      <c r="H2667" s="33"/>
      <c r="I2667" s="33"/>
      <c r="J2667" s="33"/>
      <c r="K2667" s="33"/>
      <c r="L2667" s="33"/>
      <c r="M2667" s="33"/>
      <c r="N2667" s="33"/>
      <c r="O2667" s="33"/>
      <c r="P2667" s="33"/>
      <c r="Q2667" s="33"/>
      <c r="R2667" s="33"/>
      <c r="S2667" s="33"/>
      <c r="T2667" s="33"/>
      <c r="U2667" s="33"/>
      <c r="V2667" s="33"/>
      <c r="W2667" s="33"/>
      <c r="X2667" s="33"/>
      <c r="Y2667" s="33"/>
      <c r="Z2667" s="33"/>
      <c r="AA2667" s="33"/>
      <c r="AB2667" s="33"/>
    </row>
    <row r="2668" spans="1:28" x14ac:dyDescent="0.15">
      <c r="A2668" s="46" t="s">
        <v>5387</v>
      </c>
      <c r="B2668" s="52" t="s">
        <v>7361</v>
      </c>
      <c r="C2668" s="53" t="s">
        <v>5388</v>
      </c>
      <c r="D2668" s="54" t="s">
        <v>10110</v>
      </c>
      <c r="E2668" s="50">
        <f t="shared" si="90"/>
        <v>36.493150679999999</v>
      </c>
      <c r="F2668" s="51">
        <f t="shared" si="90"/>
        <v>4.6316927799999998</v>
      </c>
      <c r="H2668" s="33"/>
      <c r="I2668" s="33"/>
      <c r="J2668" s="33"/>
      <c r="K2668" s="33"/>
      <c r="L2668" s="33"/>
      <c r="M2668" s="33"/>
      <c r="N2668" s="33"/>
      <c r="O2668" s="33"/>
      <c r="P2668" s="33"/>
      <c r="Q2668" s="33"/>
      <c r="R2668" s="33"/>
      <c r="S2668" s="33"/>
      <c r="T2668" s="33"/>
      <c r="U2668" s="33"/>
      <c r="V2668" s="33"/>
      <c r="W2668" s="33"/>
      <c r="X2668" s="33"/>
      <c r="Y2668" s="33"/>
      <c r="Z2668" s="33"/>
      <c r="AA2668" s="33"/>
      <c r="AB2668" s="33"/>
    </row>
    <row r="2669" spans="1:28" x14ac:dyDescent="0.15">
      <c r="A2669" s="46" t="s">
        <v>5389</v>
      </c>
      <c r="B2669" s="52" t="s">
        <v>7361</v>
      </c>
      <c r="C2669" s="53" t="s">
        <v>5390</v>
      </c>
      <c r="D2669" s="54" t="s">
        <v>10111</v>
      </c>
      <c r="E2669" s="50">
        <f t="shared" ref="E2669:F2698" si="91">VALUE(C2669)</f>
        <v>36.506849320000001</v>
      </c>
      <c r="F2669" s="51">
        <f t="shared" si="91"/>
        <v>4.6316822999999996</v>
      </c>
      <c r="H2669" s="33"/>
      <c r="I2669" s="33"/>
      <c r="J2669" s="33"/>
      <c r="K2669" s="33"/>
      <c r="L2669" s="33"/>
      <c r="M2669" s="33"/>
      <c r="N2669" s="33"/>
      <c r="O2669" s="33"/>
      <c r="P2669" s="33"/>
      <c r="Q2669" s="33"/>
      <c r="R2669" s="33"/>
      <c r="S2669" s="33"/>
      <c r="T2669" s="33"/>
      <c r="U2669" s="33"/>
      <c r="V2669" s="33"/>
      <c r="W2669" s="33"/>
      <c r="X2669" s="33"/>
      <c r="Y2669" s="33"/>
      <c r="Z2669" s="33"/>
      <c r="AA2669" s="33"/>
      <c r="AB2669" s="33"/>
    </row>
    <row r="2670" spans="1:28" x14ac:dyDescent="0.15">
      <c r="A2670" s="46" t="s">
        <v>5391</v>
      </c>
      <c r="B2670" s="52" t="s">
        <v>7361</v>
      </c>
      <c r="C2670" s="53" t="s">
        <v>5392</v>
      </c>
      <c r="D2670" s="54" t="s">
        <v>10112</v>
      </c>
      <c r="E2670" s="50">
        <f t="shared" si="91"/>
        <v>36.520547950000001</v>
      </c>
      <c r="F2670" s="51">
        <f t="shared" si="91"/>
        <v>4.6316715899999998</v>
      </c>
      <c r="H2670" s="33"/>
      <c r="I2670" s="33"/>
      <c r="J2670" s="33"/>
      <c r="K2670" s="33"/>
      <c r="L2670" s="33"/>
      <c r="M2670" s="33"/>
      <c r="N2670" s="33"/>
      <c r="O2670" s="33"/>
      <c r="P2670" s="33"/>
      <c r="Q2670" s="33"/>
      <c r="R2670" s="33"/>
      <c r="S2670" s="33"/>
      <c r="T2670" s="33"/>
      <c r="U2670" s="33"/>
      <c r="V2670" s="33"/>
      <c r="W2670" s="33"/>
      <c r="X2670" s="33"/>
      <c r="Y2670" s="33"/>
      <c r="Z2670" s="33"/>
      <c r="AA2670" s="33"/>
      <c r="AB2670" s="33"/>
    </row>
    <row r="2671" spans="1:28" x14ac:dyDescent="0.15">
      <c r="A2671" s="46" t="s">
        <v>5393</v>
      </c>
      <c r="B2671" s="52" t="s">
        <v>7361</v>
      </c>
      <c r="C2671" s="53" t="s">
        <v>5394</v>
      </c>
      <c r="D2671" s="54" t="s">
        <v>10113</v>
      </c>
      <c r="E2671" s="50">
        <f t="shared" si="91"/>
        <v>36.534246580000001</v>
      </c>
      <c r="F2671" s="51">
        <f t="shared" si="91"/>
        <v>4.6316605800000001</v>
      </c>
      <c r="H2671" s="33"/>
      <c r="I2671" s="33"/>
      <c r="J2671" s="33"/>
      <c r="K2671" s="33"/>
      <c r="L2671" s="33"/>
      <c r="M2671" s="33"/>
      <c r="N2671" s="33"/>
      <c r="O2671" s="33"/>
      <c r="P2671" s="33"/>
      <c r="Q2671" s="33"/>
      <c r="R2671" s="33"/>
      <c r="S2671" s="33"/>
      <c r="T2671" s="33"/>
      <c r="U2671" s="33"/>
      <c r="V2671" s="33"/>
      <c r="W2671" s="33"/>
      <c r="X2671" s="33"/>
      <c r="Y2671" s="33"/>
      <c r="Z2671" s="33"/>
      <c r="AA2671" s="33"/>
      <c r="AB2671" s="33"/>
    </row>
    <row r="2672" spans="1:28" x14ac:dyDescent="0.15">
      <c r="A2672" s="46" t="s">
        <v>5395</v>
      </c>
      <c r="B2672" s="52" t="s">
        <v>7361</v>
      </c>
      <c r="C2672" s="53" t="s">
        <v>5396</v>
      </c>
      <c r="D2672" s="54" t="s">
        <v>10114</v>
      </c>
      <c r="E2672" s="50">
        <f t="shared" si="91"/>
        <v>36.547945210000002</v>
      </c>
      <c r="F2672" s="51">
        <f t="shared" si="91"/>
        <v>4.6316492800000004</v>
      </c>
      <c r="H2672" s="33"/>
      <c r="I2672" s="33"/>
      <c r="J2672" s="33"/>
      <c r="K2672" s="33"/>
      <c r="L2672" s="33"/>
      <c r="M2672" s="33"/>
      <c r="N2672" s="33"/>
      <c r="O2672" s="33"/>
      <c r="P2672" s="33"/>
      <c r="Q2672" s="33"/>
      <c r="R2672" s="33"/>
      <c r="S2672" s="33"/>
      <c r="T2672" s="33"/>
      <c r="U2672" s="33"/>
      <c r="V2672" s="33"/>
      <c r="W2672" s="33"/>
      <c r="X2672" s="33"/>
      <c r="Y2672" s="33"/>
      <c r="Z2672" s="33"/>
      <c r="AA2672" s="33"/>
      <c r="AB2672" s="33"/>
    </row>
    <row r="2673" spans="1:28" x14ac:dyDescent="0.15">
      <c r="A2673" s="46" t="s">
        <v>5397</v>
      </c>
      <c r="B2673" s="52" t="s">
        <v>7361</v>
      </c>
      <c r="C2673" s="53" t="s">
        <v>5398</v>
      </c>
      <c r="D2673" s="54" t="s">
        <v>10115</v>
      </c>
      <c r="E2673" s="50">
        <f t="shared" si="91"/>
        <v>36.561643840000002</v>
      </c>
      <c r="F2673" s="51">
        <f t="shared" si="91"/>
        <v>4.6316377099999997</v>
      </c>
      <c r="H2673" s="33"/>
      <c r="I2673" s="33"/>
      <c r="J2673" s="33"/>
      <c r="K2673" s="33"/>
      <c r="L2673" s="33"/>
      <c r="M2673" s="33"/>
      <c r="N2673" s="33"/>
      <c r="O2673" s="33"/>
      <c r="P2673" s="33"/>
      <c r="Q2673" s="33"/>
      <c r="R2673" s="33"/>
      <c r="S2673" s="33"/>
      <c r="T2673" s="33"/>
      <c r="U2673" s="33"/>
      <c r="V2673" s="33"/>
      <c r="W2673" s="33"/>
      <c r="X2673" s="33"/>
      <c r="Y2673" s="33"/>
      <c r="Z2673" s="33"/>
      <c r="AA2673" s="33"/>
      <c r="AB2673" s="33"/>
    </row>
    <row r="2674" spans="1:28" x14ac:dyDescent="0.15">
      <c r="A2674" s="46" t="s">
        <v>5399</v>
      </c>
      <c r="B2674" s="52" t="s">
        <v>7361</v>
      </c>
      <c r="C2674" s="53" t="s">
        <v>5400</v>
      </c>
      <c r="D2674" s="54" t="s">
        <v>10116</v>
      </c>
      <c r="E2674" s="50">
        <f t="shared" si="91"/>
        <v>36.575342470000002</v>
      </c>
      <c r="F2674" s="51">
        <f t="shared" si="91"/>
        <v>4.6316258699999997</v>
      </c>
      <c r="H2674" s="33"/>
      <c r="I2674" s="33"/>
      <c r="J2674" s="33"/>
      <c r="K2674" s="33"/>
      <c r="L2674" s="33"/>
      <c r="M2674" s="33"/>
      <c r="N2674" s="33"/>
      <c r="O2674" s="33"/>
      <c r="P2674" s="33"/>
      <c r="Q2674" s="33"/>
      <c r="R2674" s="33"/>
      <c r="S2674" s="33"/>
      <c r="T2674" s="33"/>
      <c r="U2674" s="33"/>
      <c r="V2674" s="33"/>
      <c r="W2674" s="33"/>
      <c r="X2674" s="33"/>
      <c r="Y2674" s="33"/>
      <c r="Z2674" s="33"/>
      <c r="AA2674" s="33"/>
      <c r="AB2674" s="33"/>
    </row>
    <row r="2675" spans="1:28" x14ac:dyDescent="0.15">
      <c r="A2675" s="46" t="s">
        <v>5401</v>
      </c>
      <c r="B2675" s="52" t="s">
        <v>7361</v>
      </c>
      <c r="C2675" s="53" t="s">
        <v>5402</v>
      </c>
      <c r="D2675" s="54" t="s">
        <v>10117</v>
      </c>
      <c r="E2675" s="50">
        <f t="shared" si="91"/>
        <v>36.589041100000003</v>
      </c>
      <c r="F2675" s="51">
        <f t="shared" si="91"/>
        <v>4.6316137800000003</v>
      </c>
      <c r="H2675" s="33"/>
      <c r="I2675" s="33"/>
      <c r="J2675" s="33"/>
      <c r="K2675" s="33"/>
      <c r="L2675" s="33"/>
      <c r="M2675" s="33"/>
      <c r="N2675" s="33"/>
      <c r="O2675" s="33"/>
      <c r="P2675" s="33"/>
      <c r="Q2675" s="33"/>
      <c r="R2675" s="33"/>
      <c r="S2675" s="33"/>
      <c r="T2675" s="33"/>
      <c r="U2675" s="33"/>
      <c r="V2675" s="33"/>
      <c r="W2675" s="33"/>
      <c r="X2675" s="33"/>
      <c r="Y2675" s="33"/>
      <c r="Z2675" s="33"/>
      <c r="AA2675" s="33"/>
      <c r="AB2675" s="33"/>
    </row>
    <row r="2676" spans="1:28" x14ac:dyDescent="0.15">
      <c r="A2676" s="46" t="s">
        <v>5403</v>
      </c>
      <c r="B2676" s="52" t="s">
        <v>7361</v>
      </c>
      <c r="C2676" s="53" t="s">
        <v>5404</v>
      </c>
      <c r="D2676" s="54" t="s">
        <v>10118</v>
      </c>
      <c r="E2676" s="50">
        <f t="shared" si="91"/>
        <v>36.602739730000003</v>
      </c>
      <c r="F2676" s="51">
        <f t="shared" si="91"/>
        <v>4.6316014699999997</v>
      </c>
      <c r="H2676" s="33"/>
      <c r="I2676" s="33"/>
      <c r="J2676" s="33"/>
      <c r="K2676" s="33"/>
      <c r="L2676" s="33"/>
      <c r="M2676" s="33"/>
      <c r="N2676" s="33"/>
      <c r="O2676" s="33"/>
      <c r="P2676" s="33"/>
      <c r="Q2676" s="33"/>
      <c r="R2676" s="33"/>
      <c r="S2676" s="33"/>
      <c r="T2676" s="33"/>
      <c r="U2676" s="33"/>
      <c r="V2676" s="33"/>
      <c r="W2676" s="33"/>
      <c r="X2676" s="33"/>
      <c r="Y2676" s="33"/>
      <c r="Z2676" s="33"/>
      <c r="AA2676" s="33"/>
      <c r="AB2676" s="33"/>
    </row>
    <row r="2677" spans="1:28" x14ac:dyDescent="0.15">
      <c r="A2677" s="46" t="s">
        <v>5405</v>
      </c>
      <c r="B2677" s="52" t="s">
        <v>7361</v>
      </c>
      <c r="C2677" s="53" t="s">
        <v>5406</v>
      </c>
      <c r="D2677" s="54" t="s">
        <v>10119</v>
      </c>
      <c r="E2677" s="50">
        <f t="shared" si="91"/>
        <v>36.616438359999997</v>
      </c>
      <c r="F2677" s="51">
        <f t="shared" si="91"/>
        <v>4.6315889200000004</v>
      </c>
      <c r="H2677" s="33"/>
      <c r="I2677" s="33"/>
      <c r="J2677" s="33"/>
      <c r="K2677" s="33"/>
      <c r="L2677" s="33"/>
      <c r="M2677" s="33"/>
      <c r="N2677" s="33"/>
      <c r="O2677" s="33"/>
      <c r="P2677" s="33"/>
      <c r="Q2677" s="33"/>
      <c r="R2677" s="33"/>
      <c r="S2677" s="33"/>
      <c r="T2677" s="33"/>
      <c r="U2677" s="33"/>
      <c r="V2677" s="33"/>
      <c r="W2677" s="33"/>
      <c r="X2677" s="33"/>
      <c r="Y2677" s="33"/>
      <c r="Z2677" s="33"/>
      <c r="AA2677" s="33"/>
      <c r="AB2677" s="33"/>
    </row>
    <row r="2678" spans="1:28" x14ac:dyDescent="0.15">
      <c r="A2678" s="46" t="s">
        <v>5407</v>
      </c>
      <c r="B2678" s="52" t="s">
        <v>7361</v>
      </c>
      <c r="C2678" s="53" t="s">
        <v>5408</v>
      </c>
      <c r="D2678" s="54" t="s">
        <v>10120</v>
      </c>
      <c r="E2678" s="50">
        <f t="shared" si="91"/>
        <v>36.630136989999997</v>
      </c>
      <c r="F2678" s="51">
        <f t="shared" si="91"/>
        <v>4.6315761699999998</v>
      </c>
      <c r="H2678" s="33"/>
      <c r="I2678" s="33"/>
      <c r="J2678" s="33"/>
      <c r="K2678" s="33"/>
      <c r="L2678" s="33"/>
      <c r="M2678" s="33"/>
      <c r="N2678" s="33"/>
      <c r="O2678" s="33"/>
      <c r="P2678" s="33"/>
      <c r="Q2678" s="33"/>
      <c r="R2678" s="33"/>
      <c r="S2678" s="33"/>
      <c r="T2678" s="33"/>
      <c r="U2678" s="33"/>
      <c r="V2678" s="33"/>
      <c r="W2678" s="33"/>
      <c r="X2678" s="33"/>
      <c r="Y2678" s="33"/>
      <c r="Z2678" s="33"/>
      <c r="AA2678" s="33"/>
      <c r="AB2678" s="33"/>
    </row>
    <row r="2679" spans="1:28" x14ac:dyDescent="0.15">
      <c r="A2679" s="46" t="s">
        <v>5409</v>
      </c>
      <c r="B2679" s="52" t="s">
        <v>7361</v>
      </c>
      <c r="C2679" s="53" t="s">
        <v>5410</v>
      </c>
      <c r="D2679" s="54" t="s">
        <v>10121</v>
      </c>
      <c r="E2679" s="50">
        <f t="shared" si="91"/>
        <v>36.643835619999997</v>
      </c>
      <c r="F2679" s="51">
        <f t="shared" si="91"/>
        <v>4.6315632300000003</v>
      </c>
      <c r="H2679" s="33"/>
      <c r="I2679" s="33"/>
      <c r="J2679" s="33"/>
      <c r="K2679" s="33"/>
      <c r="L2679" s="33"/>
      <c r="M2679" s="33"/>
      <c r="N2679" s="33"/>
      <c r="O2679" s="33"/>
      <c r="P2679" s="33"/>
      <c r="Q2679" s="33"/>
      <c r="R2679" s="33"/>
      <c r="S2679" s="33"/>
      <c r="T2679" s="33"/>
      <c r="U2679" s="33"/>
      <c r="V2679" s="33"/>
      <c r="W2679" s="33"/>
      <c r="X2679" s="33"/>
      <c r="Y2679" s="33"/>
      <c r="Z2679" s="33"/>
      <c r="AA2679" s="33"/>
      <c r="AB2679" s="33"/>
    </row>
    <row r="2680" spans="1:28" x14ac:dyDescent="0.15">
      <c r="A2680" s="46" t="s">
        <v>5411</v>
      </c>
      <c r="B2680" s="52" t="s">
        <v>7361</v>
      </c>
      <c r="C2680" s="53" t="s">
        <v>5412</v>
      </c>
      <c r="D2680" s="54" t="s">
        <v>10122</v>
      </c>
      <c r="E2680" s="50">
        <f t="shared" si="91"/>
        <v>36.657534249999998</v>
      </c>
      <c r="F2680" s="51">
        <f t="shared" si="91"/>
        <v>4.6315501000000001</v>
      </c>
      <c r="H2680" s="33"/>
      <c r="I2680" s="33"/>
      <c r="J2680" s="33"/>
      <c r="K2680" s="33"/>
      <c r="L2680" s="33"/>
      <c r="M2680" s="33"/>
      <c r="N2680" s="33"/>
      <c r="O2680" s="33"/>
      <c r="P2680" s="33"/>
      <c r="Q2680" s="33"/>
      <c r="R2680" s="33"/>
      <c r="S2680" s="33"/>
      <c r="T2680" s="33"/>
      <c r="U2680" s="33"/>
      <c r="V2680" s="33"/>
      <c r="W2680" s="33"/>
      <c r="X2680" s="33"/>
      <c r="Y2680" s="33"/>
      <c r="Z2680" s="33"/>
      <c r="AA2680" s="33"/>
      <c r="AB2680" s="33"/>
    </row>
    <row r="2681" spans="1:28" x14ac:dyDescent="0.15">
      <c r="A2681" s="46" t="s">
        <v>5413</v>
      </c>
      <c r="B2681" s="52" t="s">
        <v>7361</v>
      </c>
      <c r="C2681" s="53" t="s">
        <v>5414</v>
      </c>
      <c r="D2681" s="54" t="s">
        <v>10123</v>
      </c>
      <c r="E2681" s="50">
        <f t="shared" si="91"/>
        <v>36.671232879999998</v>
      </c>
      <c r="F2681" s="51">
        <f t="shared" si="91"/>
        <v>4.6315368000000001</v>
      </c>
      <c r="H2681" s="33"/>
      <c r="I2681" s="33"/>
      <c r="J2681" s="33"/>
      <c r="K2681" s="33"/>
      <c r="L2681" s="33"/>
      <c r="M2681" s="33"/>
      <c r="N2681" s="33"/>
      <c r="O2681" s="33"/>
      <c r="P2681" s="33"/>
      <c r="Q2681" s="33"/>
      <c r="R2681" s="33"/>
      <c r="S2681" s="33"/>
      <c r="T2681" s="33"/>
      <c r="U2681" s="33"/>
      <c r="V2681" s="33"/>
      <c r="W2681" s="33"/>
      <c r="X2681" s="33"/>
      <c r="Y2681" s="33"/>
      <c r="Z2681" s="33"/>
      <c r="AA2681" s="33"/>
      <c r="AB2681" s="33"/>
    </row>
    <row r="2682" spans="1:28" x14ac:dyDescent="0.15">
      <c r="A2682" s="46" t="s">
        <v>5415</v>
      </c>
      <c r="B2682" s="52" t="s">
        <v>7361</v>
      </c>
      <c r="C2682" s="53" t="s">
        <v>5416</v>
      </c>
      <c r="D2682" s="54" t="s">
        <v>10124</v>
      </c>
      <c r="E2682" s="50">
        <f t="shared" si="91"/>
        <v>36.684931509999998</v>
      </c>
      <c r="F2682" s="51">
        <f t="shared" si="91"/>
        <v>4.6315233500000001</v>
      </c>
      <c r="H2682" s="33"/>
      <c r="I2682" s="33"/>
      <c r="J2682" s="33"/>
      <c r="K2682" s="33"/>
      <c r="L2682" s="33"/>
      <c r="M2682" s="33"/>
      <c r="N2682" s="33"/>
      <c r="O2682" s="33"/>
      <c r="P2682" s="33"/>
      <c r="Q2682" s="33"/>
      <c r="R2682" s="33"/>
      <c r="S2682" s="33"/>
      <c r="T2682" s="33"/>
      <c r="U2682" s="33"/>
      <c r="V2682" s="33"/>
      <c r="W2682" s="33"/>
      <c r="X2682" s="33"/>
      <c r="Y2682" s="33"/>
      <c r="Z2682" s="33"/>
      <c r="AA2682" s="33"/>
      <c r="AB2682" s="33"/>
    </row>
    <row r="2683" spans="1:28" x14ac:dyDescent="0.15">
      <c r="A2683" s="46" t="s">
        <v>5417</v>
      </c>
      <c r="B2683" s="52" t="s">
        <v>7361</v>
      </c>
      <c r="C2683" s="53" t="s">
        <v>5418</v>
      </c>
      <c r="D2683" s="54" t="s">
        <v>10125</v>
      </c>
      <c r="E2683" s="50">
        <f t="shared" si="91"/>
        <v>36.698630139999999</v>
      </c>
      <c r="F2683" s="51">
        <f t="shared" si="91"/>
        <v>4.6315097500000002</v>
      </c>
      <c r="H2683" s="33"/>
      <c r="I2683" s="33"/>
      <c r="J2683" s="33"/>
      <c r="K2683" s="33"/>
      <c r="L2683" s="33"/>
      <c r="M2683" s="33"/>
      <c r="N2683" s="33"/>
      <c r="O2683" s="33"/>
      <c r="P2683" s="33"/>
      <c r="Q2683" s="33"/>
      <c r="R2683" s="33"/>
      <c r="S2683" s="33"/>
      <c r="T2683" s="33"/>
      <c r="U2683" s="33"/>
      <c r="V2683" s="33"/>
      <c r="W2683" s="33"/>
      <c r="X2683" s="33"/>
      <c r="Y2683" s="33"/>
      <c r="Z2683" s="33"/>
      <c r="AA2683" s="33"/>
      <c r="AB2683" s="33"/>
    </row>
    <row r="2684" spans="1:28" x14ac:dyDescent="0.15">
      <c r="A2684" s="46" t="s">
        <v>5419</v>
      </c>
      <c r="B2684" s="52" t="s">
        <v>7361</v>
      </c>
      <c r="C2684" s="53" t="s">
        <v>5420</v>
      </c>
      <c r="D2684" s="54" t="s">
        <v>10126</v>
      </c>
      <c r="E2684" s="50">
        <f t="shared" si="91"/>
        <v>36.712328769999999</v>
      </c>
      <c r="F2684" s="51">
        <f t="shared" si="91"/>
        <v>4.6314960200000002</v>
      </c>
      <c r="H2684" s="33"/>
      <c r="I2684" s="33"/>
      <c r="J2684" s="33"/>
      <c r="K2684" s="33"/>
      <c r="L2684" s="33"/>
      <c r="M2684" s="33"/>
      <c r="N2684" s="33"/>
      <c r="O2684" s="33"/>
      <c r="P2684" s="33"/>
      <c r="Q2684" s="33"/>
      <c r="R2684" s="33"/>
      <c r="S2684" s="33"/>
      <c r="T2684" s="33"/>
      <c r="U2684" s="33"/>
      <c r="V2684" s="33"/>
      <c r="W2684" s="33"/>
      <c r="X2684" s="33"/>
      <c r="Y2684" s="33"/>
      <c r="Z2684" s="33"/>
      <c r="AA2684" s="33"/>
      <c r="AB2684" s="33"/>
    </row>
    <row r="2685" spans="1:28" x14ac:dyDescent="0.15">
      <c r="A2685" s="46" t="s">
        <v>5421</v>
      </c>
      <c r="B2685" s="52" t="s">
        <v>7361</v>
      </c>
      <c r="C2685" s="53" t="s">
        <v>5422</v>
      </c>
      <c r="D2685" s="54" t="s">
        <v>10127</v>
      </c>
      <c r="E2685" s="50">
        <f t="shared" si="91"/>
        <v>36.7260274</v>
      </c>
      <c r="F2685" s="51">
        <f t="shared" si="91"/>
        <v>4.6314821799999999</v>
      </c>
      <c r="H2685" s="33"/>
      <c r="I2685" s="33"/>
      <c r="J2685" s="33"/>
      <c r="K2685" s="33"/>
      <c r="L2685" s="33"/>
      <c r="M2685" s="33"/>
      <c r="N2685" s="33"/>
      <c r="O2685" s="33"/>
      <c r="P2685" s="33"/>
      <c r="Q2685" s="33"/>
      <c r="R2685" s="33"/>
      <c r="S2685" s="33"/>
      <c r="T2685" s="33"/>
      <c r="U2685" s="33"/>
      <c r="V2685" s="33"/>
      <c r="W2685" s="33"/>
      <c r="X2685" s="33"/>
      <c r="Y2685" s="33"/>
      <c r="Z2685" s="33"/>
      <c r="AA2685" s="33"/>
      <c r="AB2685" s="33"/>
    </row>
    <row r="2686" spans="1:28" x14ac:dyDescent="0.15">
      <c r="A2686" s="46" t="s">
        <v>5423</v>
      </c>
      <c r="B2686" s="52" t="s">
        <v>7361</v>
      </c>
      <c r="C2686" s="53" t="s">
        <v>5424</v>
      </c>
      <c r="D2686" s="54" t="s">
        <v>10128</v>
      </c>
      <c r="E2686" s="50">
        <f t="shared" si="91"/>
        <v>36.73972603</v>
      </c>
      <c r="F2686" s="51">
        <f t="shared" si="91"/>
        <v>4.6314682300000003</v>
      </c>
      <c r="H2686" s="33"/>
      <c r="I2686" s="33"/>
      <c r="J2686" s="33"/>
      <c r="K2686" s="33"/>
      <c r="L2686" s="33"/>
      <c r="M2686" s="33"/>
      <c r="N2686" s="33"/>
      <c r="O2686" s="33"/>
      <c r="P2686" s="33"/>
      <c r="Q2686" s="33"/>
      <c r="R2686" s="33"/>
      <c r="S2686" s="33"/>
      <c r="T2686" s="33"/>
      <c r="U2686" s="33"/>
      <c r="V2686" s="33"/>
      <c r="W2686" s="33"/>
      <c r="X2686" s="33"/>
      <c r="Y2686" s="33"/>
      <c r="Z2686" s="33"/>
      <c r="AA2686" s="33"/>
      <c r="AB2686" s="33"/>
    </row>
    <row r="2687" spans="1:28" x14ac:dyDescent="0.15">
      <c r="A2687" s="46" t="s">
        <v>5425</v>
      </c>
      <c r="B2687" s="52" t="s">
        <v>7361</v>
      </c>
      <c r="C2687" s="53" t="s">
        <v>5426</v>
      </c>
      <c r="D2687" s="54" t="s">
        <v>10129</v>
      </c>
      <c r="E2687" s="50">
        <f t="shared" si="91"/>
        <v>36.75342466</v>
      </c>
      <c r="F2687" s="51">
        <f t="shared" si="91"/>
        <v>4.6314542000000003</v>
      </c>
      <c r="H2687" s="33"/>
      <c r="I2687" s="33"/>
      <c r="J2687" s="33"/>
      <c r="K2687" s="33"/>
      <c r="L2687" s="33"/>
      <c r="M2687" s="33"/>
      <c r="N2687" s="33"/>
      <c r="O2687" s="33"/>
      <c r="P2687" s="33"/>
      <c r="Q2687" s="33"/>
      <c r="R2687" s="33"/>
      <c r="S2687" s="33"/>
      <c r="T2687" s="33"/>
      <c r="U2687" s="33"/>
      <c r="V2687" s="33"/>
      <c r="W2687" s="33"/>
      <c r="X2687" s="33"/>
      <c r="Y2687" s="33"/>
      <c r="Z2687" s="33"/>
      <c r="AA2687" s="33"/>
      <c r="AB2687" s="33"/>
    </row>
    <row r="2688" spans="1:28" x14ac:dyDescent="0.15">
      <c r="A2688" s="46" t="s">
        <v>5427</v>
      </c>
      <c r="B2688" s="52" t="s">
        <v>7361</v>
      </c>
      <c r="C2688" s="53" t="s">
        <v>5428</v>
      </c>
      <c r="D2688" s="54" t="s">
        <v>10130</v>
      </c>
      <c r="E2688" s="50">
        <f t="shared" si="91"/>
        <v>36.767123290000001</v>
      </c>
      <c r="F2688" s="51">
        <f t="shared" si="91"/>
        <v>4.63144008</v>
      </c>
      <c r="H2688" s="33"/>
      <c r="I2688" s="33"/>
      <c r="J2688" s="33"/>
      <c r="K2688" s="33"/>
      <c r="L2688" s="33"/>
      <c r="M2688" s="33"/>
      <c r="N2688" s="33"/>
      <c r="O2688" s="33"/>
      <c r="P2688" s="33"/>
      <c r="Q2688" s="33"/>
      <c r="R2688" s="33"/>
      <c r="S2688" s="33"/>
      <c r="T2688" s="33"/>
      <c r="U2688" s="33"/>
      <c r="V2688" s="33"/>
      <c r="W2688" s="33"/>
      <c r="X2688" s="33"/>
      <c r="Y2688" s="33"/>
      <c r="Z2688" s="33"/>
      <c r="AA2688" s="33"/>
      <c r="AB2688" s="33"/>
    </row>
    <row r="2689" spans="1:28" x14ac:dyDescent="0.15">
      <c r="A2689" s="46" t="s">
        <v>5429</v>
      </c>
      <c r="B2689" s="52" t="s">
        <v>7361</v>
      </c>
      <c r="C2689" s="53" t="s">
        <v>5430</v>
      </c>
      <c r="D2689" s="54" t="s">
        <v>10131</v>
      </c>
      <c r="E2689" s="50">
        <f t="shared" si="91"/>
        <v>36.780821920000001</v>
      </c>
      <c r="F2689" s="51">
        <f t="shared" si="91"/>
        <v>4.6314259099999999</v>
      </c>
      <c r="H2689" s="33"/>
      <c r="I2689" s="33"/>
      <c r="J2689" s="33"/>
      <c r="K2689" s="33"/>
      <c r="L2689" s="33"/>
      <c r="M2689" s="33"/>
      <c r="N2689" s="33"/>
      <c r="O2689" s="33"/>
      <c r="P2689" s="33"/>
      <c r="Q2689" s="33"/>
      <c r="R2689" s="33"/>
      <c r="S2689" s="33"/>
      <c r="T2689" s="33"/>
      <c r="U2689" s="33"/>
      <c r="V2689" s="33"/>
      <c r="W2689" s="33"/>
      <c r="X2689" s="33"/>
      <c r="Y2689" s="33"/>
      <c r="Z2689" s="33"/>
      <c r="AA2689" s="33"/>
      <c r="AB2689" s="33"/>
    </row>
    <row r="2690" spans="1:28" x14ac:dyDescent="0.15">
      <c r="A2690" s="46" t="s">
        <v>5431</v>
      </c>
      <c r="B2690" s="52" t="s">
        <v>7361</v>
      </c>
      <c r="C2690" s="53" t="s">
        <v>5432</v>
      </c>
      <c r="D2690" s="54" t="s">
        <v>10132</v>
      </c>
      <c r="E2690" s="50">
        <f t="shared" si="91"/>
        <v>36.794520550000001</v>
      </c>
      <c r="F2690" s="51">
        <f t="shared" si="91"/>
        <v>4.6314116800000003</v>
      </c>
      <c r="H2690" s="33"/>
      <c r="I2690" s="33"/>
      <c r="J2690" s="33"/>
      <c r="K2690" s="33"/>
      <c r="L2690" s="33"/>
      <c r="M2690" s="33"/>
      <c r="N2690" s="33"/>
      <c r="O2690" s="33"/>
      <c r="P2690" s="33"/>
      <c r="Q2690" s="33"/>
      <c r="R2690" s="33"/>
      <c r="S2690" s="33"/>
      <c r="T2690" s="33"/>
      <c r="U2690" s="33"/>
      <c r="V2690" s="33"/>
      <c r="W2690" s="33"/>
      <c r="X2690" s="33"/>
      <c r="Y2690" s="33"/>
      <c r="Z2690" s="33"/>
      <c r="AA2690" s="33"/>
      <c r="AB2690" s="33"/>
    </row>
    <row r="2691" spans="1:28" x14ac:dyDescent="0.15">
      <c r="A2691" s="46" t="s">
        <v>5433</v>
      </c>
      <c r="B2691" s="52" t="s">
        <v>7361</v>
      </c>
      <c r="C2691" s="53" t="s">
        <v>5434</v>
      </c>
      <c r="D2691" s="54" t="s">
        <v>10133</v>
      </c>
      <c r="E2691" s="50">
        <f t="shared" si="91"/>
        <v>36.808219180000002</v>
      </c>
      <c r="F2691" s="51">
        <f t="shared" si="91"/>
        <v>4.6313974099999999</v>
      </c>
      <c r="H2691" s="33"/>
      <c r="I2691" s="33"/>
      <c r="J2691" s="33"/>
      <c r="K2691" s="33"/>
      <c r="L2691" s="33"/>
      <c r="M2691" s="33"/>
      <c r="N2691" s="33"/>
      <c r="O2691" s="33"/>
      <c r="P2691" s="33"/>
      <c r="Q2691" s="33"/>
      <c r="R2691" s="33"/>
      <c r="S2691" s="33"/>
      <c r="T2691" s="33"/>
      <c r="U2691" s="33"/>
      <c r="V2691" s="33"/>
      <c r="W2691" s="33"/>
      <c r="X2691" s="33"/>
      <c r="Y2691" s="33"/>
      <c r="Z2691" s="33"/>
      <c r="AA2691" s="33"/>
      <c r="AB2691" s="33"/>
    </row>
    <row r="2692" spans="1:28" x14ac:dyDescent="0.15">
      <c r="A2692" s="46" t="s">
        <v>5435</v>
      </c>
      <c r="B2692" s="52" t="s">
        <v>7361</v>
      </c>
      <c r="C2692" s="53" t="s">
        <v>5436</v>
      </c>
      <c r="D2692" s="54" t="s">
        <v>10134</v>
      </c>
      <c r="E2692" s="50">
        <f t="shared" si="91"/>
        <v>36.821917810000002</v>
      </c>
      <c r="F2692" s="51">
        <f t="shared" si="91"/>
        <v>4.6313831199999997</v>
      </c>
      <c r="H2692" s="33"/>
      <c r="I2692" s="33"/>
      <c r="J2692" s="33"/>
      <c r="K2692" s="33"/>
      <c r="L2692" s="33"/>
      <c r="M2692" s="33"/>
      <c r="N2692" s="33"/>
      <c r="O2692" s="33"/>
      <c r="P2692" s="33"/>
      <c r="Q2692" s="33"/>
      <c r="R2692" s="33"/>
      <c r="S2692" s="33"/>
      <c r="T2692" s="33"/>
      <c r="U2692" s="33"/>
      <c r="V2692" s="33"/>
      <c r="W2692" s="33"/>
      <c r="X2692" s="33"/>
      <c r="Y2692" s="33"/>
      <c r="Z2692" s="33"/>
      <c r="AA2692" s="33"/>
      <c r="AB2692" s="33"/>
    </row>
    <row r="2693" spans="1:28" x14ac:dyDescent="0.15">
      <c r="A2693" s="46" t="s">
        <v>5437</v>
      </c>
      <c r="B2693" s="52" t="s">
        <v>7361</v>
      </c>
      <c r="C2693" s="53" t="s">
        <v>5438</v>
      </c>
      <c r="D2693" s="54" t="s">
        <v>10135</v>
      </c>
      <c r="E2693" s="50">
        <f t="shared" si="91"/>
        <v>36.835616440000003</v>
      </c>
      <c r="F2693" s="51">
        <f t="shared" si="91"/>
        <v>4.6313688199999996</v>
      </c>
      <c r="H2693" s="33"/>
      <c r="I2693" s="33"/>
      <c r="J2693" s="33"/>
      <c r="K2693" s="33"/>
      <c r="L2693" s="33"/>
      <c r="M2693" s="33"/>
      <c r="N2693" s="33"/>
      <c r="O2693" s="33"/>
      <c r="P2693" s="33"/>
      <c r="Q2693" s="33"/>
      <c r="R2693" s="33"/>
      <c r="S2693" s="33"/>
      <c r="T2693" s="33"/>
      <c r="U2693" s="33"/>
      <c r="V2693" s="33"/>
      <c r="W2693" s="33"/>
      <c r="X2693" s="33"/>
      <c r="Y2693" s="33"/>
      <c r="Z2693" s="33"/>
      <c r="AA2693" s="33"/>
      <c r="AB2693" s="33"/>
    </row>
    <row r="2694" spans="1:28" x14ac:dyDescent="0.15">
      <c r="A2694" s="46" t="s">
        <v>5439</v>
      </c>
      <c r="B2694" s="52" t="s">
        <v>7361</v>
      </c>
      <c r="C2694" s="53" t="s">
        <v>5440</v>
      </c>
      <c r="D2694" s="54" t="s">
        <v>10136</v>
      </c>
      <c r="E2694" s="50">
        <f t="shared" si="91"/>
        <v>36.849315070000003</v>
      </c>
      <c r="F2694" s="51">
        <f t="shared" si="91"/>
        <v>4.6313545200000004</v>
      </c>
      <c r="H2694" s="33"/>
      <c r="I2694" s="33"/>
      <c r="J2694" s="33"/>
      <c r="K2694" s="33"/>
      <c r="L2694" s="33"/>
      <c r="M2694" s="33"/>
      <c r="N2694" s="33"/>
      <c r="O2694" s="33"/>
      <c r="P2694" s="33"/>
      <c r="Q2694" s="33"/>
      <c r="R2694" s="33"/>
      <c r="S2694" s="33"/>
      <c r="T2694" s="33"/>
      <c r="U2694" s="33"/>
      <c r="V2694" s="33"/>
      <c r="W2694" s="33"/>
      <c r="X2694" s="33"/>
      <c r="Y2694" s="33"/>
      <c r="Z2694" s="33"/>
      <c r="AA2694" s="33"/>
      <c r="AB2694" s="33"/>
    </row>
    <row r="2695" spans="1:28" x14ac:dyDescent="0.15">
      <c r="A2695" s="46" t="s">
        <v>5441</v>
      </c>
      <c r="B2695" s="52" t="s">
        <v>7361</v>
      </c>
      <c r="C2695" s="53" t="s">
        <v>5442</v>
      </c>
      <c r="D2695" s="54" t="s">
        <v>10137</v>
      </c>
      <c r="E2695" s="50">
        <f t="shared" si="91"/>
        <v>36.863013700000003</v>
      </c>
      <c r="F2695" s="51">
        <f t="shared" si="91"/>
        <v>4.6313402400000001</v>
      </c>
      <c r="H2695" s="33"/>
      <c r="I2695" s="33"/>
      <c r="J2695" s="33"/>
      <c r="K2695" s="33"/>
      <c r="L2695" s="33"/>
      <c r="M2695" s="33"/>
      <c r="N2695" s="33"/>
      <c r="O2695" s="33"/>
      <c r="P2695" s="33"/>
      <c r="Q2695" s="33"/>
      <c r="R2695" s="33"/>
      <c r="S2695" s="33"/>
      <c r="T2695" s="33"/>
      <c r="U2695" s="33"/>
      <c r="V2695" s="33"/>
      <c r="W2695" s="33"/>
      <c r="X2695" s="33"/>
      <c r="Y2695" s="33"/>
      <c r="Z2695" s="33"/>
      <c r="AA2695" s="33"/>
      <c r="AB2695" s="33"/>
    </row>
    <row r="2696" spans="1:28" x14ac:dyDescent="0.15">
      <c r="A2696" s="46" t="s">
        <v>5443</v>
      </c>
      <c r="B2696" s="52" t="s">
        <v>7361</v>
      </c>
      <c r="C2696" s="53" t="s">
        <v>5444</v>
      </c>
      <c r="D2696" s="54" t="s">
        <v>10138</v>
      </c>
      <c r="E2696" s="50">
        <f t="shared" si="91"/>
        <v>36.876712329999997</v>
      </c>
      <c r="F2696" s="51">
        <f t="shared" si="91"/>
        <v>4.6313259899999997</v>
      </c>
      <c r="H2696" s="33"/>
      <c r="I2696" s="33"/>
      <c r="J2696" s="33"/>
      <c r="K2696" s="33"/>
      <c r="L2696" s="33"/>
      <c r="M2696" s="33"/>
      <c r="N2696" s="33"/>
      <c r="O2696" s="33"/>
      <c r="P2696" s="33"/>
      <c r="Q2696" s="33"/>
      <c r="R2696" s="33"/>
      <c r="S2696" s="33"/>
      <c r="T2696" s="33"/>
      <c r="U2696" s="33"/>
      <c r="V2696" s="33"/>
      <c r="W2696" s="33"/>
      <c r="X2696" s="33"/>
      <c r="Y2696" s="33"/>
      <c r="Z2696" s="33"/>
      <c r="AA2696" s="33"/>
      <c r="AB2696" s="33"/>
    </row>
    <row r="2697" spans="1:28" x14ac:dyDescent="0.15">
      <c r="A2697" s="46" t="s">
        <v>5445</v>
      </c>
      <c r="B2697" s="52" t="s">
        <v>7361</v>
      </c>
      <c r="C2697" s="53" t="s">
        <v>5446</v>
      </c>
      <c r="D2697" s="54" t="s">
        <v>10139</v>
      </c>
      <c r="E2697" s="50">
        <f t="shared" si="91"/>
        <v>36.890410959999997</v>
      </c>
      <c r="F2697" s="51">
        <f t="shared" si="91"/>
        <v>4.6313117699999999</v>
      </c>
      <c r="H2697" s="33"/>
      <c r="I2697" s="33"/>
      <c r="J2697" s="33"/>
      <c r="K2697" s="33"/>
      <c r="L2697" s="33"/>
      <c r="M2697" s="33"/>
      <c r="N2697" s="33"/>
      <c r="O2697" s="33"/>
      <c r="P2697" s="33"/>
      <c r="Q2697" s="33"/>
      <c r="R2697" s="33"/>
      <c r="S2697" s="33"/>
      <c r="T2697" s="33"/>
      <c r="U2697" s="33"/>
      <c r="V2697" s="33"/>
      <c r="W2697" s="33"/>
      <c r="X2697" s="33"/>
      <c r="Y2697" s="33"/>
      <c r="Z2697" s="33"/>
      <c r="AA2697" s="33"/>
      <c r="AB2697" s="33"/>
    </row>
    <row r="2698" spans="1:28" x14ac:dyDescent="0.15">
      <c r="A2698" s="46" t="s">
        <v>5447</v>
      </c>
      <c r="B2698" s="52" t="s">
        <v>7361</v>
      </c>
      <c r="C2698" s="53" t="s">
        <v>5448</v>
      </c>
      <c r="D2698" s="54" t="s">
        <v>10140</v>
      </c>
      <c r="E2698" s="50">
        <f t="shared" si="91"/>
        <v>36.904109589999997</v>
      </c>
      <c r="F2698" s="51">
        <f t="shared" si="91"/>
        <v>4.6312976199999998</v>
      </c>
      <c r="H2698" s="33"/>
      <c r="I2698" s="33"/>
      <c r="J2698" s="33"/>
      <c r="K2698" s="33"/>
      <c r="L2698" s="33"/>
      <c r="M2698" s="33"/>
      <c r="N2698" s="33"/>
      <c r="O2698" s="33"/>
      <c r="P2698" s="33"/>
      <c r="Q2698" s="33"/>
      <c r="R2698" s="33"/>
      <c r="S2698" s="33"/>
      <c r="T2698" s="33"/>
      <c r="U2698" s="33"/>
      <c r="V2698" s="33"/>
      <c r="W2698" s="33"/>
      <c r="X2698" s="33"/>
      <c r="Y2698" s="33"/>
      <c r="Z2698" s="33"/>
      <c r="AA2698" s="33"/>
      <c r="AB2698" s="33"/>
    </row>
    <row r="2699" spans="1:28" x14ac:dyDescent="0.15">
      <c r="A2699" s="46" t="s">
        <v>5449</v>
      </c>
      <c r="B2699" s="52" t="s">
        <v>7361</v>
      </c>
      <c r="C2699" s="53" t="s">
        <v>5450</v>
      </c>
      <c r="D2699" s="54" t="s">
        <v>10141</v>
      </c>
      <c r="E2699" s="50">
        <f t="shared" ref="E2699:F2729" si="92">VALUE(C2699)</f>
        <v>36.917808219999998</v>
      </c>
      <c r="F2699" s="51">
        <f t="shared" si="92"/>
        <v>4.6312835300000001</v>
      </c>
      <c r="H2699" s="33"/>
      <c r="I2699" s="33"/>
      <c r="J2699" s="33"/>
      <c r="K2699" s="33"/>
      <c r="L2699" s="33"/>
      <c r="M2699" s="33"/>
      <c r="N2699" s="33"/>
      <c r="O2699" s="33"/>
      <c r="P2699" s="33"/>
      <c r="Q2699" s="33"/>
      <c r="R2699" s="33"/>
      <c r="S2699" s="33"/>
      <c r="T2699" s="33"/>
      <c r="U2699" s="33"/>
      <c r="V2699" s="33"/>
      <c r="W2699" s="33"/>
      <c r="X2699" s="33"/>
      <c r="Y2699" s="33"/>
      <c r="Z2699" s="33"/>
      <c r="AA2699" s="33"/>
      <c r="AB2699" s="33"/>
    </row>
    <row r="2700" spans="1:28" x14ac:dyDescent="0.15">
      <c r="A2700" s="46" t="s">
        <v>5451</v>
      </c>
      <c r="B2700" s="52" t="s">
        <v>7361</v>
      </c>
      <c r="C2700" s="53" t="s">
        <v>5452</v>
      </c>
      <c r="D2700" s="54" t="s">
        <v>10142</v>
      </c>
      <c r="E2700" s="50">
        <f t="shared" si="92"/>
        <v>36.931506849999998</v>
      </c>
      <c r="F2700" s="51">
        <f t="shared" si="92"/>
        <v>4.63126952</v>
      </c>
      <c r="H2700" s="33"/>
      <c r="I2700" s="33"/>
      <c r="J2700" s="33"/>
      <c r="K2700" s="33"/>
      <c r="L2700" s="33"/>
      <c r="M2700" s="33"/>
      <c r="N2700" s="33"/>
      <c r="O2700" s="33"/>
      <c r="P2700" s="33"/>
      <c r="Q2700" s="33"/>
      <c r="R2700" s="33"/>
      <c r="S2700" s="33"/>
      <c r="T2700" s="33"/>
      <c r="U2700" s="33"/>
      <c r="V2700" s="33"/>
      <c r="W2700" s="33"/>
      <c r="X2700" s="33"/>
      <c r="Y2700" s="33"/>
      <c r="Z2700" s="33"/>
      <c r="AA2700" s="33"/>
      <c r="AB2700" s="33"/>
    </row>
    <row r="2701" spans="1:28" x14ac:dyDescent="0.15">
      <c r="A2701" s="46" t="s">
        <v>5453</v>
      </c>
      <c r="B2701" s="52" t="s">
        <v>7361</v>
      </c>
      <c r="C2701" s="53" t="s">
        <v>5454</v>
      </c>
      <c r="D2701" s="54" t="s">
        <v>10143</v>
      </c>
      <c r="E2701" s="50">
        <f t="shared" si="92"/>
        <v>36.945205479999998</v>
      </c>
      <c r="F2701" s="51">
        <f t="shared" si="92"/>
        <v>4.6312556100000002</v>
      </c>
      <c r="H2701" s="33"/>
      <c r="I2701" s="33"/>
      <c r="J2701" s="33"/>
      <c r="K2701" s="33"/>
      <c r="L2701" s="33"/>
      <c r="M2701" s="33"/>
      <c r="N2701" s="33"/>
      <c r="O2701" s="33"/>
      <c r="P2701" s="33"/>
      <c r="Q2701" s="33"/>
      <c r="R2701" s="33"/>
      <c r="S2701" s="33"/>
      <c r="T2701" s="33"/>
      <c r="U2701" s="33"/>
      <c r="V2701" s="33"/>
      <c r="W2701" s="33"/>
      <c r="X2701" s="33"/>
      <c r="Y2701" s="33"/>
      <c r="Z2701" s="33"/>
      <c r="AA2701" s="33"/>
      <c r="AB2701" s="33"/>
    </row>
    <row r="2702" spans="1:28" x14ac:dyDescent="0.15">
      <c r="A2702" s="46" t="s">
        <v>5455</v>
      </c>
      <c r="B2702" s="52" t="s">
        <v>7361</v>
      </c>
      <c r="C2702" s="53" t="s">
        <v>5456</v>
      </c>
      <c r="D2702" s="54" t="s">
        <v>10144</v>
      </c>
      <c r="E2702" s="50">
        <f t="shared" si="92"/>
        <v>36.958904109999999</v>
      </c>
      <c r="F2702" s="51">
        <f t="shared" si="92"/>
        <v>4.6312417999999997</v>
      </c>
      <c r="H2702" s="33"/>
      <c r="I2702" s="33"/>
      <c r="J2702" s="33"/>
      <c r="K2702" s="33"/>
      <c r="L2702" s="33"/>
      <c r="M2702" s="33"/>
      <c r="N2702" s="33"/>
      <c r="O2702" s="33"/>
      <c r="P2702" s="33"/>
      <c r="Q2702" s="33"/>
      <c r="R2702" s="33"/>
      <c r="S2702" s="33"/>
      <c r="T2702" s="33"/>
      <c r="U2702" s="33"/>
      <c r="V2702" s="33"/>
      <c r="W2702" s="33"/>
      <c r="X2702" s="33"/>
      <c r="Y2702" s="33"/>
      <c r="Z2702" s="33"/>
      <c r="AA2702" s="33"/>
      <c r="AB2702" s="33"/>
    </row>
    <row r="2703" spans="1:28" x14ac:dyDescent="0.15">
      <c r="A2703" s="46" t="s">
        <v>5457</v>
      </c>
      <c r="B2703" s="52" t="s">
        <v>7361</v>
      </c>
      <c r="C2703" s="53" t="s">
        <v>5458</v>
      </c>
      <c r="D2703" s="54" t="s">
        <v>10145</v>
      </c>
      <c r="E2703" s="50">
        <f t="shared" si="92"/>
        <v>36.972602739999999</v>
      </c>
      <c r="F2703" s="51">
        <f t="shared" si="92"/>
        <v>4.6312281100000003</v>
      </c>
      <c r="H2703" s="33"/>
      <c r="I2703" s="33"/>
      <c r="J2703" s="33"/>
      <c r="K2703" s="33"/>
      <c r="L2703" s="33"/>
      <c r="M2703" s="33"/>
      <c r="N2703" s="33"/>
      <c r="O2703" s="33"/>
      <c r="P2703" s="33"/>
      <c r="Q2703" s="33"/>
      <c r="R2703" s="33"/>
      <c r="S2703" s="33"/>
      <c r="T2703" s="33"/>
      <c r="U2703" s="33"/>
      <c r="V2703" s="33"/>
      <c r="W2703" s="33"/>
      <c r="X2703" s="33"/>
      <c r="Y2703" s="33"/>
      <c r="Z2703" s="33"/>
      <c r="AA2703" s="33"/>
      <c r="AB2703" s="33"/>
    </row>
    <row r="2704" spans="1:28" x14ac:dyDescent="0.15">
      <c r="A2704" s="46" t="s">
        <v>5459</v>
      </c>
      <c r="B2704" s="52" t="s">
        <v>7361</v>
      </c>
      <c r="C2704" s="53" t="s">
        <v>5460</v>
      </c>
      <c r="D2704" s="54" t="s">
        <v>10146</v>
      </c>
      <c r="E2704" s="50">
        <f t="shared" si="92"/>
        <v>36.98630137</v>
      </c>
      <c r="F2704" s="51">
        <f t="shared" si="92"/>
        <v>4.6312145600000001</v>
      </c>
      <c r="H2704" s="33"/>
      <c r="I2704" s="33"/>
      <c r="J2704" s="33"/>
      <c r="K2704" s="33"/>
      <c r="L2704" s="33"/>
      <c r="M2704" s="33"/>
      <c r="N2704" s="33"/>
      <c r="O2704" s="33"/>
      <c r="P2704" s="33"/>
      <c r="Q2704" s="33"/>
      <c r="R2704" s="33"/>
      <c r="S2704" s="33"/>
      <c r="T2704" s="33"/>
      <c r="U2704" s="33"/>
      <c r="V2704" s="33"/>
      <c r="W2704" s="33"/>
      <c r="X2704" s="33"/>
      <c r="Y2704" s="33"/>
      <c r="Z2704" s="33"/>
      <c r="AA2704" s="33"/>
      <c r="AB2704" s="33"/>
    </row>
    <row r="2705" spans="1:28" x14ac:dyDescent="0.15">
      <c r="A2705" s="46" t="s">
        <v>5461</v>
      </c>
      <c r="B2705" s="52" t="s">
        <v>7361</v>
      </c>
      <c r="C2705" s="53" t="s">
        <v>5462</v>
      </c>
      <c r="D2705" s="54" t="s">
        <v>10147</v>
      </c>
      <c r="E2705" s="50">
        <f t="shared" si="92"/>
        <v>37</v>
      </c>
      <c r="F2705" s="51">
        <f t="shared" si="92"/>
        <v>4.6312011599999998</v>
      </c>
      <c r="H2705" s="33"/>
      <c r="I2705" s="33"/>
      <c r="J2705" s="33"/>
      <c r="K2705" s="33"/>
      <c r="L2705" s="33"/>
      <c r="M2705" s="33"/>
      <c r="N2705" s="33"/>
      <c r="O2705" s="33"/>
      <c r="P2705" s="33"/>
      <c r="Q2705" s="33"/>
      <c r="R2705" s="33"/>
      <c r="S2705" s="33"/>
      <c r="T2705" s="33"/>
      <c r="U2705" s="33"/>
      <c r="V2705" s="33"/>
      <c r="W2705" s="33"/>
      <c r="X2705" s="33"/>
      <c r="Y2705" s="33"/>
      <c r="Z2705" s="33"/>
      <c r="AA2705" s="33"/>
      <c r="AB2705" s="33"/>
    </row>
    <row r="2706" spans="1:28" x14ac:dyDescent="0.15">
      <c r="A2706" s="46" t="s">
        <v>5463</v>
      </c>
      <c r="B2706" s="52" t="s">
        <v>7361</v>
      </c>
      <c r="C2706" s="53" t="s">
        <v>5464</v>
      </c>
      <c r="D2706" s="54" t="s">
        <v>10148</v>
      </c>
      <c r="E2706" s="50">
        <f t="shared" si="92"/>
        <v>37.01369863</v>
      </c>
      <c r="F2706" s="51">
        <f t="shared" si="92"/>
        <v>4.6311878699999998</v>
      </c>
      <c r="H2706" s="33"/>
      <c r="I2706" s="33"/>
      <c r="J2706" s="33"/>
      <c r="K2706" s="33"/>
      <c r="L2706" s="33"/>
      <c r="M2706" s="33"/>
      <c r="N2706" s="33"/>
      <c r="O2706" s="33"/>
      <c r="P2706" s="33"/>
      <c r="Q2706" s="33"/>
      <c r="R2706" s="33"/>
      <c r="S2706" s="33"/>
      <c r="T2706" s="33"/>
      <c r="U2706" s="33"/>
      <c r="V2706" s="33"/>
      <c r="W2706" s="33"/>
      <c r="X2706" s="33"/>
      <c r="Y2706" s="33"/>
      <c r="Z2706" s="33"/>
      <c r="AA2706" s="33"/>
      <c r="AB2706" s="33"/>
    </row>
    <row r="2707" spans="1:28" x14ac:dyDescent="0.15">
      <c r="A2707" s="46" t="s">
        <v>5465</v>
      </c>
      <c r="B2707" s="52" t="s">
        <v>7361</v>
      </c>
      <c r="C2707" s="53" t="s">
        <v>5466</v>
      </c>
      <c r="D2707" s="54" t="s">
        <v>10149</v>
      </c>
      <c r="E2707" s="50">
        <f t="shared" si="92"/>
        <v>37.027397260000001</v>
      </c>
      <c r="F2707" s="51">
        <f t="shared" si="92"/>
        <v>4.6311746500000002</v>
      </c>
      <c r="H2707" s="33"/>
      <c r="I2707" s="33"/>
      <c r="J2707" s="33"/>
      <c r="K2707" s="33"/>
      <c r="L2707" s="33"/>
      <c r="M2707" s="33"/>
      <c r="N2707" s="33"/>
      <c r="O2707" s="33"/>
      <c r="P2707" s="33"/>
      <c r="Q2707" s="33"/>
      <c r="R2707" s="33"/>
      <c r="S2707" s="33"/>
      <c r="T2707" s="33"/>
      <c r="U2707" s="33"/>
      <c r="V2707" s="33"/>
      <c r="W2707" s="33"/>
      <c r="X2707" s="33"/>
      <c r="Y2707" s="33"/>
      <c r="Z2707" s="33"/>
      <c r="AA2707" s="33"/>
      <c r="AB2707" s="33"/>
    </row>
    <row r="2708" spans="1:28" x14ac:dyDescent="0.15">
      <c r="A2708" s="46" t="s">
        <v>5467</v>
      </c>
      <c r="B2708" s="52" t="s">
        <v>7361</v>
      </c>
      <c r="C2708" s="53" t="s">
        <v>5468</v>
      </c>
      <c r="D2708" s="54" t="s">
        <v>10150</v>
      </c>
      <c r="E2708" s="50">
        <f t="shared" si="92"/>
        <v>37.041095890000001</v>
      </c>
      <c r="F2708" s="51">
        <f t="shared" si="92"/>
        <v>4.6311614900000002</v>
      </c>
      <c r="H2708" s="33"/>
      <c r="I2708" s="33"/>
      <c r="J2708" s="33"/>
      <c r="K2708" s="33"/>
      <c r="L2708" s="33"/>
      <c r="M2708" s="33"/>
      <c r="N2708" s="33"/>
      <c r="O2708" s="33"/>
      <c r="P2708" s="33"/>
      <c r="Q2708" s="33"/>
      <c r="R2708" s="33"/>
      <c r="S2708" s="33"/>
      <c r="T2708" s="33"/>
      <c r="U2708" s="33"/>
      <c r="V2708" s="33"/>
      <c r="W2708" s="33"/>
      <c r="X2708" s="33"/>
      <c r="Y2708" s="33"/>
      <c r="Z2708" s="33"/>
      <c r="AA2708" s="33"/>
      <c r="AB2708" s="33"/>
    </row>
    <row r="2709" spans="1:28" x14ac:dyDescent="0.15">
      <c r="A2709" s="46" t="s">
        <v>5469</v>
      </c>
      <c r="B2709" s="52" t="s">
        <v>7361</v>
      </c>
      <c r="C2709" s="53" t="s">
        <v>5470</v>
      </c>
      <c r="D2709" s="54" t="s">
        <v>10151</v>
      </c>
      <c r="E2709" s="50">
        <f t="shared" si="92"/>
        <v>37.054794520000002</v>
      </c>
      <c r="F2709" s="51">
        <f t="shared" si="92"/>
        <v>4.6311483899999999</v>
      </c>
      <c r="H2709" s="33"/>
      <c r="I2709" s="33"/>
      <c r="J2709" s="33"/>
      <c r="K2709" s="33"/>
      <c r="L2709" s="33"/>
      <c r="M2709" s="33"/>
      <c r="N2709" s="33"/>
      <c r="O2709" s="33"/>
      <c r="P2709" s="33"/>
      <c r="Q2709" s="33"/>
      <c r="R2709" s="33"/>
      <c r="S2709" s="33"/>
      <c r="T2709" s="33"/>
      <c r="U2709" s="33"/>
      <c r="V2709" s="33"/>
      <c r="W2709" s="33"/>
      <c r="X2709" s="33"/>
      <c r="Y2709" s="33"/>
      <c r="Z2709" s="33"/>
      <c r="AA2709" s="33"/>
      <c r="AB2709" s="33"/>
    </row>
    <row r="2710" spans="1:28" x14ac:dyDescent="0.15">
      <c r="A2710" s="46" t="s">
        <v>5471</v>
      </c>
      <c r="B2710" s="52" t="s">
        <v>7361</v>
      </c>
      <c r="C2710" s="53" t="s">
        <v>5472</v>
      </c>
      <c r="D2710" s="54" t="s">
        <v>10152</v>
      </c>
      <c r="E2710" s="50">
        <f t="shared" si="92"/>
        <v>37.068493150000002</v>
      </c>
      <c r="F2710" s="51">
        <f t="shared" si="92"/>
        <v>4.6311353500000001</v>
      </c>
      <c r="H2710" s="33"/>
      <c r="I2710" s="33"/>
      <c r="J2710" s="33"/>
      <c r="K2710" s="33"/>
      <c r="L2710" s="33"/>
      <c r="M2710" s="33"/>
      <c r="N2710" s="33"/>
      <c r="O2710" s="33"/>
      <c r="P2710" s="33"/>
      <c r="Q2710" s="33"/>
      <c r="R2710" s="33"/>
      <c r="S2710" s="33"/>
      <c r="T2710" s="33"/>
      <c r="U2710" s="33"/>
      <c r="V2710" s="33"/>
      <c r="W2710" s="33"/>
      <c r="X2710" s="33"/>
      <c r="Y2710" s="33"/>
      <c r="Z2710" s="33"/>
      <c r="AA2710" s="33"/>
      <c r="AB2710" s="33"/>
    </row>
    <row r="2711" spans="1:28" x14ac:dyDescent="0.15">
      <c r="A2711" s="46" t="s">
        <v>5473</v>
      </c>
      <c r="B2711" s="52" t="s">
        <v>7361</v>
      </c>
      <c r="C2711" s="53" t="s">
        <v>5474</v>
      </c>
      <c r="D2711" s="54" t="s">
        <v>10153</v>
      </c>
      <c r="E2711" s="50">
        <f t="shared" si="92"/>
        <v>37.082191780000002</v>
      </c>
      <c r="F2711" s="51">
        <f t="shared" si="92"/>
        <v>4.6311223699999999</v>
      </c>
      <c r="H2711" s="33"/>
      <c r="I2711" s="33"/>
      <c r="J2711" s="33"/>
      <c r="K2711" s="33"/>
      <c r="L2711" s="33"/>
      <c r="M2711" s="33"/>
      <c r="N2711" s="33"/>
      <c r="O2711" s="33"/>
      <c r="P2711" s="33"/>
      <c r="Q2711" s="33"/>
      <c r="R2711" s="33"/>
      <c r="S2711" s="33"/>
      <c r="T2711" s="33"/>
      <c r="U2711" s="33"/>
      <c r="V2711" s="33"/>
      <c r="W2711" s="33"/>
      <c r="X2711" s="33"/>
      <c r="Y2711" s="33"/>
      <c r="Z2711" s="33"/>
      <c r="AA2711" s="33"/>
      <c r="AB2711" s="33"/>
    </row>
    <row r="2712" spans="1:28" x14ac:dyDescent="0.15">
      <c r="A2712" s="46" t="s">
        <v>5475</v>
      </c>
      <c r="B2712" s="52" t="s">
        <v>7361</v>
      </c>
      <c r="C2712" s="53" t="s">
        <v>5476</v>
      </c>
      <c r="D2712" s="54" t="s">
        <v>10154</v>
      </c>
      <c r="E2712" s="50">
        <f t="shared" si="92"/>
        <v>37.095890410000003</v>
      </c>
      <c r="F2712" s="51">
        <f t="shared" si="92"/>
        <v>4.6311094400000004</v>
      </c>
      <c r="H2712" s="33"/>
      <c r="I2712" s="33"/>
      <c r="J2712" s="33"/>
      <c r="K2712" s="33"/>
      <c r="L2712" s="33"/>
      <c r="M2712" s="33"/>
      <c r="N2712" s="33"/>
      <c r="O2712" s="33"/>
      <c r="P2712" s="33"/>
      <c r="Q2712" s="33"/>
      <c r="R2712" s="33"/>
      <c r="S2712" s="33"/>
      <c r="T2712" s="33"/>
      <c r="U2712" s="33"/>
      <c r="V2712" s="33"/>
      <c r="W2712" s="33"/>
      <c r="X2712" s="33"/>
      <c r="Y2712" s="33"/>
      <c r="Z2712" s="33"/>
      <c r="AA2712" s="33"/>
      <c r="AB2712" s="33"/>
    </row>
    <row r="2713" spans="1:28" x14ac:dyDescent="0.15">
      <c r="A2713" s="46" t="s">
        <v>5477</v>
      </c>
      <c r="B2713" s="52" t="s">
        <v>7361</v>
      </c>
      <c r="C2713" s="53" t="s">
        <v>5478</v>
      </c>
      <c r="D2713" s="54" t="s">
        <v>10155</v>
      </c>
      <c r="E2713" s="50">
        <f t="shared" si="92"/>
        <v>37.109589040000003</v>
      </c>
      <c r="F2713" s="51">
        <f t="shared" si="92"/>
        <v>4.6310965599999996</v>
      </c>
      <c r="H2713" s="33"/>
      <c r="I2713" s="33"/>
      <c r="J2713" s="33"/>
      <c r="K2713" s="33"/>
      <c r="L2713" s="33"/>
      <c r="M2713" s="33"/>
      <c r="N2713" s="33"/>
      <c r="O2713" s="33"/>
      <c r="P2713" s="33"/>
      <c r="Q2713" s="33"/>
      <c r="R2713" s="33"/>
      <c r="S2713" s="33"/>
      <c r="T2713" s="33"/>
      <c r="U2713" s="33"/>
      <c r="V2713" s="33"/>
      <c r="W2713" s="33"/>
      <c r="X2713" s="33"/>
      <c r="Y2713" s="33"/>
      <c r="Z2713" s="33"/>
      <c r="AA2713" s="33"/>
      <c r="AB2713" s="33"/>
    </row>
    <row r="2714" spans="1:28" x14ac:dyDescent="0.15">
      <c r="A2714" s="46" t="s">
        <v>5479</v>
      </c>
      <c r="B2714" s="52" t="s">
        <v>7361</v>
      </c>
      <c r="C2714" s="53" t="s">
        <v>5480</v>
      </c>
      <c r="D2714" s="54" t="s">
        <v>10156</v>
      </c>
      <c r="E2714" s="50">
        <f t="shared" si="92"/>
        <v>37.123287670000003</v>
      </c>
      <c r="F2714" s="51">
        <f t="shared" si="92"/>
        <v>4.6310837300000003</v>
      </c>
      <c r="H2714" s="33"/>
      <c r="I2714" s="33"/>
      <c r="J2714" s="33"/>
      <c r="K2714" s="33"/>
      <c r="L2714" s="33"/>
      <c r="M2714" s="33"/>
      <c r="N2714" s="33"/>
      <c r="O2714" s="33"/>
      <c r="P2714" s="33"/>
      <c r="Q2714" s="33"/>
      <c r="R2714" s="33"/>
      <c r="S2714" s="33"/>
      <c r="T2714" s="33"/>
      <c r="U2714" s="33"/>
      <c r="V2714" s="33"/>
      <c r="W2714" s="33"/>
      <c r="X2714" s="33"/>
      <c r="Y2714" s="33"/>
      <c r="Z2714" s="33"/>
      <c r="AA2714" s="33"/>
      <c r="AB2714" s="33"/>
    </row>
    <row r="2715" spans="1:28" x14ac:dyDescent="0.15">
      <c r="A2715" s="46" t="s">
        <v>5481</v>
      </c>
      <c r="B2715" s="52" t="s">
        <v>7361</v>
      </c>
      <c r="C2715" s="53" t="s">
        <v>5482</v>
      </c>
      <c r="D2715" s="54" t="s">
        <v>10157</v>
      </c>
      <c r="E2715" s="50">
        <f t="shared" si="92"/>
        <v>37.136986299999997</v>
      </c>
      <c r="F2715" s="51">
        <f t="shared" si="92"/>
        <v>4.6310709399999999</v>
      </c>
      <c r="H2715" s="33"/>
      <c r="I2715" s="33"/>
      <c r="J2715" s="33"/>
      <c r="K2715" s="33"/>
      <c r="L2715" s="33"/>
      <c r="M2715" s="33"/>
      <c r="N2715" s="33"/>
      <c r="O2715" s="33"/>
      <c r="P2715" s="33"/>
      <c r="Q2715" s="33"/>
      <c r="R2715" s="33"/>
      <c r="S2715" s="33"/>
      <c r="T2715" s="33"/>
      <c r="U2715" s="33"/>
      <c r="V2715" s="33"/>
      <c r="W2715" s="33"/>
      <c r="X2715" s="33"/>
      <c r="Y2715" s="33"/>
      <c r="Z2715" s="33"/>
      <c r="AA2715" s="33"/>
      <c r="AB2715" s="33"/>
    </row>
    <row r="2716" spans="1:28" x14ac:dyDescent="0.15">
      <c r="A2716" s="46" t="s">
        <v>5483</v>
      </c>
      <c r="B2716" s="52" t="s">
        <v>7361</v>
      </c>
      <c r="C2716" s="53" t="s">
        <v>5484</v>
      </c>
      <c r="D2716" s="54" t="s">
        <v>10158</v>
      </c>
      <c r="E2716" s="50">
        <f t="shared" si="92"/>
        <v>37.150684929999997</v>
      </c>
      <c r="F2716" s="51">
        <f t="shared" si="92"/>
        <v>4.6310581900000001</v>
      </c>
      <c r="H2716" s="33"/>
      <c r="I2716" s="33"/>
      <c r="J2716" s="33"/>
      <c r="K2716" s="33"/>
      <c r="L2716" s="33"/>
      <c r="M2716" s="33"/>
      <c r="N2716" s="33"/>
      <c r="O2716" s="33"/>
      <c r="P2716" s="33"/>
      <c r="Q2716" s="33"/>
      <c r="R2716" s="33"/>
      <c r="S2716" s="33"/>
      <c r="T2716" s="33"/>
      <c r="U2716" s="33"/>
      <c r="V2716" s="33"/>
      <c r="W2716" s="33"/>
      <c r="X2716" s="33"/>
      <c r="Y2716" s="33"/>
      <c r="Z2716" s="33"/>
      <c r="AA2716" s="33"/>
      <c r="AB2716" s="33"/>
    </row>
    <row r="2717" spans="1:28" x14ac:dyDescent="0.15">
      <c r="A2717" s="46" t="s">
        <v>5485</v>
      </c>
      <c r="B2717" s="52" t="s">
        <v>7361</v>
      </c>
      <c r="C2717" s="53" t="s">
        <v>5486</v>
      </c>
      <c r="D2717" s="54" t="s">
        <v>10159</v>
      </c>
      <c r="E2717" s="50">
        <f t="shared" si="92"/>
        <v>37.164383559999997</v>
      </c>
      <c r="F2717" s="51">
        <f t="shared" si="92"/>
        <v>4.63104548</v>
      </c>
      <c r="H2717" s="33"/>
      <c r="I2717" s="33"/>
      <c r="J2717" s="33"/>
      <c r="K2717" s="33"/>
      <c r="L2717" s="33"/>
      <c r="M2717" s="33"/>
      <c r="N2717" s="33"/>
      <c r="O2717" s="33"/>
      <c r="P2717" s="33"/>
      <c r="Q2717" s="33"/>
      <c r="R2717" s="33"/>
      <c r="S2717" s="33"/>
      <c r="T2717" s="33"/>
      <c r="U2717" s="33"/>
      <c r="V2717" s="33"/>
      <c r="W2717" s="33"/>
      <c r="X2717" s="33"/>
      <c r="Y2717" s="33"/>
      <c r="Z2717" s="33"/>
      <c r="AA2717" s="33"/>
      <c r="AB2717" s="33"/>
    </row>
    <row r="2718" spans="1:28" x14ac:dyDescent="0.15">
      <c r="A2718" s="46" t="s">
        <v>5487</v>
      </c>
      <c r="B2718" s="52" t="s">
        <v>7361</v>
      </c>
      <c r="C2718" s="53" t="s">
        <v>5488</v>
      </c>
      <c r="D2718" s="54" t="s">
        <v>10160</v>
      </c>
      <c r="E2718" s="50">
        <f t="shared" si="92"/>
        <v>37.178082189999998</v>
      </c>
      <c r="F2718" s="51">
        <f t="shared" si="92"/>
        <v>4.6310328099999998</v>
      </c>
      <c r="H2718" s="33"/>
      <c r="I2718" s="33"/>
      <c r="J2718" s="33"/>
      <c r="K2718" s="33"/>
      <c r="L2718" s="33"/>
      <c r="M2718" s="33"/>
      <c r="N2718" s="33"/>
      <c r="O2718" s="33"/>
      <c r="P2718" s="33"/>
      <c r="Q2718" s="33"/>
      <c r="R2718" s="33"/>
      <c r="S2718" s="33"/>
      <c r="T2718" s="33"/>
      <c r="U2718" s="33"/>
      <c r="V2718" s="33"/>
      <c r="W2718" s="33"/>
      <c r="X2718" s="33"/>
      <c r="Y2718" s="33"/>
      <c r="Z2718" s="33"/>
      <c r="AA2718" s="33"/>
      <c r="AB2718" s="33"/>
    </row>
    <row r="2719" spans="1:28" x14ac:dyDescent="0.15">
      <c r="A2719" s="46" t="s">
        <v>5489</v>
      </c>
      <c r="B2719" s="52" t="s">
        <v>7361</v>
      </c>
      <c r="C2719" s="53" t="s">
        <v>5490</v>
      </c>
      <c r="D2719" s="54" t="s">
        <v>10161</v>
      </c>
      <c r="E2719" s="50">
        <f t="shared" si="92"/>
        <v>37.191780819999998</v>
      </c>
      <c r="F2719" s="51">
        <f t="shared" si="92"/>
        <v>4.6310201700000002</v>
      </c>
      <c r="H2719" s="33"/>
      <c r="I2719" s="33"/>
      <c r="J2719" s="33"/>
      <c r="K2719" s="33"/>
      <c r="L2719" s="33"/>
      <c r="M2719" s="33"/>
      <c r="N2719" s="33"/>
      <c r="O2719" s="33"/>
      <c r="P2719" s="33"/>
      <c r="Q2719" s="33"/>
      <c r="R2719" s="33"/>
      <c r="S2719" s="33"/>
      <c r="T2719" s="33"/>
      <c r="U2719" s="33"/>
      <c r="V2719" s="33"/>
      <c r="W2719" s="33"/>
      <c r="X2719" s="33"/>
      <c r="Y2719" s="33"/>
      <c r="Z2719" s="33"/>
      <c r="AA2719" s="33"/>
      <c r="AB2719" s="33"/>
    </row>
    <row r="2720" spans="1:28" x14ac:dyDescent="0.15">
      <c r="A2720" s="46" t="s">
        <v>5491</v>
      </c>
      <c r="B2720" s="52" t="s">
        <v>7361</v>
      </c>
      <c r="C2720" s="53" t="s">
        <v>5492</v>
      </c>
      <c r="D2720" s="54" t="s">
        <v>10162</v>
      </c>
      <c r="E2720" s="50">
        <f t="shared" si="92"/>
        <v>37.205479449999999</v>
      </c>
      <c r="F2720" s="51">
        <f t="shared" si="92"/>
        <v>4.6310075599999996</v>
      </c>
      <c r="H2720" s="33"/>
      <c r="I2720" s="33"/>
      <c r="J2720" s="33"/>
      <c r="K2720" s="33"/>
      <c r="L2720" s="33"/>
      <c r="M2720" s="33"/>
      <c r="N2720" s="33"/>
      <c r="O2720" s="33"/>
      <c r="P2720" s="33"/>
      <c r="Q2720" s="33"/>
      <c r="R2720" s="33"/>
      <c r="S2720" s="33"/>
      <c r="T2720" s="33"/>
      <c r="U2720" s="33"/>
      <c r="V2720" s="33"/>
      <c r="W2720" s="33"/>
      <c r="X2720" s="33"/>
      <c r="Y2720" s="33"/>
      <c r="Z2720" s="33"/>
      <c r="AA2720" s="33"/>
      <c r="AB2720" s="33"/>
    </row>
    <row r="2721" spans="1:28" x14ac:dyDescent="0.15">
      <c r="A2721" s="46" t="s">
        <v>5493</v>
      </c>
      <c r="B2721" s="52" t="s">
        <v>7361</v>
      </c>
      <c r="C2721" s="53" t="s">
        <v>5494</v>
      </c>
      <c r="D2721" s="54" t="s">
        <v>10163</v>
      </c>
      <c r="E2721" s="50">
        <f t="shared" si="92"/>
        <v>37.219178079999999</v>
      </c>
      <c r="F2721" s="51">
        <f t="shared" si="92"/>
        <v>4.6309949799999997</v>
      </c>
      <c r="H2721" s="33"/>
      <c r="I2721" s="33"/>
      <c r="J2721" s="33"/>
      <c r="K2721" s="33"/>
      <c r="L2721" s="33"/>
      <c r="M2721" s="33"/>
      <c r="N2721" s="33"/>
      <c r="O2721" s="33"/>
      <c r="P2721" s="33"/>
      <c r="Q2721" s="33"/>
      <c r="R2721" s="33"/>
      <c r="S2721" s="33"/>
      <c r="T2721" s="33"/>
      <c r="U2721" s="33"/>
      <c r="V2721" s="33"/>
      <c r="W2721" s="33"/>
      <c r="X2721" s="33"/>
      <c r="Y2721" s="33"/>
      <c r="Z2721" s="33"/>
      <c r="AA2721" s="33"/>
      <c r="AB2721" s="33"/>
    </row>
    <row r="2722" spans="1:28" x14ac:dyDescent="0.15">
      <c r="A2722" s="46" t="s">
        <v>5495</v>
      </c>
      <c r="B2722" s="52" t="s">
        <v>7361</v>
      </c>
      <c r="C2722" s="53" t="s">
        <v>5496</v>
      </c>
      <c r="D2722" s="54" t="s">
        <v>10164</v>
      </c>
      <c r="E2722" s="50">
        <f t="shared" si="92"/>
        <v>37.232876709999999</v>
      </c>
      <c r="F2722" s="51">
        <f t="shared" si="92"/>
        <v>4.6309824199999996</v>
      </c>
      <c r="H2722" s="33"/>
      <c r="I2722" s="33"/>
      <c r="J2722" s="33"/>
      <c r="K2722" s="33"/>
      <c r="L2722" s="33"/>
      <c r="M2722" s="33"/>
      <c r="N2722" s="33"/>
      <c r="O2722" s="33"/>
      <c r="P2722" s="33"/>
      <c r="Q2722" s="33"/>
      <c r="R2722" s="33"/>
      <c r="S2722" s="33"/>
      <c r="T2722" s="33"/>
      <c r="U2722" s="33"/>
      <c r="V2722" s="33"/>
      <c r="W2722" s="33"/>
      <c r="X2722" s="33"/>
      <c r="Y2722" s="33"/>
      <c r="Z2722" s="33"/>
      <c r="AA2722" s="33"/>
      <c r="AB2722" s="33"/>
    </row>
    <row r="2723" spans="1:28" x14ac:dyDescent="0.15">
      <c r="A2723" s="46" t="s">
        <v>5497</v>
      </c>
      <c r="B2723" s="52" t="s">
        <v>7361</v>
      </c>
      <c r="C2723" s="53" t="s">
        <v>5498</v>
      </c>
      <c r="D2723" s="54" t="s">
        <v>10165</v>
      </c>
      <c r="E2723" s="50">
        <f t="shared" si="92"/>
        <v>37.24657534</v>
      </c>
      <c r="F2723" s="51">
        <f t="shared" si="92"/>
        <v>4.6309698800000003</v>
      </c>
      <c r="H2723" s="33"/>
      <c r="I2723" s="33"/>
      <c r="J2723" s="33"/>
      <c r="K2723" s="33"/>
      <c r="L2723" s="33"/>
      <c r="M2723" s="33"/>
      <c r="N2723" s="33"/>
      <c r="O2723" s="33"/>
      <c r="P2723" s="33"/>
      <c r="Q2723" s="33"/>
      <c r="R2723" s="33"/>
      <c r="S2723" s="33"/>
      <c r="T2723" s="33"/>
      <c r="U2723" s="33"/>
      <c r="V2723" s="33"/>
      <c r="W2723" s="33"/>
      <c r="X2723" s="33"/>
      <c r="Y2723" s="33"/>
      <c r="Z2723" s="33"/>
      <c r="AA2723" s="33"/>
      <c r="AB2723" s="33"/>
    </row>
    <row r="2724" spans="1:28" x14ac:dyDescent="0.15">
      <c r="A2724" s="46" t="s">
        <v>5499</v>
      </c>
      <c r="B2724" s="52" t="s">
        <v>7361</v>
      </c>
      <c r="C2724" s="53" t="s">
        <v>5500</v>
      </c>
      <c r="D2724" s="54" t="s">
        <v>10166</v>
      </c>
      <c r="E2724" s="50">
        <f t="shared" si="92"/>
        <v>37.26027397</v>
      </c>
      <c r="F2724" s="51">
        <f t="shared" si="92"/>
        <v>4.63095736</v>
      </c>
      <c r="H2724" s="33"/>
      <c r="I2724" s="33"/>
      <c r="J2724" s="33"/>
      <c r="K2724" s="33"/>
      <c r="L2724" s="33"/>
      <c r="M2724" s="33"/>
      <c r="N2724" s="33"/>
      <c r="O2724" s="33"/>
      <c r="P2724" s="33"/>
      <c r="Q2724" s="33"/>
      <c r="R2724" s="33"/>
      <c r="S2724" s="33"/>
      <c r="T2724" s="33"/>
      <c r="U2724" s="33"/>
      <c r="V2724" s="33"/>
      <c r="W2724" s="33"/>
      <c r="X2724" s="33"/>
      <c r="Y2724" s="33"/>
      <c r="Z2724" s="33"/>
      <c r="AA2724" s="33"/>
      <c r="AB2724" s="33"/>
    </row>
    <row r="2725" spans="1:28" x14ac:dyDescent="0.15">
      <c r="A2725" s="46" t="s">
        <v>5501</v>
      </c>
      <c r="B2725" s="52" t="s">
        <v>7361</v>
      </c>
      <c r="C2725" s="53" t="s">
        <v>5502</v>
      </c>
      <c r="D2725" s="54" t="s">
        <v>10167</v>
      </c>
      <c r="E2725" s="50">
        <f t="shared" si="92"/>
        <v>37.2739726</v>
      </c>
      <c r="F2725" s="51">
        <f t="shared" si="92"/>
        <v>4.6309448599999996</v>
      </c>
      <c r="H2725" s="33"/>
      <c r="I2725" s="33"/>
      <c r="J2725" s="33"/>
      <c r="K2725" s="33"/>
      <c r="L2725" s="33"/>
      <c r="M2725" s="33"/>
      <c r="N2725" s="33"/>
      <c r="O2725" s="33"/>
      <c r="P2725" s="33"/>
      <c r="Q2725" s="33"/>
      <c r="R2725" s="33"/>
      <c r="S2725" s="33"/>
      <c r="T2725" s="33"/>
      <c r="U2725" s="33"/>
      <c r="V2725" s="33"/>
      <c r="W2725" s="33"/>
      <c r="X2725" s="33"/>
      <c r="Y2725" s="33"/>
      <c r="Z2725" s="33"/>
      <c r="AA2725" s="33"/>
      <c r="AB2725" s="33"/>
    </row>
    <row r="2726" spans="1:28" x14ac:dyDescent="0.15">
      <c r="A2726" s="46" t="s">
        <v>5503</v>
      </c>
      <c r="B2726" s="52" t="s">
        <v>7361</v>
      </c>
      <c r="C2726" s="53" t="s">
        <v>5504</v>
      </c>
      <c r="D2726" s="54" t="s">
        <v>10168</v>
      </c>
      <c r="E2726" s="50">
        <f t="shared" si="92"/>
        <v>37.287671230000001</v>
      </c>
      <c r="F2726" s="51">
        <f t="shared" si="92"/>
        <v>4.6309323600000001</v>
      </c>
      <c r="H2726" s="33"/>
      <c r="I2726" s="33"/>
      <c r="J2726" s="33"/>
      <c r="K2726" s="33"/>
      <c r="L2726" s="33"/>
      <c r="M2726" s="33"/>
      <c r="N2726" s="33"/>
      <c r="O2726" s="33"/>
      <c r="P2726" s="33"/>
      <c r="Q2726" s="33"/>
      <c r="R2726" s="33"/>
      <c r="S2726" s="33"/>
      <c r="T2726" s="33"/>
      <c r="U2726" s="33"/>
      <c r="V2726" s="33"/>
      <c r="W2726" s="33"/>
      <c r="X2726" s="33"/>
      <c r="Y2726" s="33"/>
      <c r="Z2726" s="33"/>
      <c r="AA2726" s="33"/>
      <c r="AB2726" s="33"/>
    </row>
    <row r="2727" spans="1:28" x14ac:dyDescent="0.15">
      <c r="A2727" s="46" t="s">
        <v>5505</v>
      </c>
      <c r="B2727" s="52" t="s">
        <v>7361</v>
      </c>
      <c r="C2727" s="53" t="s">
        <v>5506</v>
      </c>
      <c r="D2727" s="54" t="s">
        <v>10169</v>
      </c>
      <c r="E2727" s="50">
        <f t="shared" si="92"/>
        <v>37.301369860000001</v>
      </c>
      <c r="F2727" s="51">
        <f t="shared" si="92"/>
        <v>4.6309198800000004</v>
      </c>
      <c r="H2727" s="33"/>
      <c r="I2727" s="33"/>
      <c r="J2727" s="33"/>
      <c r="K2727" s="33"/>
      <c r="L2727" s="33"/>
      <c r="M2727" s="33"/>
      <c r="N2727" s="33"/>
      <c r="O2727" s="33"/>
      <c r="P2727" s="33"/>
      <c r="Q2727" s="33"/>
      <c r="R2727" s="33"/>
      <c r="S2727" s="33"/>
      <c r="T2727" s="33"/>
      <c r="U2727" s="33"/>
      <c r="V2727" s="33"/>
      <c r="W2727" s="33"/>
      <c r="X2727" s="33"/>
      <c r="Y2727" s="33"/>
      <c r="Z2727" s="33"/>
      <c r="AA2727" s="33"/>
      <c r="AB2727" s="33"/>
    </row>
    <row r="2728" spans="1:28" x14ac:dyDescent="0.15">
      <c r="A2728" s="46" t="s">
        <v>5507</v>
      </c>
      <c r="B2728" s="52" t="s">
        <v>7361</v>
      </c>
      <c r="C2728" s="53" t="s">
        <v>5508</v>
      </c>
      <c r="D2728" s="54" t="s">
        <v>10170</v>
      </c>
      <c r="E2728" s="50">
        <f t="shared" si="92"/>
        <v>37.315068490000002</v>
      </c>
      <c r="F2728" s="51">
        <f t="shared" si="92"/>
        <v>4.6309074099999998</v>
      </c>
      <c r="H2728" s="33"/>
      <c r="I2728" s="33"/>
      <c r="J2728" s="33"/>
      <c r="K2728" s="33"/>
      <c r="L2728" s="33"/>
      <c r="M2728" s="33"/>
      <c r="N2728" s="33"/>
      <c r="O2728" s="33"/>
      <c r="P2728" s="33"/>
      <c r="Q2728" s="33"/>
      <c r="R2728" s="33"/>
      <c r="S2728" s="33"/>
      <c r="T2728" s="33"/>
      <c r="U2728" s="33"/>
      <c r="V2728" s="33"/>
      <c r="W2728" s="33"/>
      <c r="X2728" s="33"/>
      <c r="Y2728" s="33"/>
      <c r="Z2728" s="33"/>
      <c r="AA2728" s="33"/>
      <c r="AB2728" s="33"/>
    </row>
    <row r="2729" spans="1:28" x14ac:dyDescent="0.15">
      <c r="A2729" s="46" t="s">
        <v>5509</v>
      </c>
      <c r="B2729" s="52" t="s">
        <v>7361</v>
      </c>
      <c r="C2729" s="53" t="s">
        <v>5510</v>
      </c>
      <c r="D2729" s="54" t="s">
        <v>10171</v>
      </c>
      <c r="E2729" s="50">
        <f t="shared" si="92"/>
        <v>37.328767120000002</v>
      </c>
      <c r="F2729" s="51">
        <f t="shared" si="92"/>
        <v>4.6308949300000002</v>
      </c>
      <c r="H2729" s="33"/>
      <c r="I2729" s="33"/>
      <c r="J2729" s="33"/>
      <c r="K2729" s="33"/>
      <c r="L2729" s="33"/>
      <c r="M2729" s="33"/>
      <c r="N2729" s="33"/>
      <c r="O2729" s="33"/>
      <c r="P2729" s="33"/>
      <c r="Q2729" s="33"/>
      <c r="R2729" s="33"/>
      <c r="S2729" s="33"/>
      <c r="T2729" s="33"/>
      <c r="U2729" s="33"/>
      <c r="V2729" s="33"/>
      <c r="W2729" s="33"/>
      <c r="X2729" s="33"/>
      <c r="Y2729" s="33"/>
      <c r="Z2729" s="33"/>
      <c r="AA2729" s="33"/>
      <c r="AB2729" s="33"/>
    </row>
    <row r="2730" spans="1:28" x14ac:dyDescent="0.15">
      <c r="A2730" s="46" t="s">
        <v>5511</v>
      </c>
      <c r="B2730" s="52" t="s">
        <v>7361</v>
      </c>
      <c r="C2730" s="53" t="s">
        <v>5512</v>
      </c>
      <c r="D2730" s="54" t="s">
        <v>10172</v>
      </c>
      <c r="E2730" s="50">
        <f t="shared" ref="E2730:F2759" si="93">VALUE(C2730)</f>
        <v>37.342465750000002</v>
      </c>
      <c r="F2730" s="51">
        <f t="shared" si="93"/>
        <v>4.6308824599999996</v>
      </c>
      <c r="H2730" s="33"/>
      <c r="I2730" s="33"/>
      <c r="J2730" s="33"/>
      <c r="K2730" s="33"/>
      <c r="L2730" s="33"/>
      <c r="M2730" s="33"/>
      <c r="N2730" s="33"/>
      <c r="O2730" s="33"/>
      <c r="P2730" s="33"/>
      <c r="Q2730" s="33"/>
      <c r="R2730" s="33"/>
      <c r="S2730" s="33"/>
      <c r="T2730" s="33"/>
      <c r="U2730" s="33"/>
      <c r="V2730" s="33"/>
      <c r="W2730" s="33"/>
      <c r="X2730" s="33"/>
      <c r="Y2730" s="33"/>
      <c r="Z2730" s="33"/>
      <c r="AA2730" s="33"/>
      <c r="AB2730" s="33"/>
    </row>
    <row r="2731" spans="1:28" x14ac:dyDescent="0.15">
      <c r="A2731" s="46" t="s">
        <v>5513</v>
      </c>
      <c r="B2731" s="52" t="s">
        <v>7361</v>
      </c>
      <c r="C2731" s="53" t="s">
        <v>5514</v>
      </c>
      <c r="D2731" s="54" t="s">
        <v>10173</v>
      </c>
      <c r="E2731" s="50">
        <f t="shared" si="93"/>
        <v>37.356164380000003</v>
      </c>
      <c r="F2731" s="51">
        <f t="shared" si="93"/>
        <v>4.6308699899999999</v>
      </c>
      <c r="H2731" s="33"/>
      <c r="I2731" s="33"/>
      <c r="J2731" s="33"/>
      <c r="K2731" s="33"/>
      <c r="L2731" s="33"/>
      <c r="M2731" s="33"/>
      <c r="N2731" s="33"/>
      <c r="O2731" s="33"/>
      <c r="P2731" s="33"/>
      <c r="Q2731" s="33"/>
      <c r="R2731" s="33"/>
      <c r="S2731" s="33"/>
      <c r="T2731" s="33"/>
      <c r="U2731" s="33"/>
      <c r="V2731" s="33"/>
      <c r="W2731" s="33"/>
      <c r="X2731" s="33"/>
      <c r="Y2731" s="33"/>
      <c r="Z2731" s="33"/>
      <c r="AA2731" s="33"/>
      <c r="AB2731" s="33"/>
    </row>
    <row r="2732" spans="1:28" x14ac:dyDescent="0.15">
      <c r="A2732" s="46" t="s">
        <v>5515</v>
      </c>
      <c r="B2732" s="52" t="s">
        <v>7361</v>
      </c>
      <c r="C2732" s="53" t="s">
        <v>5516</v>
      </c>
      <c r="D2732" s="54" t="s">
        <v>10174</v>
      </c>
      <c r="E2732" s="50">
        <f t="shared" si="93"/>
        <v>37.369863010000003</v>
      </c>
      <c r="F2732" s="51">
        <f t="shared" si="93"/>
        <v>4.6308575100000002</v>
      </c>
      <c r="H2732" s="33"/>
      <c r="I2732" s="33"/>
      <c r="J2732" s="33"/>
      <c r="K2732" s="33"/>
      <c r="L2732" s="33"/>
      <c r="M2732" s="33"/>
      <c r="N2732" s="33"/>
      <c r="O2732" s="33"/>
      <c r="P2732" s="33"/>
      <c r="Q2732" s="33"/>
      <c r="R2732" s="33"/>
      <c r="S2732" s="33"/>
      <c r="T2732" s="33"/>
      <c r="U2732" s="33"/>
      <c r="V2732" s="33"/>
      <c r="W2732" s="33"/>
      <c r="X2732" s="33"/>
      <c r="Y2732" s="33"/>
      <c r="Z2732" s="33"/>
      <c r="AA2732" s="33"/>
      <c r="AB2732" s="33"/>
    </row>
    <row r="2733" spans="1:28" x14ac:dyDescent="0.15">
      <c r="A2733" s="46" t="s">
        <v>5517</v>
      </c>
      <c r="B2733" s="52" t="s">
        <v>7361</v>
      </c>
      <c r="C2733" s="53" t="s">
        <v>5518</v>
      </c>
      <c r="D2733" s="54" t="s">
        <v>10175</v>
      </c>
      <c r="E2733" s="50">
        <f t="shared" si="93"/>
        <v>37.383561640000003</v>
      </c>
      <c r="F2733" s="51">
        <f t="shared" si="93"/>
        <v>4.6308450299999997</v>
      </c>
      <c r="H2733" s="33"/>
      <c r="I2733" s="33"/>
      <c r="J2733" s="33"/>
      <c r="K2733" s="33"/>
      <c r="L2733" s="33"/>
      <c r="M2733" s="33"/>
      <c r="N2733" s="33"/>
      <c r="O2733" s="33"/>
      <c r="P2733" s="33"/>
      <c r="Q2733" s="33"/>
      <c r="R2733" s="33"/>
      <c r="S2733" s="33"/>
      <c r="T2733" s="33"/>
      <c r="U2733" s="33"/>
      <c r="V2733" s="33"/>
      <c r="W2733" s="33"/>
      <c r="X2733" s="33"/>
      <c r="Y2733" s="33"/>
      <c r="Z2733" s="33"/>
      <c r="AA2733" s="33"/>
      <c r="AB2733" s="33"/>
    </row>
    <row r="2734" spans="1:28" x14ac:dyDescent="0.15">
      <c r="A2734" s="46" t="s">
        <v>5519</v>
      </c>
      <c r="B2734" s="52" t="s">
        <v>7361</v>
      </c>
      <c r="C2734" s="53" t="s">
        <v>5520</v>
      </c>
      <c r="D2734" s="54" t="s">
        <v>10176</v>
      </c>
      <c r="E2734" s="50">
        <f t="shared" si="93"/>
        <v>37.397260269999997</v>
      </c>
      <c r="F2734" s="51">
        <f t="shared" si="93"/>
        <v>4.6308325300000002</v>
      </c>
      <c r="H2734" s="33"/>
      <c r="I2734" s="33"/>
      <c r="J2734" s="33"/>
      <c r="K2734" s="33"/>
      <c r="L2734" s="33"/>
      <c r="M2734" s="33"/>
      <c r="N2734" s="33"/>
      <c r="O2734" s="33"/>
      <c r="P2734" s="33"/>
      <c r="Q2734" s="33"/>
      <c r="R2734" s="33"/>
      <c r="S2734" s="33"/>
      <c r="T2734" s="33"/>
      <c r="U2734" s="33"/>
      <c r="V2734" s="33"/>
      <c r="W2734" s="33"/>
      <c r="X2734" s="33"/>
      <c r="Y2734" s="33"/>
      <c r="Z2734" s="33"/>
      <c r="AA2734" s="33"/>
      <c r="AB2734" s="33"/>
    </row>
    <row r="2735" spans="1:28" x14ac:dyDescent="0.15">
      <c r="A2735" s="46" t="s">
        <v>5521</v>
      </c>
      <c r="B2735" s="52" t="s">
        <v>7361</v>
      </c>
      <c r="C2735" s="53" t="s">
        <v>5522</v>
      </c>
      <c r="D2735" s="54" t="s">
        <v>10177</v>
      </c>
      <c r="E2735" s="50">
        <f t="shared" si="93"/>
        <v>37.410958899999997</v>
      </c>
      <c r="F2735" s="51">
        <f t="shared" si="93"/>
        <v>4.6308200299999998</v>
      </c>
      <c r="H2735" s="33"/>
      <c r="I2735" s="33"/>
      <c r="J2735" s="33"/>
      <c r="K2735" s="33"/>
      <c r="L2735" s="33"/>
      <c r="M2735" s="33"/>
      <c r="N2735" s="33"/>
      <c r="O2735" s="33"/>
      <c r="P2735" s="33"/>
      <c r="Q2735" s="33"/>
      <c r="R2735" s="33"/>
      <c r="S2735" s="33"/>
      <c r="T2735" s="33"/>
      <c r="U2735" s="33"/>
      <c r="V2735" s="33"/>
      <c r="W2735" s="33"/>
      <c r="X2735" s="33"/>
      <c r="Y2735" s="33"/>
      <c r="Z2735" s="33"/>
      <c r="AA2735" s="33"/>
      <c r="AB2735" s="33"/>
    </row>
    <row r="2736" spans="1:28" x14ac:dyDescent="0.15">
      <c r="A2736" s="46" t="s">
        <v>5523</v>
      </c>
      <c r="B2736" s="52" t="s">
        <v>7361</v>
      </c>
      <c r="C2736" s="53" t="s">
        <v>5524</v>
      </c>
      <c r="D2736" s="54" t="s">
        <v>10178</v>
      </c>
      <c r="E2736" s="50">
        <f t="shared" si="93"/>
        <v>37.424657529999998</v>
      </c>
      <c r="F2736" s="51">
        <f t="shared" si="93"/>
        <v>4.6308075000000004</v>
      </c>
      <c r="H2736" s="33"/>
      <c r="I2736" s="33"/>
      <c r="J2736" s="33"/>
      <c r="K2736" s="33"/>
      <c r="L2736" s="33"/>
      <c r="M2736" s="33"/>
      <c r="N2736" s="33"/>
      <c r="O2736" s="33"/>
      <c r="P2736" s="33"/>
      <c r="Q2736" s="33"/>
      <c r="R2736" s="33"/>
      <c r="S2736" s="33"/>
      <c r="T2736" s="33"/>
      <c r="U2736" s="33"/>
      <c r="V2736" s="33"/>
      <c r="W2736" s="33"/>
      <c r="X2736" s="33"/>
      <c r="Y2736" s="33"/>
      <c r="Z2736" s="33"/>
      <c r="AA2736" s="33"/>
      <c r="AB2736" s="33"/>
    </row>
    <row r="2737" spans="1:28" x14ac:dyDescent="0.15">
      <c r="A2737" s="46" t="s">
        <v>5525</v>
      </c>
      <c r="B2737" s="52" t="s">
        <v>7361</v>
      </c>
      <c r="C2737" s="53" t="s">
        <v>5526</v>
      </c>
      <c r="D2737" s="54" t="s">
        <v>10179</v>
      </c>
      <c r="E2737" s="50">
        <f t="shared" si="93"/>
        <v>37.438356159999998</v>
      </c>
      <c r="F2737" s="51">
        <f t="shared" si="93"/>
        <v>4.6307949600000002</v>
      </c>
      <c r="H2737" s="33"/>
      <c r="I2737" s="33"/>
      <c r="J2737" s="33"/>
      <c r="K2737" s="33"/>
      <c r="L2737" s="33"/>
      <c r="M2737" s="33"/>
      <c r="N2737" s="33"/>
      <c r="O2737" s="33"/>
      <c r="P2737" s="33"/>
      <c r="Q2737" s="33"/>
      <c r="R2737" s="33"/>
      <c r="S2737" s="33"/>
      <c r="T2737" s="33"/>
      <c r="U2737" s="33"/>
      <c r="V2737" s="33"/>
      <c r="W2737" s="33"/>
      <c r="X2737" s="33"/>
      <c r="Y2737" s="33"/>
      <c r="Z2737" s="33"/>
      <c r="AA2737" s="33"/>
      <c r="AB2737" s="33"/>
    </row>
    <row r="2738" spans="1:28" x14ac:dyDescent="0.15">
      <c r="A2738" s="46" t="s">
        <v>5527</v>
      </c>
      <c r="B2738" s="52" t="s">
        <v>7361</v>
      </c>
      <c r="C2738" s="53" t="s">
        <v>5528</v>
      </c>
      <c r="D2738" s="54" t="s">
        <v>10180</v>
      </c>
      <c r="E2738" s="50">
        <f t="shared" si="93"/>
        <v>37.452054789999998</v>
      </c>
      <c r="F2738" s="51">
        <f t="shared" si="93"/>
        <v>4.6307823900000002</v>
      </c>
      <c r="H2738" s="33"/>
      <c r="I2738" s="33"/>
      <c r="J2738" s="33"/>
      <c r="K2738" s="33"/>
      <c r="L2738" s="33"/>
      <c r="M2738" s="33"/>
      <c r="N2738" s="33"/>
      <c r="O2738" s="33"/>
      <c r="P2738" s="33"/>
      <c r="Q2738" s="33"/>
      <c r="R2738" s="33"/>
      <c r="S2738" s="33"/>
      <c r="T2738" s="33"/>
      <c r="U2738" s="33"/>
      <c r="V2738" s="33"/>
      <c r="W2738" s="33"/>
      <c r="X2738" s="33"/>
      <c r="Y2738" s="33"/>
      <c r="Z2738" s="33"/>
      <c r="AA2738" s="33"/>
      <c r="AB2738" s="33"/>
    </row>
    <row r="2739" spans="1:28" x14ac:dyDescent="0.15">
      <c r="A2739" s="46" t="s">
        <v>5529</v>
      </c>
      <c r="B2739" s="52" t="s">
        <v>7361</v>
      </c>
      <c r="C2739" s="53" t="s">
        <v>5530</v>
      </c>
      <c r="D2739" s="54" t="s">
        <v>10181</v>
      </c>
      <c r="E2739" s="50">
        <f t="shared" si="93"/>
        <v>37.465753419999999</v>
      </c>
      <c r="F2739" s="51">
        <f t="shared" si="93"/>
        <v>4.6307698000000004</v>
      </c>
      <c r="H2739" s="33"/>
      <c r="I2739" s="33"/>
      <c r="J2739" s="33"/>
      <c r="K2739" s="33"/>
      <c r="L2739" s="33"/>
      <c r="M2739" s="33"/>
      <c r="N2739" s="33"/>
      <c r="O2739" s="33"/>
      <c r="P2739" s="33"/>
      <c r="Q2739" s="33"/>
      <c r="R2739" s="33"/>
      <c r="S2739" s="33"/>
      <c r="T2739" s="33"/>
      <c r="U2739" s="33"/>
      <c r="V2739" s="33"/>
      <c r="W2739" s="33"/>
      <c r="X2739" s="33"/>
      <c r="Y2739" s="33"/>
      <c r="Z2739" s="33"/>
      <c r="AA2739" s="33"/>
      <c r="AB2739" s="33"/>
    </row>
    <row r="2740" spans="1:28" x14ac:dyDescent="0.15">
      <c r="A2740" s="46" t="s">
        <v>5531</v>
      </c>
      <c r="B2740" s="52" t="s">
        <v>7361</v>
      </c>
      <c r="C2740" s="53" t="s">
        <v>5532</v>
      </c>
      <c r="D2740" s="54" t="s">
        <v>10182</v>
      </c>
      <c r="E2740" s="50">
        <f t="shared" si="93"/>
        <v>37.479452049999999</v>
      </c>
      <c r="F2740" s="51">
        <f t="shared" si="93"/>
        <v>4.6307571799999998</v>
      </c>
      <c r="H2740" s="33"/>
      <c r="I2740" s="33"/>
      <c r="J2740" s="33"/>
      <c r="K2740" s="33"/>
      <c r="L2740" s="33"/>
      <c r="M2740" s="33"/>
      <c r="N2740" s="33"/>
      <c r="O2740" s="33"/>
      <c r="P2740" s="33"/>
      <c r="Q2740" s="33"/>
      <c r="R2740" s="33"/>
      <c r="S2740" s="33"/>
      <c r="T2740" s="33"/>
      <c r="U2740" s="33"/>
      <c r="V2740" s="33"/>
      <c r="W2740" s="33"/>
      <c r="X2740" s="33"/>
      <c r="Y2740" s="33"/>
      <c r="Z2740" s="33"/>
      <c r="AA2740" s="33"/>
      <c r="AB2740" s="33"/>
    </row>
    <row r="2741" spans="1:28" x14ac:dyDescent="0.15">
      <c r="A2741" s="46" t="s">
        <v>5533</v>
      </c>
      <c r="B2741" s="52" t="s">
        <v>7361</v>
      </c>
      <c r="C2741" s="53" t="s">
        <v>5534</v>
      </c>
      <c r="D2741" s="54" t="s">
        <v>10183</v>
      </c>
      <c r="E2741" s="50">
        <f t="shared" si="93"/>
        <v>37.493150679999999</v>
      </c>
      <c r="F2741" s="51">
        <f t="shared" si="93"/>
        <v>4.6307445300000003</v>
      </c>
      <c r="H2741" s="33"/>
      <c r="I2741" s="33"/>
      <c r="J2741" s="33"/>
      <c r="K2741" s="33"/>
      <c r="L2741" s="33"/>
      <c r="M2741" s="33"/>
      <c r="N2741" s="33"/>
      <c r="O2741" s="33"/>
      <c r="P2741" s="33"/>
      <c r="Q2741" s="33"/>
      <c r="R2741" s="33"/>
      <c r="S2741" s="33"/>
      <c r="T2741" s="33"/>
      <c r="U2741" s="33"/>
      <c r="V2741" s="33"/>
      <c r="W2741" s="33"/>
      <c r="X2741" s="33"/>
      <c r="Y2741" s="33"/>
      <c r="Z2741" s="33"/>
      <c r="AA2741" s="33"/>
      <c r="AB2741" s="33"/>
    </row>
    <row r="2742" spans="1:28" x14ac:dyDescent="0.15">
      <c r="A2742" s="46" t="s">
        <v>5535</v>
      </c>
      <c r="B2742" s="52" t="s">
        <v>7361</v>
      </c>
      <c r="C2742" s="53" t="s">
        <v>5536</v>
      </c>
      <c r="D2742" s="54" t="s">
        <v>10184</v>
      </c>
      <c r="E2742" s="50">
        <f t="shared" si="93"/>
        <v>37.506849320000001</v>
      </c>
      <c r="F2742" s="51">
        <f t="shared" si="93"/>
        <v>4.6307318500000001</v>
      </c>
      <c r="H2742" s="33"/>
      <c r="I2742" s="33"/>
      <c r="J2742" s="33"/>
      <c r="K2742" s="33"/>
      <c r="L2742" s="33"/>
      <c r="M2742" s="33"/>
      <c r="N2742" s="33"/>
      <c r="O2742" s="33"/>
      <c r="P2742" s="33"/>
      <c r="Q2742" s="33"/>
      <c r="R2742" s="33"/>
      <c r="S2742" s="33"/>
      <c r="T2742" s="33"/>
      <c r="U2742" s="33"/>
      <c r="V2742" s="33"/>
      <c r="W2742" s="33"/>
      <c r="X2742" s="33"/>
      <c r="Y2742" s="33"/>
      <c r="Z2742" s="33"/>
      <c r="AA2742" s="33"/>
      <c r="AB2742" s="33"/>
    </row>
    <row r="2743" spans="1:28" x14ac:dyDescent="0.15">
      <c r="A2743" s="46" t="s">
        <v>5537</v>
      </c>
      <c r="B2743" s="52" t="s">
        <v>7361</v>
      </c>
      <c r="C2743" s="53" t="s">
        <v>5538</v>
      </c>
      <c r="D2743" s="54" t="s">
        <v>10185</v>
      </c>
      <c r="E2743" s="50">
        <f t="shared" si="93"/>
        <v>37.520547950000001</v>
      </c>
      <c r="F2743" s="51">
        <f t="shared" si="93"/>
        <v>4.6307192199999996</v>
      </c>
      <c r="H2743" s="33"/>
      <c r="I2743" s="33"/>
      <c r="J2743" s="33"/>
      <c r="K2743" s="33"/>
      <c r="L2743" s="33"/>
      <c r="M2743" s="33"/>
      <c r="N2743" s="33"/>
      <c r="O2743" s="33"/>
      <c r="P2743" s="33"/>
      <c r="Q2743" s="33"/>
      <c r="R2743" s="33"/>
      <c r="S2743" s="33"/>
      <c r="T2743" s="33"/>
      <c r="U2743" s="33"/>
      <c r="V2743" s="33"/>
      <c r="W2743" s="33"/>
      <c r="X2743" s="33"/>
      <c r="Y2743" s="33"/>
      <c r="Z2743" s="33"/>
      <c r="AA2743" s="33"/>
      <c r="AB2743" s="33"/>
    </row>
    <row r="2744" spans="1:28" x14ac:dyDescent="0.15">
      <c r="A2744" s="46" t="s">
        <v>5539</v>
      </c>
      <c r="B2744" s="52" t="s">
        <v>7361</v>
      </c>
      <c r="C2744" s="53" t="s">
        <v>5540</v>
      </c>
      <c r="D2744" s="54" t="s">
        <v>10186</v>
      </c>
      <c r="E2744" s="50">
        <f t="shared" si="93"/>
        <v>37.534246580000001</v>
      </c>
      <c r="F2744" s="51">
        <f t="shared" si="93"/>
        <v>4.6307066600000004</v>
      </c>
      <c r="H2744" s="33"/>
      <c r="I2744" s="33"/>
      <c r="J2744" s="33"/>
      <c r="K2744" s="33"/>
      <c r="L2744" s="33"/>
      <c r="M2744" s="33"/>
      <c r="N2744" s="33"/>
      <c r="O2744" s="33"/>
      <c r="P2744" s="33"/>
      <c r="Q2744" s="33"/>
      <c r="R2744" s="33"/>
      <c r="S2744" s="33"/>
      <c r="T2744" s="33"/>
      <c r="U2744" s="33"/>
      <c r="V2744" s="33"/>
      <c r="W2744" s="33"/>
      <c r="X2744" s="33"/>
      <c r="Y2744" s="33"/>
      <c r="Z2744" s="33"/>
      <c r="AA2744" s="33"/>
      <c r="AB2744" s="33"/>
    </row>
    <row r="2745" spans="1:28" x14ac:dyDescent="0.15">
      <c r="A2745" s="46" t="s">
        <v>5541</v>
      </c>
      <c r="B2745" s="52" t="s">
        <v>7361</v>
      </c>
      <c r="C2745" s="53" t="s">
        <v>5542</v>
      </c>
      <c r="D2745" s="54" t="s">
        <v>10187</v>
      </c>
      <c r="E2745" s="50">
        <f t="shared" si="93"/>
        <v>37.547945210000002</v>
      </c>
      <c r="F2745" s="51">
        <f t="shared" si="93"/>
        <v>4.6306941899999998</v>
      </c>
      <c r="H2745" s="33"/>
      <c r="I2745" s="33"/>
      <c r="J2745" s="33"/>
      <c r="K2745" s="33"/>
      <c r="L2745" s="33"/>
      <c r="M2745" s="33"/>
      <c r="N2745" s="33"/>
      <c r="O2745" s="33"/>
      <c r="P2745" s="33"/>
      <c r="Q2745" s="33"/>
      <c r="R2745" s="33"/>
      <c r="S2745" s="33"/>
      <c r="T2745" s="33"/>
      <c r="U2745" s="33"/>
      <c r="V2745" s="33"/>
      <c r="W2745" s="33"/>
      <c r="X2745" s="33"/>
      <c r="Y2745" s="33"/>
      <c r="Z2745" s="33"/>
      <c r="AA2745" s="33"/>
      <c r="AB2745" s="33"/>
    </row>
    <row r="2746" spans="1:28" x14ac:dyDescent="0.15">
      <c r="A2746" s="46" t="s">
        <v>5543</v>
      </c>
      <c r="B2746" s="52" t="s">
        <v>7361</v>
      </c>
      <c r="C2746" s="53" t="s">
        <v>5544</v>
      </c>
      <c r="D2746" s="54" t="s">
        <v>10188</v>
      </c>
      <c r="E2746" s="50">
        <f t="shared" si="93"/>
        <v>37.561643840000002</v>
      </c>
      <c r="F2746" s="51">
        <f t="shared" si="93"/>
        <v>4.6306818200000004</v>
      </c>
      <c r="H2746" s="33"/>
      <c r="I2746" s="33"/>
      <c r="J2746" s="33"/>
      <c r="K2746" s="33"/>
      <c r="L2746" s="33"/>
      <c r="M2746" s="33"/>
      <c r="N2746" s="33"/>
      <c r="O2746" s="33"/>
      <c r="P2746" s="33"/>
      <c r="Q2746" s="33"/>
      <c r="R2746" s="33"/>
      <c r="S2746" s="33"/>
      <c r="T2746" s="33"/>
      <c r="U2746" s="33"/>
      <c r="V2746" s="33"/>
      <c r="W2746" s="33"/>
      <c r="X2746" s="33"/>
      <c r="Y2746" s="33"/>
      <c r="Z2746" s="33"/>
      <c r="AA2746" s="33"/>
      <c r="AB2746" s="33"/>
    </row>
    <row r="2747" spans="1:28" x14ac:dyDescent="0.15">
      <c r="A2747" s="46" t="s">
        <v>5545</v>
      </c>
      <c r="B2747" s="52" t="s">
        <v>7361</v>
      </c>
      <c r="C2747" s="53" t="s">
        <v>5546</v>
      </c>
      <c r="D2747" s="54" t="s">
        <v>10189</v>
      </c>
      <c r="E2747" s="50">
        <f t="shared" si="93"/>
        <v>37.575342470000002</v>
      </c>
      <c r="F2747" s="51">
        <f t="shared" si="93"/>
        <v>4.6306695600000003</v>
      </c>
      <c r="H2747" s="33"/>
      <c r="I2747" s="33"/>
      <c r="J2747" s="33"/>
      <c r="K2747" s="33"/>
      <c r="L2747" s="33"/>
      <c r="M2747" s="33"/>
      <c r="N2747" s="33"/>
      <c r="O2747" s="33"/>
      <c r="P2747" s="33"/>
      <c r="Q2747" s="33"/>
      <c r="R2747" s="33"/>
      <c r="S2747" s="33"/>
      <c r="T2747" s="33"/>
      <c r="U2747" s="33"/>
      <c r="V2747" s="33"/>
      <c r="W2747" s="33"/>
      <c r="X2747" s="33"/>
      <c r="Y2747" s="33"/>
      <c r="Z2747" s="33"/>
      <c r="AA2747" s="33"/>
      <c r="AB2747" s="33"/>
    </row>
    <row r="2748" spans="1:28" x14ac:dyDescent="0.15">
      <c r="A2748" s="46" t="s">
        <v>5547</v>
      </c>
      <c r="B2748" s="52" t="s">
        <v>7361</v>
      </c>
      <c r="C2748" s="53" t="s">
        <v>5548</v>
      </c>
      <c r="D2748" s="54" t="s">
        <v>10190</v>
      </c>
      <c r="E2748" s="50">
        <f t="shared" si="93"/>
        <v>37.589041100000003</v>
      </c>
      <c r="F2748" s="51">
        <f t="shared" si="93"/>
        <v>4.6306574400000002</v>
      </c>
      <c r="H2748" s="33"/>
      <c r="I2748" s="33"/>
      <c r="J2748" s="33"/>
      <c r="K2748" s="33"/>
      <c r="L2748" s="33"/>
      <c r="M2748" s="33"/>
      <c r="N2748" s="33"/>
      <c r="O2748" s="33"/>
      <c r="P2748" s="33"/>
      <c r="Q2748" s="33"/>
      <c r="R2748" s="33"/>
      <c r="S2748" s="33"/>
      <c r="T2748" s="33"/>
      <c r="U2748" s="33"/>
      <c r="V2748" s="33"/>
      <c r="W2748" s="33"/>
      <c r="X2748" s="33"/>
      <c r="Y2748" s="33"/>
      <c r="Z2748" s="33"/>
      <c r="AA2748" s="33"/>
      <c r="AB2748" s="33"/>
    </row>
    <row r="2749" spans="1:28" x14ac:dyDescent="0.15">
      <c r="A2749" s="46" t="s">
        <v>5549</v>
      </c>
      <c r="B2749" s="52" t="s">
        <v>7361</v>
      </c>
      <c r="C2749" s="53" t="s">
        <v>5550</v>
      </c>
      <c r="D2749" s="54" t="s">
        <v>10191</v>
      </c>
      <c r="E2749" s="50">
        <f t="shared" si="93"/>
        <v>37.602739730000003</v>
      </c>
      <c r="F2749" s="51">
        <f t="shared" si="93"/>
        <v>4.6306454600000002</v>
      </c>
      <c r="H2749" s="33"/>
      <c r="I2749" s="33"/>
      <c r="J2749" s="33"/>
      <c r="K2749" s="33"/>
      <c r="L2749" s="33"/>
      <c r="M2749" s="33"/>
      <c r="N2749" s="33"/>
      <c r="O2749" s="33"/>
      <c r="P2749" s="33"/>
      <c r="Q2749" s="33"/>
      <c r="R2749" s="33"/>
      <c r="S2749" s="33"/>
      <c r="T2749" s="33"/>
      <c r="U2749" s="33"/>
      <c r="V2749" s="33"/>
      <c r="W2749" s="33"/>
      <c r="X2749" s="33"/>
      <c r="Y2749" s="33"/>
      <c r="Z2749" s="33"/>
      <c r="AA2749" s="33"/>
      <c r="AB2749" s="33"/>
    </row>
    <row r="2750" spans="1:28" x14ac:dyDescent="0.15">
      <c r="A2750" s="46" t="s">
        <v>5551</v>
      </c>
      <c r="B2750" s="52" t="s">
        <v>7361</v>
      </c>
      <c r="C2750" s="53" t="s">
        <v>5552</v>
      </c>
      <c r="D2750" s="54" t="s">
        <v>10192</v>
      </c>
      <c r="E2750" s="50">
        <f t="shared" si="93"/>
        <v>37.616438359999997</v>
      </c>
      <c r="F2750" s="51">
        <f t="shared" si="93"/>
        <v>4.63063365</v>
      </c>
      <c r="H2750" s="33"/>
      <c r="I2750" s="33"/>
      <c r="J2750" s="33"/>
      <c r="K2750" s="33"/>
      <c r="L2750" s="33"/>
      <c r="M2750" s="33"/>
      <c r="N2750" s="33"/>
      <c r="O2750" s="33"/>
      <c r="P2750" s="33"/>
      <c r="Q2750" s="33"/>
      <c r="R2750" s="33"/>
      <c r="S2750" s="33"/>
      <c r="T2750" s="33"/>
      <c r="U2750" s="33"/>
      <c r="V2750" s="33"/>
      <c r="W2750" s="33"/>
      <c r="X2750" s="33"/>
      <c r="Y2750" s="33"/>
      <c r="Z2750" s="33"/>
      <c r="AA2750" s="33"/>
      <c r="AB2750" s="33"/>
    </row>
    <row r="2751" spans="1:28" x14ac:dyDescent="0.15">
      <c r="A2751" s="46" t="s">
        <v>5553</v>
      </c>
      <c r="B2751" s="52" t="s">
        <v>7361</v>
      </c>
      <c r="C2751" s="53" t="s">
        <v>5554</v>
      </c>
      <c r="D2751" s="54" t="s">
        <v>10193</v>
      </c>
      <c r="E2751" s="50">
        <f t="shared" si="93"/>
        <v>37.630136989999997</v>
      </c>
      <c r="F2751" s="51">
        <f t="shared" si="93"/>
        <v>4.6306220199999997</v>
      </c>
      <c r="H2751" s="33"/>
      <c r="I2751" s="33"/>
      <c r="J2751" s="33"/>
      <c r="K2751" s="33"/>
      <c r="L2751" s="33"/>
      <c r="M2751" s="33"/>
      <c r="N2751" s="33"/>
      <c r="O2751" s="33"/>
      <c r="P2751" s="33"/>
      <c r="Q2751" s="33"/>
      <c r="R2751" s="33"/>
      <c r="S2751" s="33"/>
      <c r="T2751" s="33"/>
      <c r="U2751" s="33"/>
      <c r="V2751" s="33"/>
      <c r="W2751" s="33"/>
      <c r="X2751" s="33"/>
      <c r="Y2751" s="33"/>
      <c r="Z2751" s="33"/>
      <c r="AA2751" s="33"/>
      <c r="AB2751" s="33"/>
    </row>
    <row r="2752" spans="1:28" x14ac:dyDescent="0.15">
      <c r="A2752" s="46" t="s">
        <v>5555</v>
      </c>
      <c r="B2752" s="52" t="s">
        <v>7361</v>
      </c>
      <c r="C2752" s="53" t="s">
        <v>5556</v>
      </c>
      <c r="D2752" s="54" t="s">
        <v>10194</v>
      </c>
      <c r="E2752" s="50">
        <f t="shared" si="93"/>
        <v>37.643835619999997</v>
      </c>
      <c r="F2752" s="51">
        <f t="shared" si="93"/>
        <v>4.6306105899999999</v>
      </c>
      <c r="H2752" s="33"/>
      <c r="I2752" s="33"/>
      <c r="J2752" s="33"/>
      <c r="K2752" s="33"/>
      <c r="L2752" s="33"/>
      <c r="M2752" s="33"/>
      <c r="N2752" s="33"/>
      <c r="O2752" s="33"/>
      <c r="P2752" s="33"/>
      <c r="Q2752" s="33"/>
      <c r="R2752" s="33"/>
      <c r="S2752" s="33"/>
      <c r="T2752" s="33"/>
      <c r="U2752" s="33"/>
      <c r="V2752" s="33"/>
      <c r="W2752" s="33"/>
      <c r="X2752" s="33"/>
      <c r="Y2752" s="33"/>
      <c r="Z2752" s="33"/>
      <c r="AA2752" s="33"/>
      <c r="AB2752" s="33"/>
    </row>
    <row r="2753" spans="1:28" x14ac:dyDescent="0.15">
      <c r="A2753" s="46" t="s">
        <v>5557</v>
      </c>
      <c r="B2753" s="52" t="s">
        <v>7361</v>
      </c>
      <c r="C2753" s="53" t="s">
        <v>5558</v>
      </c>
      <c r="D2753" s="54" t="s">
        <v>10195</v>
      </c>
      <c r="E2753" s="50">
        <f t="shared" si="93"/>
        <v>37.657534249999998</v>
      </c>
      <c r="F2753" s="51">
        <f t="shared" si="93"/>
        <v>4.6305993599999997</v>
      </c>
      <c r="H2753" s="33"/>
      <c r="I2753" s="33"/>
      <c r="J2753" s="33"/>
      <c r="K2753" s="33"/>
      <c r="L2753" s="33"/>
      <c r="M2753" s="33"/>
      <c r="N2753" s="33"/>
      <c r="O2753" s="33"/>
      <c r="P2753" s="33"/>
      <c r="Q2753" s="33"/>
      <c r="R2753" s="33"/>
      <c r="S2753" s="33"/>
      <c r="T2753" s="33"/>
      <c r="U2753" s="33"/>
      <c r="V2753" s="33"/>
      <c r="W2753" s="33"/>
      <c r="X2753" s="33"/>
      <c r="Y2753" s="33"/>
      <c r="Z2753" s="33"/>
      <c r="AA2753" s="33"/>
      <c r="AB2753" s="33"/>
    </row>
    <row r="2754" spans="1:28" x14ac:dyDescent="0.15">
      <c r="A2754" s="46" t="s">
        <v>5559</v>
      </c>
      <c r="B2754" s="52" t="s">
        <v>7361</v>
      </c>
      <c r="C2754" s="53" t="s">
        <v>5560</v>
      </c>
      <c r="D2754" s="54" t="s">
        <v>10196</v>
      </c>
      <c r="E2754" s="50">
        <f t="shared" si="93"/>
        <v>37.671232879999998</v>
      </c>
      <c r="F2754" s="51">
        <f t="shared" si="93"/>
        <v>4.6305883699999999</v>
      </c>
      <c r="H2754" s="33"/>
      <c r="I2754" s="33"/>
      <c r="J2754" s="33"/>
      <c r="K2754" s="33"/>
      <c r="L2754" s="33"/>
      <c r="M2754" s="33"/>
      <c r="N2754" s="33"/>
      <c r="O2754" s="33"/>
      <c r="P2754" s="33"/>
      <c r="Q2754" s="33"/>
      <c r="R2754" s="33"/>
      <c r="S2754" s="33"/>
      <c r="T2754" s="33"/>
      <c r="U2754" s="33"/>
      <c r="V2754" s="33"/>
      <c r="W2754" s="33"/>
      <c r="X2754" s="33"/>
      <c r="Y2754" s="33"/>
      <c r="Z2754" s="33"/>
      <c r="AA2754" s="33"/>
      <c r="AB2754" s="33"/>
    </row>
    <row r="2755" spans="1:28" x14ac:dyDescent="0.15">
      <c r="A2755" s="46" t="s">
        <v>5561</v>
      </c>
      <c r="B2755" s="52" t="s">
        <v>7361</v>
      </c>
      <c r="C2755" s="53" t="s">
        <v>5562</v>
      </c>
      <c r="D2755" s="54" t="s">
        <v>10197</v>
      </c>
      <c r="E2755" s="50">
        <f t="shared" si="93"/>
        <v>37.684931509999998</v>
      </c>
      <c r="F2755" s="51">
        <f t="shared" si="93"/>
        <v>4.6305776200000004</v>
      </c>
      <c r="H2755" s="33"/>
      <c r="I2755" s="33"/>
      <c r="J2755" s="33"/>
      <c r="K2755" s="33"/>
      <c r="L2755" s="33"/>
      <c r="M2755" s="33"/>
      <c r="N2755" s="33"/>
      <c r="O2755" s="33"/>
      <c r="P2755" s="33"/>
      <c r="Q2755" s="33"/>
      <c r="R2755" s="33"/>
      <c r="S2755" s="33"/>
      <c r="T2755" s="33"/>
      <c r="U2755" s="33"/>
      <c r="V2755" s="33"/>
      <c r="W2755" s="33"/>
      <c r="X2755" s="33"/>
      <c r="Y2755" s="33"/>
      <c r="Z2755" s="33"/>
      <c r="AA2755" s="33"/>
      <c r="AB2755" s="33"/>
    </row>
    <row r="2756" spans="1:28" x14ac:dyDescent="0.15">
      <c r="A2756" s="46" t="s">
        <v>5563</v>
      </c>
      <c r="B2756" s="52" t="s">
        <v>7361</v>
      </c>
      <c r="C2756" s="53" t="s">
        <v>5564</v>
      </c>
      <c r="D2756" s="54" t="s">
        <v>10198</v>
      </c>
      <c r="E2756" s="50">
        <f t="shared" si="93"/>
        <v>37.698630139999999</v>
      </c>
      <c r="F2756" s="51">
        <f t="shared" si="93"/>
        <v>4.6305671200000003</v>
      </c>
      <c r="H2756" s="33"/>
      <c r="I2756" s="33"/>
      <c r="J2756" s="33"/>
      <c r="K2756" s="33"/>
      <c r="L2756" s="33"/>
      <c r="M2756" s="33"/>
      <c r="N2756" s="33"/>
      <c r="O2756" s="33"/>
      <c r="P2756" s="33"/>
      <c r="Q2756" s="33"/>
      <c r="R2756" s="33"/>
      <c r="S2756" s="33"/>
      <c r="T2756" s="33"/>
      <c r="U2756" s="33"/>
      <c r="V2756" s="33"/>
      <c r="W2756" s="33"/>
      <c r="X2756" s="33"/>
      <c r="Y2756" s="33"/>
      <c r="Z2756" s="33"/>
      <c r="AA2756" s="33"/>
      <c r="AB2756" s="33"/>
    </row>
    <row r="2757" spans="1:28" x14ac:dyDescent="0.15">
      <c r="A2757" s="46" t="s">
        <v>5565</v>
      </c>
      <c r="B2757" s="52" t="s">
        <v>7361</v>
      </c>
      <c r="C2757" s="53" t="s">
        <v>5566</v>
      </c>
      <c r="D2757" s="54" t="s">
        <v>10199</v>
      </c>
      <c r="E2757" s="50">
        <f t="shared" si="93"/>
        <v>37.712328769999999</v>
      </c>
      <c r="F2757" s="51">
        <f t="shared" si="93"/>
        <v>4.6305569000000002</v>
      </c>
      <c r="H2757" s="33"/>
      <c r="I2757" s="33"/>
      <c r="J2757" s="33"/>
      <c r="K2757" s="33"/>
      <c r="L2757" s="33"/>
      <c r="M2757" s="33"/>
      <c r="N2757" s="33"/>
      <c r="O2757" s="33"/>
      <c r="P2757" s="33"/>
      <c r="Q2757" s="33"/>
      <c r="R2757" s="33"/>
      <c r="S2757" s="33"/>
      <c r="T2757" s="33"/>
      <c r="U2757" s="33"/>
      <c r="V2757" s="33"/>
      <c r="W2757" s="33"/>
      <c r="X2757" s="33"/>
      <c r="Y2757" s="33"/>
      <c r="Z2757" s="33"/>
      <c r="AA2757" s="33"/>
      <c r="AB2757" s="33"/>
    </row>
    <row r="2758" spans="1:28" x14ac:dyDescent="0.15">
      <c r="A2758" s="46" t="s">
        <v>5567</v>
      </c>
      <c r="B2758" s="52" t="s">
        <v>7361</v>
      </c>
      <c r="C2758" s="53" t="s">
        <v>5568</v>
      </c>
      <c r="D2758" s="54" t="s">
        <v>10200</v>
      </c>
      <c r="E2758" s="50">
        <f t="shared" si="93"/>
        <v>37.7260274</v>
      </c>
      <c r="F2758" s="51">
        <f t="shared" si="93"/>
        <v>4.6305469700000002</v>
      </c>
      <c r="H2758" s="33"/>
      <c r="I2758" s="33"/>
      <c r="J2758" s="33"/>
      <c r="K2758" s="33"/>
      <c r="L2758" s="33"/>
      <c r="M2758" s="33"/>
      <c r="N2758" s="33"/>
      <c r="O2758" s="33"/>
      <c r="P2758" s="33"/>
      <c r="Q2758" s="33"/>
      <c r="R2758" s="33"/>
      <c r="S2758" s="33"/>
      <c r="T2758" s="33"/>
      <c r="U2758" s="33"/>
      <c r="V2758" s="33"/>
      <c r="W2758" s="33"/>
      <c r="X2758" s="33"/>
      <c r="Y2758" s="33"/>
      <c r="Z2758" s="33"/>
      <c r="AA2758" s="33"/>
      <c r="AB2758" s="33"/>
    </row>
    <row r="2759" spans="1:28" x14ac:dyDescent="0.15">
      <c r="A2759" s="46" t="s">
        <v>5569</v>
      </c>
      <c r="B2759" s="52" t="s">
        <v>7361</v>
      </c>
      <c r="C2759" s="53" t="s">
        <v>5570</v>
      </c>
      <c r="D2759" s="54" t="s">
        <v>10201</v>
      </c>
      <c r="E2759" s="50">
        <f t="shared" si="93"/>
        <v>37.73972603</v>
      </c>
      <c r="F2759" s="51">
        <f t="shared" si="93"/>
        <v>4.63053735</v>
      </c>
      <c r="H2759" s="33"/>
      <c r="I2759" s="33"/>
      <c r="J2759" s="33"/>
      <c r="K2759" s="33"/>
      <c r="L2759" s="33"/>
      <c r="M2759" s="33"/>
      <c r="N2759" s="33"/>
      <c r="O2759" s="33"/>
      <c r="P2759" s="33"/>
      <c r="Q2759" s="33"/>
      <c r="R2759" s="33"/>
      <c r="S2759" s="33"/>
      <c r="T2759" s="33"/>
      <c r="U2759" s="33"/>
      <c r="V2759" s="33"/>
      <c r="W2759" s="33"/>
      <c r="X2759" s="33"/>
      <c r="Y2759" s="33"/>
      <c r="Z2759" s="33"/>
      <c r="AA2759" s="33"/>
      <c r="AB2759" s="33"/>
    </row>
    <row r="2760" spans="1:28" x14ac:dyDescent="0.15">
      <c r="A2760" s="46" t="s">
        <v>5571</v>
      </c>
      <c r="B2760" s="52" t="s">
        <v>7361</v>
      </c>
      <c r="C2760" s="53" t="s">
        <v>5572</v>
      </c>
      <c r="D2760" s="54" t="s">
        <v>10202</v>
      </c>
      <c r="E2760" s="50">
        <f t="shared" ref="E2760:F2790" si="94">VALUE(C2760)</f>
        <v>37.75342466</v>
      </c>
      <c r="F2760" s="51">
        <f t="shared" si="94"/>
        <v>4.6305280499999997</v>
      </c>
      <c r="H2760" s="33"/>
      <c r="I2760" s="33"/>
      <c r="J2760" s="33"/>
      <c r="K2760" s="33"/>
      <c r="L2760" s="33"/>
      <c r="M2760" s="33"/>
      <c r="N2760" s="33"/>
      <c r="O2760" s="33"/>
      <c r="P2760" s="33"/>
      <c r="Q2760" s="33"/>
      <c r="R2760" s="33"/>
      <c r="S2760" s="33"/>
      <c r="T2760" s="33"/>
      <c r="U2760" s="33"/>
      <c r="V2760" s="33"/>
      <c r="W2760" s="33"/>
      <c r="X2760" s="33"/>
      <c r="Y2760" s="33"/>
      <c r="Z2760" s="33"/>
      <c r="AA2760" s="33"/>
      <c r="AB2760" s="33"/>
    </row>
    <row r="2761" spans="1:28" x14ac:dyDescent="0.15">
      <c r="A2761" s="46" t="s">
        <v>5573</v>
      </c>
      <c r="B2761" s="52" t="s">
        <v>7361</v>
      </c>
      <c r="C2761" s="53" t="s">
        <v>5574</v>
      </c>
      <c r="D2761" s="54" t="s">
        <v>10203</v>
      </c>
      <c r="E2761" s="50">
        <f t="shared" si="94"/>
        <v>37.767123290000001</v>
      </c>
      <c r="F2761" s="51">
        <f t="shared" si="94"/>
        <v>4.6305190899999999</v>
      </c>
      <c r="H2761" s="33"/>
      <c r="I2761" s="33"/>
      <c r="J2761" s="33"/>
      <c r="K2761" s="33"/>
      <c r="L2761" s="33"/>
      <c r="M2761" s="33"/>
      <c r="N2761" s="33"/>
      <c r="O2761" s="33"/>
      <c r="P2761" s="33"/>
      <c r="Q2761" s="33"/>
      <c r="R2761" s="33"/>
      <c r="S2761" s="33"/>
      <c r="T2761" s="33"/>
      <c r="U2761" s="33"/>
      <c r="V2761" s="33"/>
      <c r="W2761" s="33"/>
      <c r="X2761" s="33"/>
      <c r="Y2761" s="33"/>
      <c r="Z2761" s="33"/>
      <c r="AA2761" s="33"/>
      <c r="AB2761" s="33"/>
    </row>
    <row r="2762" spans="1:28" x14ac:dyDescent="0.15">
      <c r="A2762" s="46" t="s">
        <v>5575</v>
      </c>
      <c r="B2762" s="52" t="s">
        <v>7361</v>
      </c>
      <c r="C2762" s="53" t="s">
        <v>5576</v>
      </c>
      <c r="D2762" s="54" t="s">
        <v>10204</v>
      </c>
      <c r="E2762" s="50">
        <f t="shared" si="94"/>
        <v>37.780821920000001</v>
      </c>
      <c r="F2762" s="51">
        <f t="shared" si="94"/>
        <v>4.6305104799999999</v>
      </c>
      <c r="H2762" s="33"/>
      <c r="I2762" s="33"/>
      <c r="J2762" s="33"/>
      <c r="K2762" s="33"/>
      <c r="L2762" s="33"/>
      <c r="M2762" s="33"/>
      <c r="N2762" s="33"/>
      <c r="O2762" s="33"/>
      <c r="P2762" s="33"/>
      <c r="Q2762" s="33"/>
      <c r="R2762" s="33"/>
      <c r="S2762" s="33"/>
      <c r="T2762" s="33"/>
      <c r="U2762" s="33"/>
      <c r="V2762" s="33"/>
      <c r="W2762" s="33"/>
      <c r="X2762" s="33"/>
      <c r="Y2762" s="33"/>
      <c r="Z2762" s="33"/>
      <c r="AA2762" s="33"/>
      <c r="AB2762" s="33"/>
    </row>
    <row r="2763" spans="1:28" x14ac:dyDescent="0.15">
      <c r="A2763" s="46" t="s">
        <v>5577</v>
      </c>
      <c r="B2763" s="52" t="s">
        <v>7361</v>
      </c>
      <c r="C2763" s="53" t="s">
        <v>5578</v>
      </c>
      <c r="D2763" s="54" t="s">
        <v>10205</v>
      </c>
      <c r="E2763" s="50">
        <f t="shared" si="94"/>
        <v>37.794520550000001</v>
      </c>
      <c r="F2763" s="51">
        <f t="shared" si="94"/>
        <v>4.6305022400000002</v>
      </c>
      <c r="H2763" s="33"/>
      <c r="I2763" s="33"/>
      <c r="J2763" s="33"/>
      <c r="K2763" s="33"/>
      <c r="L2763" s="33"/>
      <c r="M2763" s="33"/>
      <c r="N2763" s="33"/>
      <c r="O2763" s="33"/>
      <c r="P2763" s="33"/>
      <c r="Q2763" s="33"/>
      <c r="R2763" s="33"/>
      <c r="S2763" s="33"/>
      <c r="T2763" s="33"/>
      <c r="U2763" s="33"/>
      <c r="V2763" s="33"/>
      <c r="W2763" s="33"/>
      <c r="X2763" s="33"/>
      <c r="Y2763" s="33"/>
      <c r="Z2763" s="33"/>
      <c r="AA2763" s="33"/>
      <c r="AB2763" s="33"/>
    </row>
    <row r="2764" spans="1:28" x14ac:dyDescent="0.15">
      <c r="A2764" s="46" t="s">
        <v>5579</v>
      </c>
      <c r="B2764" s="52" t="s">
        <v>7361</v>
      </c>
      <c r="C2764" s="53" t="s">
        <v>5580</v>
      </c>
      <c r="D2764" s="54" t="s">
        <v>10206</v>
      </c>
      <c r="E2764" s="50">
        <f t="shared" si="94"/>
        <v>37.808219180000002</v>
      </c>
      <c r="F2764" s="51">
        <f t="shared" si="94"/>
        <v>4.63049439</v>
      </c>
      <c r="H2764" s="33"/>
      <c r="I2764" s="33"/>
      <c r="J2764" s="33"/>
      <c r="K2764" s="33"/>
      <c r="L2764" s="33"/>
      <c r="M2764" s="33"/>
      <c r="N2764" s="33"/>
      <c r="O2764" s="33"/>
      <c r="P2764" s="33"/>
      <c r="Q2764" s="33"/>
      <c r="R2764" s="33"/>
      <c r="S2764" s="33"/>
      <c r="T2764" s="33"/>
      <c r="U2764" s="33"/>
      <c r="V2764" s="33"/>
      <c r="W2764" s="33"/>
      <c r="X2764" s="33"/>
      <c r="Y2764" s="33"/>
      <c r="Z2764" s="33"/>
      <c r="AA2764" s="33"/>
      <c r="AB2764" s="33"/>
    </row>
    <row r="2765" spans="1:28" x14ac:dyDescent="0.15">
      <c r="A2765" s="46" t="s">
        <v>5581</v>
      </c>
      <c r="B2765" s="52" t="s">
        <v>7361</v>
      </c>
      <c r="C2765" s="53" t="s">
        <v>5582</v>
      </c>
      <c r="D2765" s="54" t="s">
        <v>10207</v>
      </c>
      <c r="E2765" s="50">
        <f t="shared" si="94"/>
        <v>37.821917810000002</v>
      </c>
      <c r="F2765" s="51">
        <f t="shared" si="94"/>
        <v>4.63048693</v>
      </c>
      <c r="H2765" s="33"/>
      <c r="I2765" s="33"/>
      <c r="J2765" s="33"/>
      <c r="K2765" s="33"/>
      <c r="L2765" s="33"/>
      <c r="M2765" s="33"/>
      <c r="N2765" s="33"/>
      <c r="O2765" s="33"/>
      <c r="P2765" s="33"/>
      <c r="Q2765" s="33"/>
      <c r="R2765" s="33"/>
      <c r="S2765" s="33"/>
      <c r="T2765" s="33"/>
      <c r="U2765" s="33"/>
      <c r="V2765" s="33"/>
      <c r="W2765" s="33"/>
      <c r="X2765" s="33"/>
      <c r="Y2765" s="33"/>
      <c r="Z2765" s="33"/>
      <c r="AA2765" s="33"/>
      <c r="AB2765" s="33"/>
    </row>
    <row r="2766" spans="1:28" x14ac:dyDescent="0.15">
      <c r="A2766" s="46" t="s">
        <v>5583</v>
      </c>
      <c r="B2766" s="52" t="s">
        <v>7361</v>
      </c>
      <c r="C2766" s="53" t="s">
        <v>5584</v>
      </c>
      <c r="D2766" s="54" t="s">
        <v>10208</v>
      </c>
      <c r="E2766" s="50">
        <f t="shared" si="94"/>
        <v>37.835616440000003</v>
      </c>
      <c r="F2766" s="51">
        <f t="shared" si="94"/>
        <v>4.6304798900000002</v>
      </c>
      <c r="H2766" s="33"/>
      <c r="I2766" s="33"/>
      <c r="J2766" s="33"/>
      <c r="K2766" s="33"/>
      <c r="L2766" s="33"/>
      <c r="M2766" s="33"/>
      <c r="N2766" s="33"/>
      <c r="O2766" s="33"/>
      <c r="P2766" s="33"/>
      <c r="Q2766" s="33"/>
      <c r="R2766" s="33"/>
      <c r="S2766" s="33"/>
      <c r="T2766" s="33"/>
      <c r="U2766" s="33"/>
      <c r="V2766" s="33"/>
      <c r="W2766" s="33"/>
      <c r="X2766" s="33"/>
      <c r="Y2766" s="33"/>
      <c r="Z2766" s="33"/>
      <c r="AA2766" s="33"/>
      <c r="AB2766" s="33"/>
    </row>
    <row r="2767" spans="1:28" x14ac:dyDescent="0.15">
      <c r="A2767" s="46" t="s">
        <v>5585</v>
      </c>
      <c r="B2767" s="52" t="s">
        <v>7361</v>
      </c>
      <c r="C2767" s="53" t="s">
        <v>5586</v>
      </c>
      <c r="D2767" s="54" t="s">
        <v>10209</v>
      </c>
      <c r="E2767" s="50">
        <f t="shared" si="94"/>
        <v>37.849315070000003</v>
      </c>
      <c r="F2767" s="51">
        <f t="shared" si="94"/>
        <v>4.6304732900000003</v>
      </c>
      <c r="H2767" s="33"/>
      <c r="I2767" s="33"/>
      <c r="J2767" s="33"/>
      <c r="K2767" s="33"/>
      <c r="L2767" s="33"/>
      <c r="M2767" s="33"/>
      <c r="N2767" s="33"/>
      <c r="O2767" s="33"/>
      <c r="P2767" s="33"/>
      <c r="Q2767" s="33"/>
      <c r="R2767" s="33"/>
      <c r="S2767" s="33"/>
      <c r="T2767" s="33"/>
      <c r="U2767" s="33"/>
      <c r="V2767" s="33"/>
      <c r="W2767" s="33"/>
      <c r="X2767" s="33"/>
      <c r="Y2767" s="33"/>
      <c r="Z2767" s="33"/>
      <c r="AA2767" s="33"/>
      <c r="AB2767" s="33"/>
    </row>
    <row r="2768" spans="1:28" x14ac:dyDescent="0.15">
      <c r="A2768" s="46" t="s">
        <v>5587</v>
      </c>
      <c r="B2768" s="52" t="s">
        <v>7361</v>
      </c>
      <c r="C2768" s="53" t="s">
        <v>5588</v>
      </c>
      <c r="D2768" s="54" t="s">
        <v>10210</v>
      </c>
      <c r="E2768" s="50">
        <f t="shared" si="94"/>
        <v>37.863013700000003</v>
      </c>
      <c r="F2768" s="51">
        <f t="shared" si="94"/>
        <v>4.6304671300000004</v>
      </c>
      <c r="H2768" s="33"/>
      <c r="I2768" s="33"/>
      <c r="J2768" s="33"/>
      <c r="K2768" s="33"/>
      <c r="L2768" s="33"/>
      <c r="M2768" s="33"/>
      <c r="N2768" s="33"/>
      <c r="O2768" s="33"/>
      <c r="P2768" s="33"/>
      <c r="Q2768" s="33"/>
      <c r="R2768" s="33"/>
      <c r="S2768" s="33"/>
      <c r="T2768" s="33"/>
      <c r="U2768" s="33"/>
      <c r="V2768" s="33"/>
      <c r="W2768" s="33"/>
      <c r="X2768" s="33"/>
      <c r="Y2768" s="33"/>
      <c r="Z2768" s="33"/>
      <c r="AA2768" s="33"/>
      <c r="AB2768" s="33"/>
    </row>
    <row r="2769" spans="1:28" x14ac:dyDescent="0.15">
      <c r="A2769" s="46" t="s">
        <v>5589</v>
      </c>
      <c r="B2769" s="52" t="s">
        <v>7361</v>
      </c>
      <c r="C2769" s="53" t="s">
        <v>5590</v>
      </c>
      <c r="D2769" s="54" t="s">
        <v>10211</v>
      </c>
      <c r="E2769" s="50">
        <f t="shared" si="94"/>
        <v>37.876712329999997</v>
      </c>
      <c r="F2769" s="51">
        <f t="shared" si="94"/>
        <v>4.6304614400000004</v>
      </c>
      <c r="H2769" s="33"/>
      <c r="I2769" s="33"/>
      <c r="J2769" s="33"/>
      <c r="K2769" s="33"/>
      <c r="L2769" s="33"/>
      <c r="M2769" s="33"/>
      <c r="N2769" s="33"/>
      <c r="O2769" s="33"/>
      <c r="P2769" s="33"/>
      <c r="Q2769" s="33"/>
      <c r="R2769" s="33"/>
      <c r="S2769" s="33"/>
      <c r="T2769" s="33"/>
      <c r="U2769" s="33"/>
      <c r="V2769" s="33"/>
      <c r="W2769" s="33"/>
      <c r="X2769" s="33"/>
      <c r="Y2769" s="33"/>
      <c r="Z2769" s="33"/>
      <c r="AA2769" s="33"/>
      <c r="AB2769" s="33"/>
    </row>
    <row r="2770" spans="1:28" x14ac:dyDescent="0.15">
      <c r="A2770" s="46" t="s">
        <v>5591</v>
      </c>
      <c r="B2770" s="52" t="s">
        <v>7361</v>
      </c>
      <c r="C2770" s="53" t="s">
        <v>5592</v>
      </c>
      <c r="D2770" s="54" t="s">
        <v>10212</v>
      </c>
      <c r="E2770" s="50">
        <f t="shared" si="94"/>
        <v>37.890410959999997</v>
      </c>
      <c r="F2770" s="51">
        <f t="shared" si="94"/>
        <v>4.6304562300000001</v>
      </c>
      <c r="H2770" s="33"/>
      <c r="I2770" s="33"/>
      <c r="J2770" s="33"/>
      <c r="K2770" s="33"/>
      <c r="L2770" s="33"/>
      <c r="M2770" s="33"/>
      <c r="N2770" s="33"/>
      <c r="O2770" s="33"/>
      <c r="P2770" s="33"/>
      <c r="Q2770" s="33"/>
      <c r="R2770" s="33"/>
      <c r="S2770" s="33"/>
      <c r="T2770" s="33"/>
      <c r="U2770" s="33"/>
      <c r="V2770" s="33"/>
      <c r="W2770" s="33"/>
      <c r="X2770" s="33"/>
      <c r="Y2770" s="33"/>
      <c r="Z2770" s="33"/>
      <c r="AA2770" s="33"/>
      <c r="AB2770" s="33"/>
    </row>
    <row r="2771" spans="1:28" x14ac:dyDescent="0.15">
      <c r="A2771" s="46" t="s">
        <v>5593</v>
      </c>
      <c r="B2771" s="52" t="s">
        <v>7361</v>
      </c>
      <c r="C2771" s="53" t="s">
        <v>5594</v>
      </c>
      <c r="D2771" s="54" t="s">
        <v>10213</v>
      </c>
      <c r="E2771" s="50">
        <f t="shared" si="94"/>
        <v>37.904109589999997</v>
      </c>
      <c r="F2771" s="51">
        <f t="shared" si="94"/>
        <v>4.6304515100000003</v>
      </c>
      <c r="H2771" s="33"/>
      <c r="I2771" s="33"/>
      <c r="J2771" s="33"/>
      <c r="K2771" s="33"/>
      <c r="L2771" s="33"/>
      <c r="M2771" s="33"/>
      <c r="N2771" s="33"/>
      <c r="O2771" s="33"/>
      <c r="P2771" s="33"/>
      <c r="Q2771" s="33"/>
      <c r="R2771" s="33"/>
      <c r="S2771" s="33"/>
      <c r="T2771" s="33"/>
      <c r="U2771" s="33"/>
      <c r="V2771" s="33"/>
      <c r="W2771" s="33"/>
      <c r="X2771" s="33"/>
      <c r="Y2771" s="33"/>
      <c r="Z2771" s="33"/>
      <c r="AA2771" s="33"/>
      <c r="AB2771" s="33"/>
    </row>
    <row r="2772" spans="1:28" x14ac:dyDescent="0.15">
      <c r="A2772" s="46" t="s">
        <v>5595</v>
      </c>
      <c r="B2772" s="52" t="s">
        <v>7361</v>
      </c>
      <c r="C2772" s="53" t="s">
        <v>5596</v>
      </c>
      <c r="D2772" s="54" t="s">
        <v>10214</v>
      </c>
      <c r="E2772" s="50">
        <f t="shared" si="94"/>
        <v>37.917808219999998</v>
      </c>
      <c r="F2772" s="51">
        <f t="shared" si="94"/>
        <v>4.6304473000000002</v>
      </c>
      <c r="H2772" s="33"/>
      <c r="I2772" s="33"/>
      <c r="J2772" s="33"/>
      <c r="K2772" s="33"/>
      <c r="L2772" s="33"/>
      <c r="M2772" s="33"/>
      <c r="N2772" s="33"/>
      <c r="O2772" s="33"/>
      <c r="P2772" s="33"/>
      <c r="Q2772" s="33"/>
      <c r="R2772" s="33"/>
      <c r="S2772" s="33"/>
      <c r="T2772" s="33"/>
      <c r="U2772" s="33"/>
      <c r="V2772" s="33"/>
      <c r="W2772" s="33"/>
      <c r="X2772" s="33"/>
      <c r="Y2772" s="33"/>
      <c r="Z2772" s="33"/>
      <c r="AA2772" s="33"/>
      <c r="AB2772" s="33"/>
    </row>
    <row r="2773" spans="1:28" x14ac:dyDescent="0.15">
      <c r="A2773" s="46" t="s">
        <v>5597</v>
      </c>
      <c r="B2773" s="52" t="s">
        <v>7361</v>
      </c>
      <c r="C2773" s="53" t="s">
        <v>5598</v>
      </c>
      <c r="D2773" s="54" t="s">
        <v>10215</v>
      </c>
      <c r="E2773" s="50">
        <f t="shared" si="94"/>
        <v>37.931506849999998</v>
      </c>
      <c r="F2773" s="51">
        <f t="shared" si="94"/>
        <v>4.6304436200000003</v>
      </c>
      <c r="H2773" s="33"/>
      <c r="I2773" s="33"/>
      <c r="J2773" s="33"/>
      <c r="K2773" s="33"/>
      <c r="L2773" s="33"/>
      <c r="M2773" s="33"/>
      <c r="N2773" s="33"/>
      <c r="O2773" s="33"/>
      <c r="P2773" s="33"/>
      <c r="Q2773" s="33"/>
      <c r="R2773" s="33"/>
      <c r="S2773" s="33"/>
      <c r="T2773" s="33"/>
      <c r="U2773" s="33"/>
      <c r="V2773" s="33"/>
      <c r="W2773" s="33"/>
      <c r="X2773" s="33"/>
      <c r="Y2773" s="33"/>
      <c r="Z2773" s="33"/>
      <c r="AA2773" s="33"/>
      <c r="AB2773" s="33"/>
    </row>
    <row r="2774" spans="1:28" x14ac:dyDescent="0.15">
      <c r="A2774" s="46" t="s">
        <v>5599</v>
      </c>
      <c r="B2774" s="52" t="s">
        <v>7361</v>
      </c>
      <c r="C2774" s="53" t="s">
        <v>5600</v>
      </c>
      <c r="D2774" s="54" t="s">
        <v>10216</v>
      </c>
      <c r="E2774" s="50">
        <f t="shared" si="94"/>
        <v>37.945205479999998</v>
      </c>
      <c r="F2774" s="51">
        <f t="shared" si="94"/>
        <v>4.6304404799999999</v>
      </c>
      <c r="H2774" s="33"/>
      <c r="I2774" s="33"/>
      <c r="J2774" s="33"/>
      <c r="K2774" s="33"/>
      <c r="L2774" s="33"/>
      <c r="M2774" s="33"/>
      <c r="N2774" s="33"/>
      <c r="O2774" s="33"/>
      <c r="P2774" s="33"/>
      <c r="Q2774" s="33"/>
      <c r="R2774" s="33"/>
      <c r="S2774" s="33"/>
      <c r="T2774" s="33"/>
      <c r="U2774" s="33"/>
      <c r="V2774" s="33"/>
      <c r="W2774" s="33"/>
      <c r="X2774" s="33"/>
      <c r="Y2774" s="33"/>
      <c r="Z2774" s="33"/>
      <c r="AA2774" s="33"/>
      <c r="AB2774" s="33"/>
    </row>
    <row r="2775" spans="1:28" x14ac:dyDescent="0.15">
      <c r="A2775" s="46" t="s">
        <v>5601</v>
      </c>
      <c r="B2775" s="52" t="s">
        <v>7361</v>
      </c>
      <c r="C2775" s="53" t="s">
        <v>5602</v>
      </c>
      <c r="D2775" s="54" t="s">
        <v>10217</v>
      </c>
      <c r="E2775" s="50">
        <f t="shared" si="94"/>
        <v>37.958904109999999</v>
      </c>
      <c r="F2775" s="51">
        <f t="shared" si="94"/>
        <v>4.6304379100000004</v>
      </c>
      <c r="H2775" s="33"/>
      <c r="I2775" s="33"/>
      <c r="J2775" s="33"/>
      <c r="K2775" s="33"/>
      <c r="L2775" s="33"/>
      <c r="M2775" s="33"/>
      <c r="N2775" s="33"/>
      <c r="O2775" s="33"/>
      <c r="P2775" s="33"/>
      <c r="Q2775" s="33"/>
      <c r="R2775" s="33"/>
      <c r="S2775" s="33"/>
      <c r="T2775" s="33"/>
      <c r="U2775" s="33"/>
      <c r="V2775" s="33"/>
      <c r="W2775" s="33"/>
      <c r="X2775" s="33"/>
      <c r="Y2775" s="33"/>
      <c r="Z2775" s="33"/>
      <c r="AA2775" s="33"/>
      <c r="AB2775" s="33"/>
    </row>
    <row r="2776" spans="1:28" x14ac:dyDescent="0.15">
      <c r="A2776" s="46" t="s">
        <v>5603</v>
      </c>
      <c r="B2776" s="52" t="s">
        <v>7361</v>
      </c>
      <c r="C2776" s="53" t="s">
        <v>5604</v>
      </c>
      <c r="D2776" s="54" t="s">
        <v>10218</v>
      </c>
      <c r="E2776" s="50">
        <f t="shared" si="94"/>
        <v>37.972602739999999</v>
      </c>
      <c r="F2776" s="51">
        <f t="shared" si="94"/>
        <v>4.6304359000000002</v>
      </c>
      <c r="H2776" s="33"/>
      <c r="I2776" s="33"/>
      <c r="J2776" s="33"/>
      <c r="K2776" s="33"/>
      <c r="L2776" s="33"/>
      <c r="M2776" s="33"/>
      <c r="N2776" s="33"/>
      <c r="O2776" s="33"/>
      <c r="P2776" s="33"/>
      <c r="Q2776" s="33"/>
      <c r="R2776" s="33"/>
      <c r="S2776" s="33"/>
      <c r="T2776" s="33"/>
      <c r="U2776" s="33"/>
      <c r="V2776" s="33"/>
      <c r="W2776" s="33"/>
      <c r="X2776" s="33"/>
      <c r="Y2776" s="33"/>
      <c r="Z2776" s="33"/>
      <c r="AA2776" s="33"/>
      <c r="AB2776" s="33"/>
    </row>
    <row r="2777" spans="1:28" x14ac:dyDescent="0.15">
      <c r="A2777" s="46" t="s">
        <v>5605</v>
      </c>
      <c r="B2777" s="52" t="s">
        <v>7361</v>
      </c>
      <c r="C2777" s="53" t="s">
        <v>5606</v>
      </c>
      <c r="D2777" s="54" t="s">
        <v>10219</v>
      </c>
      <c r="E2777" s="50">
        <f t="shared" si="94"/>
        <v>37.98630137</v>
      </c>
      <c r="F2777" s="51">
        <f t="shared" si="94"/>
        <v>4.6304344899999998</v>
      </c>
      <c r="H2777" s="33"/>
      <c r="I2777" s="33"/>
      <c r="J2777" s="33"/>
      <c r="K2777" s="33"/>
      <c r="L2777" s="33"/>
      <c r="M2777" s="33"/>
      <c r="N2777" s="33"/>
      <c r="O2777" s="33"/>
      <c r="P2777" s="33"/>
      <c r="Q2777" s="33"/>
      <c r="R2777" s="33"/>
      <c r="S2777" s="33"/>
      <c r="T2777" s="33"/>
      <c r="U2777" s="33"/>
      <c r="V2777" s="33"/>
      <c r="W2777" s="33"/>
      <c r="X2777" s="33"/>
      <c r="Y2777" s="33"/>
      <c r="Z2777" s="33"/>
      <c r="AA2777" s="33"/>
      <c r="AB2777" s="33"/>
    </row>
    <row r="2778" spans="1:28" x14ac:dyDescent="0.15">
      <c r="A2778" s="46" t="s">
        <v>5607</v>
      </c>
      <c r="B2778" s="52" t="s">
        <v>7361</v>
      </c>
      <c r="C2778" s="53" t="s">
        <v>5608</v>
      </c>
      <c r="D2778" s="54" t="s">
        <v>10220</v>
      </c>
      <c r="E2778" s="50">
        <f t="shared" si="94"/>
        <v>38</v>
      </c>
      <c r="F2778" s="51">
        <f t="shared" si="94"/>
        <v>4.6304336800000003</v>
      </c>
      <c r="H2778" s="33"/>
      <c r="I2778" s="33"/>
      <c r="J2778" s="33"/>
      <c r="K2778" s="33"/>
      <c r="L2778" s="33"/>
      <c r="M2778" s="33"/>
      <c r="N2778" s="33"/>
      <c r="O2778" s="33"/>
      <c r="P2778" s="33"/>
      <c r="Q2778" s="33"/>
      <c r="R2778" s="33"/>
      <c r="S2778" s="33"/>
      <c r="T2778" s="33"/>
      <c r="U2778" s="33"/>
      <c r="V2778" s="33"/>
      <c r="W2778" s="33"/>
      <c r="X2778" s="33"/>
      <c r="Y2778" s="33"/>
      <c r="Z2778" s="33"/>
      <c r="AA2778" s="33"/>
      <c r="AB2778" s="33"/>
    </row>
    <row r="2779" spans="1:28" x14ac:dyDescent="0.15">
      <c r="A2779" s="46" t="s">
        <v>5609</v>
      </c>
      <c r="B2779" s="52" t="s">
        <v>7361</v>
      </c>
      <c r="C2779" s="53" t="s">
        <v>5610</v>
      </c>
      <c r="D2779" s="54" t="s">
        <v>10221</v>
      </c>
      <c r="E2779" s="50">
        <f t="shared" si="94"/>
        <v>38.01369863</v>
      </c>
      <c r="F2779" s="51">
        <f t="shared" si="94"/>
        <v>4.6304331899999998</v>
      </c>
      <c r="H2779" s="33"/>
      <c r="I2779" s="33"/>
      <c r="J2779" s="33"/>
      <c r="K2779" s="33"/>
      <c r="L2779" s="33"/>
      <c r="M2779" s="33"/>
      <c r="N2779" s="33"/>
      <c r="O2779" s="33"/>
      <c r="P2779" s="33"/>
      <c r="Q2779" s="33"/>
      <c r="R2779" s="33"/>
      <c r="S2779" s="33"/>
      <c r="T2779" s="33"/>
      <c r="U2779" s="33"/>
      <c r="V2779" s="33"/>
      <c r="W2779" s="33"/>
      <c r="X2779" s="33"/>
      <c r="Y2779" s="33"/>
      <c r="Z2779" s="33"/>
      <c r="AA2779" s="33"/>
      <c r="AB2779" s="33"/>
    </row>
    <row r="2780" spans="1:28" x14ac:dyDescent="0.15">
      <c r="A2780" s="46" t="s">
        <v>5611</v>
      </c>
      <c r="B2780" s="52" t="s">
        <v>7361</v>
      </c>
      <c r="C2780" s="53" t="s">
        <v>5612</v>
      </c>
      <c r="D2780" s="54" t="s">
        <v>10222</v>
      </c>
      <c r="E2780" s="50">
        <f t="shared" si="94"/>
        <v>38.027397260000001</v>
      </c>
      <c r="F2780" s="51">
        <f t="shared" si="94"/>
        <v>4.6304327299999999</v>
      </c>
      <c r="H2780" s="33"/>
      <c r="I2780" s="33"/>
      <c r="J2780" s="33"/>
      <c r="K2780" s="33"/>
      <c r="L2780" s="33"/>
      <c r="M2780" s="33"/>
      <c r="N2780" s="33"/>
      <c r="O2780" s="33"/>
      <c r="P2780" s="33"/>
      <c r="Q2780" s="33"/>
      <c r="R2780" s="33"/>
      <c r="S2780" s="33"/>
      <c r="T2780" s="33"/>
      <c r="U2780" s="33"/>
      <c r="V2780" s="33"/>
      <c r="W2780" s="33"/>
      <c r="X2780" s="33"/>
      <c r="Y2780" s="33"/>
      <c r="Z2780" s="33"/>
      <c r="AA2780" s="33"/>
      <c r="AB2780" s="33"/>
    </row>
    <row r="2781" spans="1:28" x14ac:dyDescent="0.15">
      <c r="A2781" s="46" t="s">
        <v>5613</v>
      </c>
      <c r="B2781" s="52" t="s">
        <v>7361</v>
      </c>
      <c r="C2781" s="53" t="s">
        <v>5614</v>
      </c>
      <c r="D2781" s="54" t="s">
        <v>10223</v>
      </c>
      <c r="E2781" s="50">
        <f t="shared" si="94"/>
        <v>38.041095890000001</v>
      </c>
      <c r="F2781" s="51">
        <f t="shared" si="94"/>
        <v>4.6304322999999998</v>
      </c>
      <c r="H2781" s="33"/>
      <c r="I2781" s="33"/>
      <c r="J2781" s="33"/>
      <c r="K2781" s="33"/>
      <c r="L2781" s="33"/>
      <c r="M2781" s="33"/>
      <c r="N2781" s="33"/>
      <c r="O2781" s="33"/>
      <c r="P2781" s="33"/>
      <c r="Q2781" s="33"/>
      <c r="R2781" s="33"/>
      <c r="S2781" s="33"/>
      <c r="T2781" s="33"/>
      <c r="U2781" s="33"/>
      <c r="V2781" s="33"/>
      <c r="W2781" s="33"/>
      <c r="X2781" s="33"/>
      <c r="Y2781" s="33"/>
      <c r="Z2781" s="33"/>
      <c r="AA2781" s="33"/>
      <c r="AB2781" s="33"/>
    </row>
    <row r="2782" spans="1:28" x14ac:dyDescent="0.15">
      <c r="A2782" s="46" t="s">
        <v>5615</v>
      </c>
      <c r="B2782" s="52" t="s">
        <v>7361</v>
      </c>
      <c r="C2782" s="53" t="s">
        <v>5616</v>
      </c>
      <c r="D2782" s="54" t="s">
        <v>10224</v>
      </c>
      <c r="E2782" s="50">
        <f t="shared" si="94"/>
        <v>38.054794520000002</v>
      </c>
      <c r="F2782" s="51">
        <f t="shared" si="94"/>
        <v>4.6304318899999997</v>
      </c>
      <c r="H2782" s="33"/>
      <c r="I2782" s="33"/>
      <c r="J2782" s="33"/>
      <c r="K2782" s="33"/>
      <c r="L2782" s="33"/>
      <c r="M2782" s="33"/>
      <c r="N2782" s="33"/>
      <c r="O2782" s="33"/>
      <c r="P2782" s="33"/>
      <c r="Q2782" s="33"/>
      <c r="R2782" s="33"/>
      <c r="S2782" s="33"/>
      <c r="T2782" s="33"/>
      <c r="U2782" s="33"/>
      <c r="V2782" s="33"/>
      <c r="W2782" s="33"/>
      <c r="X2782" s="33"/>
      <c r="Y2782" s="33"/>
      <c r="Z2782" s="33"/>
      <c r="AA2782" s="33"/>
      <c r="AB2782" s="33"/>
    </row>
    <row r="2783" spans="1:28" x14ac:dyDescent="0.15">
      <c r="A2783" s="46" t="s">
        <v>5617</v>
      </c>
      <c r="B2783" s="52" t="s">
        <v>7361</v>
      </c>
      <c r="C2783" s="53" t="s">
        <v>5618</v>
      </c>
      <c r="D2783" s="54" t="s">
        <v>10225</v>
      </c>
      <c r="E2783" s="50">
        <f t="shared" si="94"/>
        <v>38.068493150000002</v>
      </c>
      <c r="F2783" s="51">
        <f t="shared" si="94"/>
        <v>4.6304315100000002</v>
      </c>
      <c r="H2783" s="33"/>
      <c r="I2783" s="33"/>
      <c r="J2783" s="33"/>
      <c r="K2783" s="33"/>
      <c r="L2783" s="33"/>
      <c r="M2783" s="33"/>
      <c r="N2783" s="33"/>
      <c r="O2783" s="33"/>
      <c r="P2783" s="33"/>
      <c r="Q2783" s="33"/>
      <c r="R2783" s="33"/>
      <c r="S2783" s="33"/>
      <c r="T2783" s="33"/>
      <c r="U2783" s="33"/>
      <c r="V2783" s="33"/>
      <c r="W2783" s="33"/>
      <c r="X2783" s="33"/>
      <c r="Y2783" s="33"/>
      <c r="Z2783" s="33"/>
      <c r="AA2783" s="33"/>
      <c r="AB2783" s="33"/>
    </row>
    <row r="2784" spans="1:28" x14ac:dyDescent="0.15">
      <c r="A2784" s="46" t="s">
        <v>5619</v>
      </c>
      <c r="B2784" s="52" t="s">
        <v>7361</v>
      </c>
      <c r="C2784" s="53" t="s">
        <v>5620</v>
      </c>
      <c r="D2784" s="54" t="s">
        <v>10226</v>
      </c>
      <c r="E2784" s="50">
        <f t="shared" si="94"/>
        <v>38.082191780000002</v>
      </c>
      <c r="F2784" s="51">
        <f t="shared" si="94"/>
        <v>4.6304311499999997</v>
      </c>
      <c r="H2784" s="33"/>
      <c r="I2784" s="33"/>
      <c r="J2784" s="33"/>
      <c r="K2784" s="33"/>
      <c r="L2784" s="33"/>
      <c r="M2784" s="33"/>
      <c r="N2784" s="33"/>
      <c r="O2784" s="33"/>
      <c r="P2784" s="33"/>
      <c r="Q2784" s="33"/>
      <c r="R2784" s="33"/>
      <c r="S2784" s="33"/>
      <c r="T2784" s="33"/>
      <c r="U2784" s="33"/>
      <c r="V2784" s="33"/>
      <c r="W2784" s="33"/>
      <c r="X2784" s="33"/>
      <c r="Y2784" s="33"/>
      <c r="Z2784" s="33"/>
      <c r="AA2784" s="33"/>
      <c r="AB2784" s="33"/>
    </row>
    <row r="2785" spans="1:28" x14ac:dyDescent="0.15">
      <c r="A2785" s="46" t="s">
        <v>5621</v>
      </c>
      <c r="B2785" s="52" t="s">
        <v>7361</v>
      </c>
      <c r="C2785" s="53" t="s">
        <v>5622</v>
      </c>
      <c r="D2785" s="54" t="s">
        <v>10227</v>
      </c>
      <c r="E2785" s="50">
        <f t="shared" si="94"/>
        <v>38.095890410000003</v>
      </c>
      <c r="F2785" s="51">
        <f t="shared" si="94"/>
        <v>4.63043081</v>
      </c>
      <c r="H2785" s="33"/>
      <c r="I2785" s="33"/>
      <c r="J2785" s="33"/>
      <c r="K2785" s="33"/>
      <c r="L2785" s="33"/>
      <c r="M2785" s="33"/>
      <c r="N2785" s="33"/>
      <c r="O2785" s="33"/>
      <c r="P2785" s="33"/>
      <c r="Q2785" s="33"/>
      <c r="R2785" s="33"/>
      <c r="S2785" s="33"/>
      <c r="T2785" s="33"/>
      <c r="U2785" s="33"/>
      <c r="V2785" s="33"/>
      <c r="W2785" s="33"/>
      <c r="X2785" s="33"/>
      <c r="Y2785" s="33"/>
      <c r="Z2785" s="33"/>
      <c r="AA2785" s="33"/>
      <c r="AB2785" s="33"/>
    </row>
    <row r="2786" spans="1:28" x14ac:dyDescent="0.15">
      <c r="A2786" s="46" t="s">
        <v>5623</v>
      </c>
      <c r="B2786" s="52" t="s">
        <v>7361</v>
      </c>
      <c r="C2786" s="53" t="s">
        <v>5624</v>
      </c>
      <c r="D2786" s="54" t="s">
        <v>10228</v>
      </c>
      <c r="E2786" s="50">
        <f t="shared" si="94"/>
        <v>38.109589040000003</v>
      </c>
      <c r="F2786" s="51">
        <f t="shared" si="94"/>
        <v>4.6304304900000002</v>
      </c>
      <c r="H2786" s="33"/>
      <c r="I2786" s="33"/>
      <c r="J2786" s="33"/>
      <c r="K2786" s="33"/>
      <c r="L2786" s="33"/>
      <c r="M2786" s="33"/>
      <c r="N2786" s="33"/>
      <c r="O2786" s="33"/>
      <c r="P2786" s="33"/>
      <c r="Q2786" s="33"/>
      <c r="R2786" s="33"/>
      <c r="S2786" s="33"/>
      <c r="T2786" s="33"/>
      <c r="U2786" s="33"/>
      <c r="V2786" s="33"/>
      <c r="W2786" s="33"/>
      <c r="X2786" s="33"/>
      <c r="Y2786" s="33"/>
      <c r="Z2786" s="33"/>
      <c r="AA2786" s="33"/>
      <c r="AB2786" s="33"/>
    </row>
    <row r="2787" spans="1:28" x14ac:dyDescent="0.15">
      <c r="A2787" s="46" t="s">
        <v>5625</v>
      </c>
      <c r="B2787" s="52" t="s">
        <v>7361</v>
      </c>
      <c r="C2787" s="53" t="s">
        <v>5626</v>
      </c>
      <c r="D2787" s="54" t="s">
        <v>10229</v>
      </c>
      <c r="E2787" s="50">
        <f t="shared" si="94"/>
        <v>38.123287670000003</v>
      </c>
      <c r="F2787" s="51">
        <f t="shared" si="94"/>
        <v>4.6304302000000002</v>
      </c>
      <c r="H2787" s="33"/>
      <c r="I2787" s="33"/>
      <c r="J2787" s="33"/>
      <c r="K2787" s="33"/>
      <c r="L2787" s="33"/>
      <c r="M2787" s="33"/>
      <c r="N2787" s="33"/>
      <c r="O2787" s="33"/>
      <c r="P2787" s="33"/>
      <c r="Q2787" s="33"/>
      <c r="R2787" s="33"/>
      <c r="S2787" s="33"/>
      <c r="T2787" s="33"/>
      <c r="U2787" s="33"/>
      <c r="V2787" s="33"/>
      <c r="W2787" s="33"/>
      <c r="X2787" s="33"/>
      <c r="Y2787" s="33"/>
      <c r="Z2787" s="33"/>
      <c r="AA2787" s="33"/>
      <c r="AB2787" s="33"/>
    </row>
    <row r="2788" spans="1:28" x14ac:dyDescent="0.15">
      <c r="A2788" s="46" t="s">
        <v>5627</v>
      </c>
      <c r="B2788" s="52" t="s">
        <v>7361</v>
      </c>
      <c r="C2788" s="53" t="s">
        <v>5628</v>
      </c>
      <c r="D2788" s="54" t="s">
        <v>10230</v>
      </c>
      <c r="E2788" s="50">
        <f t="shared" si="94"/>
        <v>38.136986299999997</v>
      </c>
      <c r="F2788" s="51">
        <f t="shared" si="94"/>
        <v>4.6304299200000001</v>
      </c>
      <c r="H2788" s="33"/>
      <c r="I2788" s="33"/>
      <c r="J2788" s="33"/>
      <c r="K2788" s="33"/>
      <c r="L2788" s="33"/>
      <c r="M2788" s="33"/>
      <c r="N2788" s="33"/>
      <c r="O2788" s="33"/>
      <c r="P2788" s="33"/>
      <c r="Q2788" s="33"/>
      <c r="R2788" s="33"/>
      <c r="S2788" s="33"/>
      <c r="T2788" s="33"/>
      <c r="U2788" s="33"/>
      <c r="V2788" s="33"/>
      <c r="W2788" s="33"/>
      <c r="X2788" s="33"/>
      <c r="Y2788" s="33"/>
      <c r="Z2788" s="33"/>
      <c r="AA2788" s="33"/>
      <c r="AB2788" s="33"/>
    </row>
    <row r="2789" spans="1:28" x14ac:dyDescent="0.15">
      <c r="A2789" s="46" t="s">
        <v>5629</v>
      </c>
      <c r="B2789" s="52" t="s">
        <v>7361</v>
      </c>
      <c r="C2789" s="53" t="s">
        <v>5630</v>
      </c>
      <c r="D2789" s="54" t="s">
        <v>10231</v>
      </c>
      <c r="E2789" s="50">
        <f t="shared" si="94"/>
        <v>38.150684929999997</v>
      </c>
      <c r="F2789" s="51">
        <f t="shared" si="94"/>
        <v>4.6304296699999998</v>
      </c>
      <c r="H2789" s="33"/>
      <c r="I2789" s="33"/>
      <c r="J2789" s="33"/>
      <c r="K2789" s="33"/>
      <c r="L2789" s="33"/>
      <c r="M2789" s="33"/>
      <c r="N2789" s="33"/>
      <c r="O2789" s="33"/>
      <c r="P2789" s="33"/>
      <c r="Q2789" s="33"/>
      <c r="R2789" s="33"/>
      <c r="S2789" s="33"/>
      <c r="T2789" s="33"/>
      <c r="U2789" s="33"/>
      <c r="V2789" s="33"/>
      <c r="W2789" s="33"/>
      <c r="X2789" s="33"/>
      <c r="Y2789" s="33"/>
      <c r="Z2789" s="33"/>
      <c r="AA2789" s="33"/>
      <c r="AB2789" s="33"/>
    </row>
    <row r="2790" spans="1:28" x14ac:dyDescent="0.15">
      <c r="A2790" s="46" t="s">
        <v>5631</v>
      </c>
      <c r="B2790" s="52" t="s">
        <v>7361</v>
      </c>
      <c r="C2790" s="53" t="s">
        <v>5632</v>
      </c>
      <c r="D2790" s="54" t="s">
        <v>10232</v>
      </c>
      <c r="E2790" s="50">
        <f t="shared" si="94"/>
        <v>38.164383559999997</v>
      </c>
      <c r="F2790" s="51">
        <f t="shared" si="94"/>
        <v>4.6304294300000004</v>
      </c>
      <c r="H2790" s="33"/>
      <c r="I2790" s="33"/>
      <c r="J2790" s="33"/>
      <c r="K2790" s="33"/>
      <c r="L2790" s="33"/>
      <c r="M2790" s="33"/>
      <c r="N2790" s="33"/>
      <c r="O2790" s="33"/>
      <c r="P2790" s="33"/>
      <c r="Q2790" s="33"/>
      <c r="R2790" s="33"/>
      <c r="S2790" s="33"/>
      <c r="T2790" s="33"/>
      <c r="U2790" s="33"/>
      <c r="V2790" s="33"/>
      <c r="W2790" s="33"/>
      <c r="X2790" s="33"/>
      <c r="Y2790" s="33"/>
      <c r="Z2790" s="33"/>
      <c r="AA2790" s="33"/>
      <c r="AB2790" s="33"/>
    </row>
    <row r="2791" spans="1:28" x14ac:dyDescent="0.15">
      <c r="A2791" s="46" t="s">
        <v>5633</v>
      </c>
      <c r="B2791" s="52" t="s">
        <v>7361</v>
      </c>
      <c r="C2791" s="53" t="s">
        <v>5634</v>
      </c>
      <c r="D2791" s="54" t="s">
        <v>10233</v>
      </c>
      <c r="E2791" s="50">
        <f t="shared" ref="E2791:F2820" si="95">VALUE(C2791)</f>
        <v>38.178082189999998</v>
      </c>
      <c r="F2791" s="51">
        <f t="shared" si="95"/>
        <v>4.6304292199999999</v>
      </c>
      <c r="H2791" s="33"/>
      <c r="I2791" s="33"/>
      <c r="J2791" s="33"/>
      <c r="K2791" s="33"/>
      <c r="L2791" s="33"/>
      <c r="M2791" s="33"/>
      <c r="N2791" s="33"/>
      <c r="O2791" s="33"/>
      <c r="P2791" s="33"/>
      <c r="Q2791" s="33"/>
      <c r="R2791" s="33"/>
      <c r="S2791" s="33"/>
      <c r="T2791" s="33"/>
      <c r="U2791" s="33"/>
      <c r="V2791" s="33"/>
      <c r="W2791" s="33"/>
      <c r="X2791" s="33"/>
      <c r="Y2791" s="33"/>
      <c r="Z2791" s="33"/>
      <c r="AA2791" s="33"/>
      <c r="AB2791" s="33"/>
    </row>
    <row r="2792" spans="1:28" x14ac:dyDescent="0.15">
      <c r="A2792" s="46" t="s">
        <v>5635</v>
      </c>
      <c r="B2792" s="52" t="s">
        <v>7361</v>
      </c>
      <c r="C2792" s="53" t="s">
        <v>5636</v>
      </c>
      <c r="D2792" s="54" t="s">
        <v>10234</v>
      </c>
      <c r="E2792" s="50">
        <f t="shared" si="95"/>
        <v>38.191780819999998</v>
      </c>
      <c r="F2792" s="51">
        <f t="shared" si="95"/>
        <v>4.6304290200000002</v>
      </c>
      <c r="H2792" s="33"/>
      <c r="I2792" s="33"/>
      <c r="J2792" s="33"/>
      <c r="K2792" s="33"/>
      <c r="L2792" s="33"/>
      <c r="M2792" s="33"/>
      <c r="N2792" s="33"/>
      <c r="O2792" s="33"/>
      <c r="P2792" s="33"/>
      <c r="Q2792" s="33"/>
      <c r="R2792" s="33"/>
      <c r="S2792" s="33"/>
      <c r="T2792" s="33"/>
      <c r="U2792" s="33"/>
      <c r="V2792" s="33"/>
      <c r="W2792" s="33"/>
      <c r="X2792" s="33"/>
      <c r="Y2792" s="33"/>
      <c r="Z2792" s="33"/>
      <c r="AA2792" s="33"/>
      <c r="AB2792" s="33"/>
    </row>
    <row r="2793" spans="1:28" x14ac:dyDescent="0.15">
      <c r="A2793" s="46" t="s">
        <v>5637</v>
      </c>
      <c r="B2793" s="52" t="s">
        <v>7361</v>
      </c>
      <c r="C2793" s="53" t="s">
        <v>5638</v>
      </c>
      <c r="D2793" s="54" t="s">
        <v>10235</v>
      </c>
      <c r="E2793" s="50">
        <f t="shared" si="95"/>
        <v>38.205479449999999</v>
      </c>
      <c r="F2793" s="51">
        <f t="shared" si="95"/>
        <v>4.6304288400000004</v>
      </c>
      <c r="H2793" s="33"/>
      <c r="I2793" s="33"/>
      <c r="J2793" s="33"/>
      <c r="K2793" s="33"/>
      <c r="L2793" s="33"/>
      <c r="M2793" s="33"/>
      <c r="N2793" s="33"/>
      <c r="O2793" s="33"/>
      <c r="P2793" s="33"/>
      <c r="Q2793" s="33"/>
      <c r="R2793" s="33"/>
      <c r="S2793" s="33"/>
      <c r="T2793" s="33"/>
      <c r="U2793" s="33"/>
      <c r="V2793" s="33"/>
      <c r="W2793" s="33"/>
      <c r="X2793" s="33"/>
      <c r="Y2793" s="33"/>
      <c r="Z2793" s="33"/>
      <c r="AA2793" s="33"/>
      <c r="AB2793" s="33"/>
    </row>
    <row r="2794" spans="1:28" x14ac:dyDescent="0.15">
      <c r="A2794" s="46" t="s">
        <v>5639</v>
      </c>
      <c r="B2794" s="52" t="s">
        <v>7361</v>
      </c>
      <c r="C2794" s="53" t="s">
        <v>5640</v>
      </c>
      <c r="D2794" s="54" t="s">
        <v>10236</v>
      </c>
      <c r="E2794" s="50">
        <f t="shared" si="95"/>
        <v>38.219178079999999</v>
      </c>
      <c r="F2794" s="51">
        <f t="shared" si="95"/>
        <v>4.6304286699999997</v>
      </c>
      <c r="H2794" s="33"/>
      <c r="I2794" s="33"/>
      <c r="J2794" s="33"/>
      <c r="K2794" s="33"/>
      <c r="L2794" s="33"/>
      <c r="M2794" s="33"/>
      <c r="N2794" s="33"/>
      <c r="O2794" s="33"/>
      <c r="P2794" s="33"/>
      <c r="Q2794" s="33"/>
      <c r="R2794" s="33"/>
      <c r="S2794" s="33"/>
      <c r="T2794" s="33"/>
      <c r="U2794" s="33"/>
      <c r="V2794" s="33"/>
      <c r="W2794" s="33"/>
      <c r="X2794" s="33"/>
      <c r="Y2794" s="33"/>
      <c r="Z2794" s="33"/>
      <c r="AA2794" s="33"/>
      <c r="AB2794" s="33"/>
    </row>
    <row r="2795" spans="1:28" x14ac:dyDescent="0.15">
      <c r="A2795" s="46" t="s">
        <v>5641</v>
      </c>
      <c r="B2795" s="52" t="s">
        <v>7361</v>
      </c>
      <c r="C2795" s="53" t="s">
        <v>5642</v>
      </c>
      <c r="D2795" s="54" t="s">
        <v>10237</v>
      </c>
      <c r="E2795" s="50">
        <f t="shared" si="95"/>
        <v>38.232876709999999</v>
      </c>
      <c r="F2795" s="51">
        <f t="shared" si="95"/>
        <v>4.6304285199999997</v>
      </c>
      <c r="H2795" s="33"/>
      <c r="I2795" s="33"/>
      <c r="J2795" s="33"/>
      <c r="K2795" s="33"/>
      <c r="L2795" s="33"/>
      <c r="M2795" s="33"/>
      <c r="N2795" s="33"/>
      <c r="O2795" s="33"/>
      <c r="P2795" s="33"/>
      <c r="Q2795" s="33"/>
      <c r="R2795" s="33"/>
      <c r="S2795" s="33"/>
      <c r="T2795" s="33"/>
      <c r="U2795" s="33"/>
      <c r="V2795" s="33"/>
      <c r="W2795" s="33"/>
      <c r="X2795" s="33"/>
      <c r="Y2795" s="33"/>
      <c r="Z2795" s="33"/>
      <c r="AA2795" s="33"/>
      <c r="AB2795" s="33"/>
    </row>
    <row r="2796" spans="1:28" x14ac:dyDescent="0.15">
      <c r="A2796" s="46" t="s">
        <v>5643</v>
      </c>
      <c r="B2796" s="52" t="s">
        <v>7361</v>
      </c>
      <c r="C2796" s="53" t="s">
        <v>5644</v>
      </c>
      <c r="D2796" s="54" t="s">
        <v>10238</v>
      </c>
      <c r="E2796" s="50">
        <f t="shared" si="95"/>
        <v>38.24657534</v>
      </c>
      <c r="F2796" s="51">
        <f t="shared" si="95"/>
        <v>4.6304283899999996</v>
      </c>
      <c r="H2796" s="33"/>
      <c r="I2796" s="33"/>
      <c r="J2796" s="33"/>
      <c r="K2796" s="33"/>
      <c r="L2796" s="33"/>
      <c r="M2796" s="33"/>
      <c r="N2796" s="33"/>
      <c r="O2796" s="33"/>
      <c r="P2796" s="33"/>
      <c r="Q2796" s="33"/>
      <c r="R2796" s="33"/>
      <c r="S2796" s="33"/>
      <c r="T2796" s="33"/>
      <c r="U2796" s="33"/>
      <c r="V2796" s="33"/>
      <c r="W2796" s="33"/>
      <c r="X2796" s="33"/>
      <c r="Y2796" s="33"/>
      <c r="Z2796" s="33"/>
      <c r="AA2796" s="33"/>
      <c r="AB2796" s="33"/>
    </row>
    <row r="2797" spans="1:28" x14ac:dyDescent="0.15">
      <c r="A2797" s="46" t="s">
        <v>5645</v>
      </c>
      <c r="B2797" s="52" t="s">
        <v>7361</v>
      </c>
      <c r="C2797" s="53" t="s">
        <v>5646</v>
      </c>
      <c r="D2797" s="54" t="s">
        <v>10239</v>
      </c>
      <c r="E2797" s="50">
        <f t="shared" si="95"/>
        <v>38.26027397</v>
      </c>
      <c r="F2797" s="51">
        <f t="shared" si="95"/>
        <v>4.6304282600000004</v>
      </c>
      <c r="H2797" s="33"/>
      <c r="I2797" s="33"/>
      <c r="J2797" s="33"/>
      <c r="K2797" s="33"/>
      <c r="L2797" s="33"/>
      <c r="M2797" s="33"/>
      <c r="N2797" s="33"/>
      <c r="O2797" s="33"/>
      <c r="P2797" s="33"/>
      <c r="Q2797" s="33"/>
      <c r="R2797" s="33"/>
      <c r="S2797" s="33"/>
      <c r="T2797" s="33"/>
      <c r="U2797" s="33"/>
      <c r="V2797" s="33"/>
      <c r="W2797" s="33"/>
      <c r="X2797" s="33"/>
      <c r="Y2797" s="33"/>
      <c r="Z2797" s="33"/>
      <c r="AA2797" s="33"/>
      <c r="AB2797" s="33"/>
    </row>
    <row r="2798" spans="1:28" x14ac:dyDescent="0.15">
      <c r="A2798" s="46" t="s">
        <v>5647</v>
      </c>
      <c r="B2798" s="52" t="s">
        <v>7361</v>
      </c>
      <c r="C2798" s="53" t="s">
        <v>5648</v>
      </c>
      <c r="D2798" s="54" t="s">
        <v>10240</v>
      </c>
      <c r="E2798" s="50">
        <f t="shared" si="95"/>
        <v>38.2739726</v>
      </c>
      <c r="F2798" s="51">
        <f t="shared" si="95"/>
        <v>4.6304281500000002</v>
      </c>
      <c r="H2798" s="33"/>
      <c r="I2798" s="33"/>
      <c r="J2798" s="33"/>
      <c r="K2798" s="33"/>
      <c r="L2798" s="33"/>
      <c r="M2798" s="33"/>
      <c r="N2798" s="33"/>
      <c r="O2798" s="33"/>
      <c r="P2798" s="33"/>
      <c r="Q2798" s="33"/>
      <c r="R2798" s="33"/>
      <c r="S2798" s="33"/>
      <c r="T2798" s="33"/>
      <c r="U2798" s="33"/>
      <c r="V2798" s="33"/>
      <c r="W2798" s="33"/>
      <c r="X2798" s="33"/>
      <c r="Y2798" s="33"/>
      <c r="Z2798" s="33"/>
      <c r="AA2798" s="33"/>
      <c r="AB2798" s="33"/>
    </row>
    <row r="2799" spans="1:28" x14ac:dyDescent="0.15">
      <c r="A2799" s="46" t="s">
        <v>5649</v>
      </c>
      <c r="B2799" s="52" t="s">
        <v>7361</v>
      </c>
      <c r="C2799" s="53" t="s">
        <v>5650</v>
      </c>
      <c r="D2799" s="54" t="s">
        <v>10241</v>
      </c>
      <c r="E2799" s="50">
        <f t="shared" si="95"/>
        <v>38.287671230000001</v>
      </c>
      <c r="F2799" s="51">
        <f t="shared" si="95"/>
        <v>4.6304280599999998</v>
      </c>
      <c r="H2799" s="33"/>
      <c r="I2799" s="33"/>
      <c r="J2799" s="33"/>
      <c r="K2799" s="33"/>
      <c r="L2799" s="33"/>
      <c r="M2799" s="33"/>
      <c r="N2799" s="33"/>
      <c r="O2799" s="33"/>
      <c r="P2799" s="33"/>
      <c r="Q2799" s="33"/>
      <c r="R2799" s="33"/>
      <c r="S2799" s="33"/>
      <c r="T2799" s="33"/>
      <c r="U2799" s="33"/>
      <c r="V2799" s="33"/>
      <c r="W2799" s="33"/>
      <c r="X2799" s="33"/>
      <c r="Y2799" s="33"/>
      <c r="Z2799" s="33"/>
      <c r="AA2799" s="33"/>
      <c r="AB2799" s="33"/>
    </row>
    <row r="2800" spans="1:28" x14ac:dyDescent="0.15">
      <c r="A2800" s="46" t="s">
        <v>5651</v>
      </c>
      <c r="B2800" s="52" t="s">
        <v>7361</v>
      </c>
      <c r="C2800" s="53" t="s">
        <v>5652</v>
      </c>
      <c r="D2800" s="54" t="s">
        <v>10242</v>
      </c>
      <c r="E2800" s="50">
        <f t="shared" si="95"/>
        <v>38.301369860000001</v>
      </c>
      <c r="F2800" s="51">
        <f t="shared" si="95"/>
        <v>4.6304279700000004</v>
      </c>
      <c r="H2800" s="33"/>
      <c r="I2800" s="33"/>
      <c r="J2800" s="33"/>
      <c r="K2800" s="33"/>
      <c r="L2800" s="33"/>
      <c r="M2800" s="33"/>
      <c r="N2800" s="33"/>
      <c r="O2800" s="33"/>
      <c r="P2800" s="33"/>
      <c r="Q2800" s="33"/>
      <c r="R2800" s="33"/>
      <c r="S2800" s="33"/>
      <c r="T2800" s="33"/>
      <c r="U2800" s="33"/>
      <c r="V2800" s="33"/>
      <c r="W2800" s="33"/>
      <c r="X2800" s="33"/>
      <c r="Y2800" s="33"/>
      <c r="Z2800" s="33"/>
      <c r="AA2800" s="33"/>
      <c r="AB2800" s="33"/>
    </row>
    <row r="2801" spans="1:28" x14ac:dyDescent="0.15">
      <c r="A2801" s="46" t="s">
        <v>5653</v>
      </c>
      <c r="B2801" s="52" t="s">
        <v>7361</v>
      </c>
      <c r="C2801" s="53" t="s">
        <v>5654</v>
      </c>
      <c r="D2801" s="54" t="s">
        <v>10243</v>
      </c>
      <c r="E2801" s="50">
        <f t="shared" si="95"/>
        <v>38.315068490000002</v>
      </c>
      <c r="F2801" s="51">
        <f t="shared" si="95"/>
        <v>4.6304278999999999</v>
      </c>
      <c r="H2801" s="33"/>
      <c r="I2801" s="33"/>
      <c r="J2801" s="33"/>
      <c r="K2801" s="33"/>
      <c r="L2801" s="33"/>
      <c r="M2801" s="33"/>
      <c r="N2801" s="33"/>
      <c r="O2801" s="33"/>
      <c r="P2801" s="33"/>
      <c r="Q2801" s="33"/>
      <c r="R2801" s="33"/>
      <c r="S2801" s="33"/>
      <c r="T2801" s="33"/>
      <c r="U2801" s="33"/>
      <c r="V2801" s="33"/>
      <c r="W2801" s="33"/>
      <c r="X2801" s="33"/>
      <c r="Y2801" s="33"/>
      <c r="Z2801" s="33"/>
      <c r="AA2801" s="33"/>
      <c r="AB2801" s="33"/>
    </row>
    <row r="2802" spans="1:28" x14ac:dyDescent="0.15">
      <c r="A2802" s="46" t="s">
        <v>5655</v>
      </c>
      <c r="B2802" s="52" t="s">
        <v>7361</v>
      </c>
      <c r="C2802" s="53" t="s">
        <v>5656</v>
      </c>
      <c r="D2802" s="54" t="s">
        <v>10244</v>
      </c>
      <c r="E2802" s="50">
        <f t="shared" si="95"/>
        <v>38.328767120000002</v>
      </c>
      <c r="F2802" s="51">
        <f t="shared" si="95"/>
        <v>4.6304278400000003</v>
      </c>
      <c r="H2802" s="33"/>
      <c r="I2802" s="33"/>
      <c r="J2802" s="33"/>
      <c r="K2802" s="33"/>
      <c r="L2802" s="33"/>
      <c r="M2802" s="33"/>
      <c r="N2802" s="33"/>
      <c r="O2802" s="33"/>
      <c r="P2802" s="33"/>
      <c r="Q2802" s="33"/>
      <c r="R2802" s="33"/>
      <c r="S2802" s="33"/>
      <c r="T2802" s="33"/>
      <c r="U2802" s="33"/>
      <c r="V2802" s="33"/>
      <c r="W2802" s="33"/>
      <c r="X2802" s="33"/>
      <c r="Y2802" s="33"/>
      <c r="Z2802" s="33"/>
      <c r="AA2802" s="33"/>
      <c r="AB2802" s="33"/>
    </row>
    <row r="2803" spans="1:28" x14ac:dyDescent="0.15">
      <c r="A2803" s="46" t="s">
        <v>5657</v>
      </c>
      <c r="B2803" s="52" t="s">
        <v>7361</v>
      </c>
      <c r="C2803" s="53" t="s">
        <v>5658</v>
      </c>
      <c r="D2803" s="54" t="s">
        <v>10245</v>
      </c>
      <c r="E2803" s="50">
        <f t="shared" si="95"/>
        <v>38.342465750000002</v>
      </c>
      <c r="F2803" s="51">
        <f t="shared" si="95"/>
        <v>4.6304277799999998</v>
      </c>
      <c r="H2803" s="33"/>
      <c r="I2803" s="33"/>
      <c r="J2803" s="33"/>
      <c r="K2803" s="33"/>
      <c r="L2803" s="33"/>
      <c r="M2803" s="33"/>
      <c r="N2803" s="33"/>
      <c r="O2803" s="33"/>
      <c r="P2803" s="33"/>
      <c r="Q2803" s="33"/>
      <c r="R2803" s="33"/>
      <c r="S2803" s="33"/>
      <c r="T2803" s="33"/>
      <c r="U2803" s="33"/>
      <c r="V2803" s="33"/>
      <c r="W2803" s="33"/>
      <c r="X2803" s="33"/>
      <c r="Y2803" s="33"/>
      <c r="Z2803" s="33"/>
      <c r="AA2803" s="33"/>
      <c r="AB2803" s="33"/>
    </row>
    <row r="2804" spans="1:28" x14ac:dyDescent="0.15">
      <c r="A2804" s="46" t="s">
        <v>5659</v>
      </c>
      <c r="B2804" s="52" t="s">
        <v>7361</v>
      </c>
      <c r="C2804" s="53" t="s">
        <v>5660</v>
      </c>
      <c r="D2804" s="54" t="s">
        <v>10246</v>
      </c>
      <c r="E2804" s="50">
        <f t="shared" si="95"/>
        <v>38.356164380000003</v>
      </c>
      <c r="F2804" s="51">
        <f t="shared" si="95"/>
        <v>4.63042774</v>
      </c>
      <c r="H2804" s="33"/>
      <c r="I2804" s="33"/>
      <c r="J2804" s="33"/>
      <c r="K2804" s="33"/>
      <c r="L2804" s="33"/>
      <c r="M2804" s="33"/>
      <c r="N2804" s="33"/>
      <c r="O2804" s="33"/>
      <c r="P2804" s="33"/>
      <c r="Q2804" s="33"/>
      <c r="R2804" s="33"/>
      <c r="S2804" s="33"/>
      <c r="T2804" s="33"/>
      <c r="U2804" s="33"/>
      <c r="V2804" s="33"/>
      <c r="W2804" s="33"/>
      <c r="X2804" s="33"/>
      <c r="Y2804" s="33"/>
      <c r="Z2804" s="33"/>
      <c r="AA2804" s="33"/>
      <c r="AB2804" s="33"/>
    </row>
    <row r="2805" spans="1:28" x14ac:dyDescent="0.15">
      <c r="A2805" s="46" t="s">
        <v>5661</v>
      </c>
      <c r="B2805" s="52" t="s">
        <v>7361</v>
      </c>
      <c r="C2805" s="53" t="s">
        <v>5662</v>
      </c>
      <c r="D2805" s="54" t="s">
        <v>10247</v>
      </c>
      <c r="E2805" s="50">
        <f t="shared" si="95"/>
        <v>38.369863010000003</v>
      </c>
      <c r="F2805" s="51">
        <f t="shared" si="95"/>
        <v>4.6304277000000003</v>
      </c>
      <c r="H2805" s="33"/>
      <c r="I2805" s="33"/>
      <c r="J2805" s="33"/>
      <c r="K2805" s="33"/>
      <c r="L2805" s="33"/>
      <c r="M2805" s="33"/>
      <c r="N2805" s="33"/>
      <c r="O2805" s="33"/>
      <c r="P2805" s="33"/>
      <c r="Q2805" s="33"/>
      <c r="R2805" s="33"/>
      <c r="S2805" s="33"/>
      <c r="T2805" s="33"/>
      <c r="U2805" s="33"/>
      <c r="V2805" s="33"/>
      <c r="W2805" s="33"/>
      <c r="X2805" s="33"/>
      <c r="Y2805" s="33"/>
      <c r="Z2805" s="33"/>
      <c r="AA2805" s="33"/>
      <c r="AB2805" s="33"/>
    </row>
    <row r="2806" spans="1:28" x14ac:dyDescent="0.15">
      <c r="A2806" s="46" t="s">
        <v>5663</v>
      </c>
      <c r="B2806" s="52" t="s">
        <v>7361</v>
      </c>
      <c r="C2806" s="53" t="s">
        <v>5664</v>
      </c>
      <c r="D2806" s="54" t="s">
        <v>10248</v>
      </c>
      <c r="E2806" s="50">
        <f t="shared" si="95"/>
        <v>38.383561640000003</v>
      </c>
      <c r="F2806" s="51">
        <f t="shared" si="95"/>
        <v>4.6304276700000004</v>
      </c>
      <c r="H2806" s="33"/>
      <c r="I2806" s="33"/>
      <c r="J2806" s="33"/>
      <c r="K2806" s="33"/>
      <c r="L2806" s="33"/>
      <c r="M2806" s="33"/>
      <c r="N2806" s="33"/>
      <c r="O2806" s="33"/>
      <c r="P2806" s="33"/>
      <c r="Q2806" s="33"/>
      <c r="R2806" s="33"/>
      <c r="S2806" s="33"/>
      <c r="T2806" s="33"/>
      <c r="U2806" s="33"/>
      <c r="V2806" s="33"/>
      <c r="W2806" s="33"/>
      <c r="X2806" s="33"/>
      <c r="Y2806" s="33"/>
      <c r="Z2806" s="33"/>
      <c r="AA2806" s="33"/>
      <c r="AB2806" s="33"/>
    </row>
    <row r="2807" spans="1:28" x14ac:dyDescent="0.15">
      <c r="A2807" s="46" t="s">
        <v>5665</v>
      </c>
      <c r="B2807" s="52" t="s">
        <v>7361</v>
      </c>
      <c r="C2807" s="53" t="s">
        <v>5666</v>
      </c>
      <c r="D2807" s="54" t="s">
        <v>10249</v>
      </c>
      <c r="E2807" s="50">
        <f t="shared" si="95"/>
        <v>38.397260269999997</v>
      </c>
      <c r="F2807" s="51">
        <f t="shared" si="95"/>
        <v>4.6304276399999997</v>
      </c>
      <c r="H2807" s="33"/>
      <c r="I2807" s="33"/>
      <c r="J2807" s="33"/>
      <c r="K2807" s="33"/>
      <c r="L2807" s="33"/>
      <c r="M2807" s="33"/>
      <c r="N2807" s="33"/>
      <c r="O2807" s="33"/>
      <c r="P2807" s="33"/>
      <c r="Q2807" s="33"/>
      <c r="R2807" s="33"/>
      <c r="S2807" s="33"/>
      <c r="T2807" s="33"/>
      <c r="U2807" s="33"/>
      <c r="V2807" s="33"/>
      <c r="W2807" s="33"/>
      <c r="X2807" s="33"/>
      <c r="Y2807" s="33"/>
      <c r="Z2807" s="33"/>
      <c r="AA2807" s="33"/>
      <c r="AB2807" s="33"/>
    </row>
    <row r="2808" spans="1:28" x14ac:dyDescent="0.15">
      <c r="A2808" s="46" t="s">
        <v>5667</v>
      </c>
      <c r="B2808" s="52" t="s">
        <v>7361</v>
      </c>
      <c r="C2808" s="53" t="s">
        <v>5668</v>
      </c>
      <c r="D2808" s="54" t="s">
        <v>10250</v>
      </c>
      <c r="E2808" s="50">
        <f t="shared" si="95"/>
        <v>38.410958899999997</v>
      </c>
      <c r="F2808" s="51">
        <f t="shared" si="95"/>
        <v>4.6304276199999999</v>
      </c>
      <c r="H2808" s="33"/>
      <c r="I2808" s="33"/>
      <c r="J2808" s="33"/>
      <c r="K2808" s="33"/>
      <c r="L2808" s="33"/>
      <c r="M2808" s="33"/>
      <c r="N2808" s="33"/>
      <c r="O2808" s="33"/>
      <c r="P2808" s="33"/>
      <c r="Q2808" s="33"/>
      <c r="R2808" s="33"/>
      <c r="S2808" s="33"/>
      <c r="T2808" s="33"/>
      <c r="U2808" s="33"/>
      <c r="V2808" s="33"/>
      <c r="W2808" s="33"/>
      <c r="X2808" s="33"/>
      <c r="Y2808" s="33"/>
      <c r="Z2808" s="33"/>
      <c r="AA2808" s="33"/>
      <c r="AB2808" s="33"/>
    </row>
    <row r="2809" spans="1:28" x14ac:dyDescent="0.15">
      <c r="A2809" s="46" t="s">
        <v>5669</v>
      </c>
      <c r="B2809" s="52" t="s">
        <v>7361</v>
      </c>
      <c r="C2809" s="53" t="s">
        <v>5670</v>
      </c>
      <c r="D2809" s="54" t="s">
        <v>10251</v>
      </c>
      <c r="E2809" s="50">
        <f t="shared" si="95"/>
        <v>38.424657529999998</v>
      </c>
      <c r="F2809" s="51">
        <f t="shared" si="95"/>
        <v>4.6304276099999999</v>
      </c>
      <c r="H2809" s="33"/>
      <c r="I2809" s="33"/>
      <c r="J2809" s="33"/>
      <c r="K2809" s="33"/>
      <c r="L2809" s="33"/>
      <c r="M2809" s="33"/>
      <c r="N2809" s="33"/>
      <c r="O2809" s="33"/>
      <c r="P2809" s="33"/>
      <c r="Q2809" s="33"/>
      <c r="R2809" s="33"/>
      <c r="S2809" s="33"/>
      <c r="T2809" s="33"/>
      <c r="U2809" s="33"/>
      <c r="V2809" s="33"/>
      <c r="W2809" s="33"/>
      <c r="X2809" s="33"/>
      <c r="Y2809" s="33"/>
      <c r="Z2809" s="33"/>
      <c r="AA2809" s="33"/>
      <c r="AB2809" s="33"/>
    </row>
    <row r="2810" spans="1:28" x14ac:dyDescent="0.15">
      <c r="A2810" s="46" t="s">
        <v>5671</v>
      </c>
      <c r="B2810" s="52" t="s">
        <v>7361</v>
      </c>
      <c r="C2810" s="53" t="s">
        <v>5672</v>
      </c>
      <c r="D2810" s="54" t="s">
        <v>10252</v>
      </c>
      <c r="E2810" s="50">
        <f t="shared" si="95"/>
        <v>38.438356159999998</v>
      </c>
      <c r="F2810" s="51">
        <f t="shared" si="95"/>
        <v>4.6304276</v>
      </c>
      <c r="H2810" s="33"/>
      <c r="I2810" s="33"/>
      <c r="J2810" s="33"/>
      <c r="K2810" s="33"/>
      <c r="L2810" s="33"/>
      <c r="M2810" s="33"/>
      <c r="N2810" s="33"/>
      <c r="O2810" s="33"/>
      <c r="P2810" s="33"/>
      <c r="Q2810" s="33"/>
      <c r="R2810" s="33"/>
      <c r="S2810" s="33"/>
      <c r="T2810" s="33"/>
      <c r="U2810" s="33"/>
      <c r="V2810" s="33"/>
      <c r="W2810" s="33"/>
      <c r="X2810" s="33"/>
      <c r="Y2810" s="33"/>
      <c r="Z2810" s="33"/>
      <c r="AA2810" s="33"/>
      <c r="AB2810" s="33"/>
    </row>
    <row r="2811" spans="1:28" x14ac:dyDescent="0.15">
      <c r="A2811" s="46" t="s">
        <v>5673</v>
      </c>
      <c r="B2811" s="52" t="s">
        <v>7361</v>
      </c>
      <c r="C2811" s="53" t="s">
        <v>5674</v>
      </c>
      <c r="D2811" s="54" t="s">
        <v>10252</v>
      </c>
      <c r="E2811" s="50">
        <f t="shared" si="95"/>
        <v>38.452054789999998</v>
      </c>
      <c r="F2811" s="51">
        <f t="shared" si="95"/>
        <v>4.6304276</v>
      </c>
      <c r="H2811" s="33"/>
      <c r="I2811" s="33"/>
      <c r="J2811" s="33"/>
      <c r="K2811" s="33"/>
      <c r="L2811" s="33"/>
      <c r="M2811" s="33"/>
      <c r="N2811" s="33"/>
      <c r="O2811" s="33"/>
      <c r="P2811" s="33"/>
      <c r="Q2811" s="33"/>
      <c r="R2811" s="33"/>
      <c r="S2811" s="33"/>
      <c r="T2811" s="33"/>
      <c r="U2811" s="33"/>
      <c r="V2811" s="33"/>
      <c r="W2811" s="33"/>
      <c r="X2811" s="33"/>
      <c r="Y2811" s="33"/>
      <c r="Z2811" s="33"/>
      <c r="AA2811" s="33"/>
      <c r="AB2811" s="33"/>
    </row>
    <row r="2812" spans="1:28" x14ac:dyDescent="0.15">
      <c r="A2812" s="46" t="s">
        <v>5675</v>
      </c>
      <c r="B2812" s="52" t="s">
        <v>7361</v>
      </c>
      <c r="C2812" s="53" t="s">
        <v>5676</v>
      </c>
      <c r="D2812" s="54" t="s">
        <v>10253</v>
      </c>
      <c r="E2812" s="50">
        <f t="shared" si="95"/>
        <v>38.465753419999999</v>
      </c>
      <c r="F2812" s="51">
        <f t="shared" si="95"/>
        <v>4.63042759</v>
      </c>
      <c r="H2812" s="33"/>
      <c r="I2812" s="33"/>
      <c r="J2812" s="33"/>
      <c r="K2812" s="33"/>
      <c r="L2812" s="33"/>
      <c r="M2812" s="33"/>
      <c r="N2812" s="33"/>
      <c r="O2812" s="33"/>
      <c r="P2812" s="33"/>
      <c r="Q2812" s="33"/>
      <c r="R2812" s="33"/>
      <c r="S2812" s="33"/>
      <c r="T2812" s="33"/>
      <c r="U2812" s="33"/>
      <c r="V2812" s="33"/>
      <c r="W2812" s="33"/>
      <c r="X2812" s="33"/>
      <c r="Y2812" s="33"/>
      <c r="Z2812" s="33"/>
      <c r="AA2812" s="33"/>
      <c r="AB2812" s="33"/>
    </row>
    <row r="2813" spans="1:28" x14ac:dyDescent="0.15">
      <c r="A2813" s="46" t="s">
        <v>5677</v>
      </c>
      <c r="B2813" s="52" t="s">
        <v>7361</v>
      </c>
      <c r="C2813" s="53" t="s">
        <v>5678</v>
      </c>
      <c r="D2813" s="54" t="s">
        <v>10253</v>
      </c>
      <c r="E2813" s="50">
        <f t="shared" si="95"/>
        <v>38.479452049999999</v>
      </c>
      <c r="F2813" s="51">
        <f t="shared" si="95"/>
        <v>4.63042759</v>
      </c>
      <c r="H2813" s="33"/>
      <c r="I2813" s="33"/>
      <c r="J2813" s="33"/>
      <c r="K2813" s="33"/>
      <c r="L2813" s="33"/>
      <c r="M2813" s="33"/>
      <c r="N2813" s="33"/>
      <c r="O2813" s="33"/>
      <c r="P2813" s="33"/>
      <c r="Q2813" s="33"/>
      <c r="R2813" s="33"/>
      <c r="S2813" s="33"/>
      <c r="T2813" s="33"/>
      <c r="U2813" s="33"/>
      <c r="V2813" s="33"/>
      <c r="W2813" s="33"/>
      <c r="X2813" s="33"/>
      <c r="Y2813" s="33"/>
      <c r="Z2813" s="33"/>
      <c r="AA2813" s="33"/>
      <c r="AB2813" s="33"/>
    </row>
    <row r="2814" spans="1:28" x14ac:dyDescent="0.15">
      <c r="A2814" s="46" t="s">
        <v>5679</v>
      </c>
      <c r="B2814" s="52" t="s">
        <v>7361</v>
      </c>
      <c r="C2814" s="53" t="s">
        <v>5680</v>
      </c>
      <c r="D2814" s="54" t="s">
        <v>10253</v>
      </c>
      <c r="E2814" s="50">
        <f t="shared" si="95"/>
        <v>38.493150679999999</v>
      </c>
      <c r="F2814" s="51">
        <f t="shared" si="95"/>
        <v>4.63042759</v>
      </c>
      <c r="H2814" s="33"/>
      <c r="I2814" s="33"/>
      <c r="J2814" s="33"/>
      <c r="K2814" s="33"/>
      <c r="L2814" s="33"/>
      <c r="M2814" s="33"/>
      <c r="N2814" s="33"/>
      <c r="O2814" s="33"/>
      <c r="P2814" s="33"/>
      <c r="Q2814" s="33"/>
      <c r="R2814" s="33"/>
      <c r="S2814" s="33"/>
      <c r="T2814" s="33"/>
      <c r="U2814" s="33"/>
      <c r="V2814" s="33"/>
      <c r="W2814" s="33"/>
      <c r="X2814" s="33"/>
      <c r="Y2814" s="33"/>
      <c r="Z2814" s="33"/>
      <c r="AA2814" s="33"/>
      <c r="AB2814" s="33"/>
    </row>
    <row r="2815" spans="1:28" x14ac:dyDescent="0.15">
      <c r="A2815" s="46" t="s">
        <v>5681</v>
      </c>
      <c r="B2815" s="52" t="s">
        <v>7361</v>
      </c>
      <c r="C2815" s="53" t="s">
        <v>5682</v>
      </c>
      <c r="D2815" s="54" t="s">
        <v>10254</v>
      </c>
      <c r="E2815" s="50">
        <f t="shared" si="95"/>
        <v>38.506849320000001</v>
      </c>
      <c r="F2815" s="51">
        <f t="shared" si="95"/>
        <v>4.63042775</v>
      </c>
      <c r="H2815" s="33"/>
      <c r="I2815" s="33"/>
      <c r="J2815" s="33"/>
      <c r="K2815" s="33"/>
      <c r="L2815" s="33"/>
      <c r="M2815" s="33"/>
      <c r="N2815" s="33"/>
      <c r="O2815" s="33"/>
      <c r="P2815" s="33"/>
      <c r="Q2815" s="33"/>
      <c r="R2815" s="33"/>
      <c r="S2815" s="33"/>
      <c r="T2815" s="33"/>
      <c r="U2815" s="33"/>
      <c r="V2815" s="33"/>
      <c r="W2815" s="33"/>
      <c r="X2815" s="33"/>
      <c r="Y2815" s="33"/>
      <c r="Z2815" s="33"/>
      <c r="AA2815" s="33"/>
      <c r="AB2815" s="33"/>
    </row>
    <row r="2816" spans="1:28" x14ac:dyDescent="0.15">
      <c r="A2816" s="46" t="s">
        <v>5683</v>
      </c>
      <c r="B2816" s="52" t="s">
        <v>7361</v>
      </c>
      <c r="C2816" s="53" t="s">
        <v>5684</v>
      </c>
      <c r="D2816" s="54" t="s">
        <v>10255</v>
      </c>
      <c r="E2816" s="50">
        <f t="shared" si="95"/>
        <v>38.520547950000001</v>
      </c>
      <c r="F2816" s="51">
        <f t="shared" si="95"/>
        <v>4.6304290400000001</v>
      </c>
      <c r="H2816" s="33"/>
      <c r="I2816" s="33"/>
      <c r="J2816" s="33"/>
      <c r="K2816" s="33"/>
      <c r="L2816" s="33"/>
      <c r="M2816" s="33"/>
      <c r="N2816" s="33"/>
      <c r="O2816" s="33"/>
      <c r="P2816" s="33"/>
      <c r="Q2816" s="33"/>
      <c r="R2816" s="33"/>
      <c r="S2816" s="33"/>
      <c r="T2816" s="33"/>
      <c r="U2816" s="33"/>
      <c r="V2816" s="33"/>
      <c r="W2816" s="33"/>
      <c r="X2816" s="33"/>
      <c r="Y2816" s="33"/>
      <c r="Z2816" s="33"/>
      <c r="AA2816" s="33"/>
      <c r="AB2816" s="33"/>
    </row>
    <row r="2817" spans="1:28" x14ac:dyDescent="0.15">
      <c r="A2817" s="46" t="s">
        <v>5685</v>
      </c>
      <c r="B2817" s="52" t="s">
        <v>7361</v>
      </c>
      <c r="C2817" s="53" t="s">
        <v>5686</v>
      </c>
      <c r="D2817" s="54" t="s">
        <v>10256</v>
      </c>
      <c r="E2817" s="50">
        <f t="shared" si="95"/>
        <v>38.534246580000001</v>
      </c>
      <c r="F2817" s="51">
        <f t="shared" si="95"/>
        <v>4.6304315599999999</v>
      </c>
      <c r="H2817" s="33"/>
      <c r="I2817" s="33"/>
      <c r="J2817" s="33"/>
      <c r="K2817" s="33"/>
      <c r="L2817" s="33"/>
      <c r="M2817" s="33"/>
      <c r="N2817" s="33"/>
      <c r="O2817" s="33"/>
      <c r="P2817" s="33"/>
      <c r="Q2817" s="33"/>
      <c r="R2817" s="33"/>
      <c r="S2817" s="33"/>
      <c r="T2817" s="33"/>
      <c r="U2817" s="33"/>
      <c r="V2817" s="33"/>
      <c r="W2817" s="33"/>
      <c r="X2817" s="33"/>
      <c r="Y2817" s="33"/>
      <c r="Z2817" s="33"/>
      <c r="AA2817" s="33"/>
      <c r="AB2817" s="33"/>
    </row>
    <row r="2818" spans="1:28" x14ac:dyDescent="0.15">
      <c r="A2818" s="46" t="s">
        <v>5687</v>
      </c>
      <c r="B2818" s="52" t="s">
        <v>7361</v>
      </c>
      <c r="C2818" s="53" t="s">
        <v>5688</v>
      </c>
      <c r="D2818" s="54" t="s">
        <v>10257</v>
      </c>
      <c r="E2818" s="50">
        <f t="shared" si="95"/>
        <v>38.547945210000002</v>
      </c>
      <c r="F2818" s="51">
        <f t="shared" si="95"/>
        <v>4.6304352499999997</v>
      </c>
      <c r="H2818" s="33"/>
      <c r="I2818" s="33"/>
      <c r="J2818" s="33"/>
      <c r="K2818" s="33"/>
      <c r="L2818" s="33"/>
      <c r="M2818" s="33"/>
      <c r="N2818" s="33"/>
      <c r="O2818" s="33"/>
      <c r="P2818" s="33"/>
      <c r="Q2818" s="33"/>
      <c r="R2818" s="33"/>
      <c r="S2818" s="33"/>
      <c r="T2818" s="33"/>
      <c r="U2818" s="33"/>
      <c r="V2818" s="33"/>
      <c r="W2818" s="33"/>
      <c r="X2818" s="33"/>
      <c r="Y2818" s="33"/>
      <c r="Z2818" s="33"/>
      <c r="AA2818" s="33"/>
      <c r="AB2818" s="33"/>
    </row>
    <row r="2819" spans="1:28" x14ac:dyDescent="0.15">
      <c r="A2819" s="46" t="s">
        <v>5689</v>
      </c>
      <c r="B2819" s="52" t="s">
        <v>7361</v>
      </c>
      <c r="C2819" s="53" t="s">
        <v>5690</v>
      </c>
      <c r="D2819" s="54" t="s">
        <v>10258</v>
      </c>
      <c r="E2819" s="50">
        <f t="shared" si="95"/>
        <v>38.561643840000002</v>
      </c>
      <c r="F2819" s="51">
        <f t="shared" si="95"/>
        <v>4.6304400699999997</v>
      </c>
      <c r="H2819" s="33"/>
      <c r="I2819" s="33"/>
      <c r="J2819" s="33"/>
      <c r="K2819" s="33"/>
      <c r="L2819" s="33"/>
      <c r="M2819" s="33"/>
      <c r="N2819" s="33"/>
      <c r="O2819" s="33"/>
      <c r="P2819" s="33"/>
      <c r="Q2819" s="33"/>
      <c r="R2819" s="33"/>
      <c r="S2819" s="33"/>
      <c r="T2819" s="33"/>
      <c r="U2819" s="33"/>
      <c r="V2819" s="33"/>
      <c r="W2819" s="33"/>
      <c r="X2819" s="33"/>
      <c r="Y2819" s="33"/>
      <c r="Z2819" s="33"/>
      <c r="AA2819" s="33"/>
      <c r="AB2819" s="33"/>
    </row>
    <row r="2820" spans="1:28" x14ac:dyDescent="0.15">
      <c r="A2820" s="46" t="s">
        <v>5691</v>
      </c>
      <c r="B2820" s="52" t="s">
        <v>7361</v>
      </c>
      <c r="C2820" s="53" t="s">
        <v>5692</v>
      </c>
      <c r="D2820" s="54" t="s">
        <v>10259</v>
      </c>
      <c r="E2820" s="50">
        <f t="shared" si="95"/>
        <v>38.575342470000002</v>
      </c>
      <c r="F2820" s="51">
        <f t="shared" si="95"/>
        <v>4.6304459600000003</v>
      </c>
      <c r="H2820" s="33"/>
      <c r="I2820" s="33"/>
      <c r="J2820" s="33"/>
      <c r="K2820" s="33"/>
      <c r="L2820" s="33"/>
      <c r="M2820" s="33"/>
      <c r="N2820" s="33"/>
      <c r="O2820" s="33"/>
      <c r="P2820" s="33"/>
      <c r="Q2820" s="33"/>
      <c r="R2820" s="33"/>
      <c r="S2820" s="33"/>
      <c r="T2820" s="33"/>
      <c r="U2820" s="33"/>
      <c r="V2820" s="33"/>
      <c r="W2820" s="33"/>
      <c r="X2820" s="33"/>
      <c r="Y2820" s="33"/>
      <c r="Z2820" s="33"/>
      <c r="AA2820" s="33"/>
      <c r="AB2820" s="33"/>
    </row>
    <row r="2821" spans="1:28" x14ac:dyDescent="0.15">
      <c r="A2821" s="46" t="s">
        <v>5693</v>
      </c>
      <c r="B2821" s="52" t="s">
        <v>7361</v>
      </c>
      <c r="C2821" s="53" t="s">
        <v>5694</v>
      </c>
      <c r="D2821" s="54" t="s">
        <v>10260</v>
      </c>
      <c r="E2821" s="50">
        <f t="shared" ref="E2821:F2836" si="96">VALUE(C2821)</f>
        <v>38.589041100000003</v>
      </c>
      <c r="F2821" s="51">
        <f t="shared" si="96"/>
        <v>4.6304528700000001</v>
      </c>
      <c r="H2821" s="33"/>
      <c r="I2821" s="33"/>
      <c r="J2821" s="33"/>
      <c r="K2821" s="33"/>
      <c r="L2821" s="33"/>
      <c r="M2821" s="33"/>
      <c r="N2821" s="33"/>
      <c r="O2821" s="33"/>
      <c r="P2821" s="33"/>
      <c r="Q2821" s="33"/>
      <c r="R2821" s="33"/>
      <c r="S2821" s="33"/>
      <c r="T2821" s="33"/>
      <c r="U2821" s="33"/>
      <c r="V2821" s="33"/>
      <c r="W2821" s="33"/>
      <c r="X2821" s="33"/>
      <c r="Y2821" s="33"/>
      <c r="Z2821" s="33"/>
      <c r="AA2821" s="33"/>
      <c r="AB2821" s="33"/>
    </row>
    <row r="2822" spans="1:28" x14ac:dyDescent="0.15">
      <c r="A2822" s="46" t="s">
        <v>5695</v>
      </c>
      <c r="B2822" s="52" t="s">
        <v>7361</v>
      </c>
      <c r="C2822" s="53" t="s">
        <v>5696</v>
      </c>
      <c r="D2822" s="54" t="s">
        <v>10261</v>
      </c>
      <c r="E2822" s="50">
        <f t="shared" si="96"/>
        <v>38.602739730000003</v>
      </c>
      <c r="F2822" s="51">
        <f t="shared" si="96"/>
        <v>4.6304607500000001</v>
      </c>
      <c r="H2822" s="33"/>
      <c r="I2822" s="33"/>
      <c r="J2822" s="33"/>
      <c r="K2822" s="33"/>
      <c r="L2822" s="33"/>
      <c r="M2822" s="33"/>
      <c r="N2822" s="33"/>
      <c r="O2822" s="33"/>
      <c r="P2822" s="33"/>
      <c r="Q2822" s="33"/>
      <c r="R2822" s="33"/>
      <c r="S2822" s="33"/>
      <c r="T2822" s="33"/>
      <c r="U2822" s="33"/>
      <c r="V2822" s="33"/>
      <c r="W2822" s="33"/>
      <c r="X2822" s="33"/>
      <c r="Y2822" s="33"/>
      <c r="Z2822" s="33"/>
      <c r="AA2822" s="33"/>
      <c r="AB2822" s="33"/>
    </row>
    <row r="2823" spans="1:28" x14ac:dyDescent="0.15">
      <c r="A2823" s="46" t="s">
        <v>5697</v>
      </c>
      <c r="B2823" s="52" t="s">
        <v>7361</v>
      </c>
      <c r="C2823" s="53" t="s">
        <v>5698</v>
      </c>
      <c r="D2823" s="54" t="s">
        <v>10262</v>
      </c>
      <c r="E2823" s="50">
        <f t="shared" si="96"/>
        <v>38.616438359999997</v>
      </c>
      <c r="F2823" s="51">
        <f t="shared" si="96"/>
        <v>4.6304695300000001</v>
      </c>
      <c r="H2823" s="33"/>
      <c r="I2823" s="33"/>
      <c r="J2823" s="33"/>
      <c r="K2823" s="33"/>
      <c r="L2823" s="33"/>
      <c r="M2823" s="33"/>
      <c r="N2823" s="33"/>
      <c r="O2823" s="33"/>
      <c r="P2823" s="33"/>
      <c r="Q2823" s="33"/>
      <c r="R2823" s="33"/>
      <c r="S2823" s="33"/>
      <c r="T2823" s="33"/>
      <c r="U2823" s="33"/>
      <c r="V2823" s="33"/>
      <c r="W2823" s="33"/>
      <c r="X2823" s="33"/>
      <c r="Y2823" s="33"/>
      <c r="Z2823" s="33"/>
      <c r="AA2823" s="33"/>
      <c r="AB2823" s="33"/>
    </row>
    <row r="2824" spans="1:28" x14ac:dyDescent="0.15">
      <c r="A2824" s="46" t="s">
        <v>5699</v>
      </c>
      <c r="B2824" s="52" t="s">
        <v>7361</v>
      </c>
      <c r="C2824" s="53" t="s">
        <v>5700</v>
      </c>
      <c r="D2824" s="54" t="s">
        <v>10263</v>
      </c>
      <c r="E2824" s="50">
        <f t="shared" si="96"/>
        <v>38.630136989999997</v>
      </c>
      <c r="F2824" s="51">
        <f t="shared" si="96"/>
        <v>4.6304791600000001</v>
      </c>
      <c r="H2824" s="33"/>
      <c r="I2824" s="33"/>
      <c r="J2824" s="33"/>
      <c r="K2824" s="33"/>
      <c r="L2824" s="33"/>
      <c r="M2824" s="33"/>
      <c r="N2824" s="33"/>
      <c r="O2824" s="33"/>
      <c r="P2824" s="33"/>
      <c r="Q2824" s="33"/>
      <c r="R2824" s="33"/>
      <c r="S2824" s="33"/>
      <c r="T2824" s="33"/>
      <c r="U2824" s="33"/>
      <c r="V2824" s="33"/>
      <c r="W2824" s="33"/>
      <c r="X2824" s="33"/>
      <c r="Y2824" s="33"/>
      <c r="Z2824" s="33"/>
      <c r="AA2824" s="33"/>
      <c r="AB2824" s="33"/>
    </row>
    <row r="2825" spans="1:28" x14ac:dyDescent="0.15">
      <c r="A2825" s="46" t="s">
        <v>5701</v>
      </c>
      <c r="B2825" s="52" t="s">
        <v>7361</v>
      </c>
      <c r="C2825" s="53" t="s">
        <v>5702</v>
      </c>
      <c r="D2825" s="54" t="s">
        <v>10264</v>
      </c>
      <c r="E2825" s="50">
        <f t="shared" si="96"/>
        <v>38.643835619999997</v>
      </c>
      <c r="F2825" s="51">
        <f t="shared" si="96"/>
        <v>4.6304895999999998</v>
      </c>
      <c r="H2825" s="33"/>
      <c r="I2825" s="33"/>
      <c r="J2825" s="33"/>
      <c r="K2825" s="33"/>
      <c r="L2825" s="33"/>
      <c r="M2825" s="33"/>
      <c r="N2825" s="33"/>
      <c r="O2825" s="33"/>
      <c r="P2825" s="33"/>
      <c r="Q2825" s="33"/>
      <c r="R2825" s="33"/>
      <c r="S2825" s="33"/>
      <c r="T2825" s="33"/>
      <c r="U2825" s="33"/>
      <c r="V2825" s="33"/>
      <c r="W2825" s="33"/>
      <c r="X2825" s="33"/>
      <c r="Y2825" s="33"/>
      <c r="Z2825" s="33"/>
      <c r="AA2825" s="33"/>
      <c r="AB2825" s="33"/>
    </row>
    <row r="2826" spans="1:28" x14ac:dyDescent="0.15">
      <c r="A2826" s="46" t="s">
        <v>5703</v>
      </c>
      <c r="B2826" s="52" t="s">
        <v>7361</v>
      </c>
      <c r="C2826" s="53" t="s">
        <v>5704</v>
      </c>
      <c r="D2826" s="54" t="s">
        <v>10265</v>
      </c>
      <c r="E2826" s="50">
        <f t="shared" si="96"/>
        <v>38.657534249999998</v>
      </c>
      <c r="F2826" s="51">
        <f t="shared" si="96"/>
        <v>4.6305007800000002</v>
      </c>
      <c r="H2826" s="33"/>
      <c r="I2826" s="33"/>
      <c r="J2826" s="33"/>
      <c r="K2826" s="33"/>
      <c r="L2826" s="33"/>
      <c r="M2826" s="33"/>
      <c r="N2826" s="33"/>
      <c r="O2826" s="33"/>
      <c r="P2826" s="33"/>
      <c r="Q2826" s="33"/>
      <c r="R2826" s="33"/>
      <c r="S2826" s="33"/>
      <c r="T2826" s="33"/>
      <c r="U2826" s="33"/>
      <c r="V2826" s="33"/>
      <c r="W2826" s="33"/>
      <c r="X2826" s="33"/>
      <c r="Y2826" s="33"/>
      <c r="Z2826" s="33"/>
      <c r="AA2826" s="33"/>
      <c r="AB2826" s="33"/>
    </row>
    <row r="2827" spans="1:28" x14ac:dyDescent="0.15">
      <c r="A2827" s="46" t="s">
        <v>5705</v>
      </c>
      <c r="B2827" s="52" t="s">
        <v>7361</v>
      </c>
      <c r="C2827" s="53" t="s">
        <v>5706</v>
      </c>
      <c r="D2827" s="54" t="s">
        <v>10266</v>
      </c>
      <c r="E2827" s="50">
        <f t="shared" si="96"/>
        <v>38.671232879999998</v>
      </c>
      <c r="F2827" s="51">
        <f t="shared" si="96"/>
        <v>4.6305126599999999</v>
      </c>
      <c r="H2827" s="33"/>
      <c r="I2827" s="33"/>
      <c r="J2827" s="33"/>
      <c r="K2827" s="33"/>
      <c r="L2827" s="33"/>
      <c r="M2827" s="33"/>
      <c r="N2827" s="33"/>
      <c r="O2827" s="33"/>
      <c r="P2827" s="33"/>
      <c r="Q2827" s="33"/>
      <c r="R2827" s="33"/>
      <c r="S2827" s="33"/>
      <c r="T2827" s="33"/>
      <c r="U2827" s="33"/>
      <c r="V2827" s="33"/>
      <c r="W2827" s="33"/>
      <c r="X2827" s="33"/>
      <c r="Y2827" s="33"/>
      <c r="Z2827" s="33"/>
      <c r="AA2827" s="33"/>
      <c r="AB2827" s="33"/>
    </row>
    <row r="2828" spans="1:28" x14ac:dyDescent="0.15">
      <c r="A2828" s="46" t="s">
        <v>5707</v>
      </c>
      <c r="B2828" s="52" t="s">
        <v>7361</v>
      </c>
      <c r="C2828" s="53" t="s">
        <v>5708</v>
      </c>
      <c r="D2828" s="54" t="s">
        <v>10267</v>
      </c>
      <c r="E2828" s="50">
        <f t="shared" si="96"/>
        <v>38.684931509999998</v>
      </c>
      <c r="F2828" s="51">
        <f t="shared" si="96"/>
        <v>4.6305251700000003</v>
      </c>
      <c r="H2828" s="33"/>
      <c r="I2828" s="33"/>
      <c r="J2828" s="33"/>
      <c r="K2828" s="33"/>
      <c r="L2828" s="33"/>
      <c r="M2828" s="33"/>
      <c r="N2828" s="33"/>
      <c r="O2828" s="33"/>
      <c r="P2828" s="33"/>
      <c r="Q2828" s="33"/>
      <c r="R2828" s="33"/>
      <c r="S2828" s="33"/>
      <c r="T2828" s="33"/>
      <c r="U2828" s="33"/>
      <c r="V2828" s="33"/>
      <c r="W2828" s="33"/>
      <c r="X2828" s="33"/>
      <c r="Y2828" s="33"/>
      <c r="Z2828" s="33"/>
      <c r="AA2828" s="33"/>
      <c r="AB2828" s="33"/>
    </row>
    <row r="2829" spans="1:28" x14ac:dyDescent="0.15">
      <c r="A2829" s="46" t="s">
        <v>5709</v>
      </c>
      <c r="B2829" s="52" t="s">
        <v>7361</v>
      </c>
      <c r="C2829" s="53" t="s">
        <v>5710</v>
      </c>
      <c r="D2829" s="54" t="s">
        <v>10268</v>
      </c>
      <c r="E2829" s="50">
        <f t="shared" si="96"/>
        <v>38.698630139999999</v>
      </c>
      <c r="F2829" s="51">
        <f t="shared" si="96"/>
        <v>4.6305382699999997</v>
      </c>
      <c r="H2829" s="33"/>
      <c r="I2829" s="33"/>
      <c r="J2829" s="33"/>
      <c r="K2829" s="33"/>
      <c r="L2829" s="33"/>
      <c r="M2829" s="33"/>
      <c r="N2829" s="33"/>
      <c r="O2829" s="33"/>
      <c r="P2829" s="33"/>
      <c r="Q2829" s="33"/>
      <c r="R2829" s="33"/>
      <c r="S2829" s="33"/>
      <c r="T2829" s="33"/>
      <c r="U2829" s="33"/>
      <c r="V2829" s="33"/>
      <c r="W2829" s="33"/>
      <c r="X2829" s="33"/>
      <c r="Y2829" s="33"/>
      <c r="Z2829" s="33"/>
      <c r="AA2829" s="33"/>
      <c r="AB2829" s="33"/>
    </row>
    <row r="2830" spans="1:28" x14ac:dyDescent="0.15">
      <c r="A2830" s="46" t="s">
        <v>5711</v>
      </c>
      <c r="B2830" s="52" t="s">
        <v>7361</v>
      </c>
      <c r="C2830" s="53" t="s">
        <v>5712</v>
      </c>
      <c r="D2830" s="54" t="s">
        <v>10269</v>
      </c>
      <c r="E2830" s="50">
        <f t="shared" si="96"/>
        <v>38.712328769999999</v>
      </c>
      <c r="F2830" s="51">
        <f t="shared" si="96"/>
        <v>4.6305519000000004</v>
      </c>
      <c r="H2830" s="33"/>
      <c r="I2830" s="33"/>
      <c r="J2830" s="33"/>
      <c r="K2830" s="33"/>
      <c r="L2830" s="33"/>
      <c r="M2830" s="33"/>
      <c r="N2830" s="33"/>
      <c r="O2830" s="33"/>
      <c r="P2830" s="33"/>
      <c r="Q2830" s="33"/>
      <c r="R2830" s="33"/>
      <c r="S2830" s="33"/>
      <c r="T2830" s="33"/>
      <c r="U2830" s="33"/>
      <c r="V2830" s="33"/>
      <c r="W2830" s="33"/>
      <c r="X2830" s="33"/>
      <c r="Y2830" s="33"/>
      <c r="Z2830" s="33"/>
      <c r="AA2830" s="33"/>
      <c r="AB2830" s="33"/>
    </row>
    <row r="2831" spans="1:28" x14ac:dyDescent="0.15">
      <c r="A2831" s="46" t="s">
        <v>5713</v>
      </c>
      <c r="B2831" s="52" t="s">
        <v>7361</v>
      </c>
      <c r="C2831" s="53" t="s">
        <v>5714</v>
      </c>
      <c r="D2831" s="54" t="s">
        <v>10270</v>
      </c>
      <c r="E2831" s="50">
        <f t="shared" si="96"/>
        <v>38.7260274</v>
      </c>
      <c r="F2831" s="51">
        <f t="shared" si="96"/>
        <v>4.6305660099999999</v>
      </c>
      <c r="H2831" s="33"/>
      <c r="I2831" s="33"/>
      <c r="J2831" s="33"/>
      <c r="K2831" s="33"/>
      <c r="L2831" s="33"/>
      <c r="M2831" s="33"/>
      <c r="N2831" s="33"/>
      <c r="O2831" s="33"/>
      <c r="P2831" s="33"/>
      <c r="Q2831" s="33"/>
      <c r="R2831" s="33"/>
      <c r="S2831" s="33"/>
      <c r="T2831" s="33"/>
      <c r="U2831" s="33"/>
      <c r="V2831" s="33"/>
      <c r="W2831" s="33"/>
      <c r="X2831" s="33"/>
      <c r="Y2831" s="33"/>
      <c r="Z2831" s="33"/>
      <c r="AA2831" s="33"/>
      <c r="AB2831" s="33"/>
    </row>
    <row r="2832" spans="1:28" x14ac:dyDescent="0.15">
      <c r="A2832" s="46" t="s">
        <v>5715</v>
      </c>
      <c r="B2832" s="52" t="s">
        <v>7361</v>
      </c>
      <c r="C2832" s="53" t="s">
        <v>5716</v>
      </c>
      <c r="D2832" s="54" t="s">
        <v>10271</v>
      </c>
      <c r="E2832" s="50">
        <f t="shared" si="96"/>
        <v>38.73972603</v>
      </c>
      <c r="F2832" s="51">
        <f t="shared" si="96"/>
        <v>4.6305805400000004</v>
      </c>
      <c r="H2832" s="33"/>
      <c r="I2832" s="33"/>
      <c r="J2832" s="33"/>
      <c r="K2832" s="33"/>
      <c r="L2832" s="33"/>
      <c r="M2832" s="33"/>
      <c r="N2832" s="33"/>
      <c r="O2832" s="33"/>
      <c r="P2832" s="33"/>
      <c r="Q2832" s="33"/>
      <c r="R2832" s="33"/>
      <c r="S2832" s="33"/>
      <c r="T2832" s="33"/>
      <c r="U2832" s="33"/>
      <c r="V2832" s="33"/>
      <c r="W2832" s="33"/>
      <c r="X2832" s="33"/>
      <c r="Y2832" s="33"/>
      <c r="Z2832" s="33"/>
      <c r="AA2832" s="33"/>
      <c r="AB2832" s="33"/>
    </row>
    <row r="2833" spans="1:28" x14ac:dyDescent="0.15">
      <c r="A2833" s="46" t="s">
        <v>5717</v>
      </c>
      <c r="B2833" s="52" t="s">
        <v>7361</v>
      </c>
      <c r="C2833" s="53" t="s">
        <v>5718</v>
      </c>
      <c r="D2833" s="54" t="s">
        <v>10272</v>
      </c>
      <c r="E2833" s="50">
        <f t="shared" si="96"/>
        <v>38.75342466</v>
      </c>
      <c r="F2833" s="51">
        <f t="shared" si="96"/>
        <v>4.6305954399999996</v>
      </c>
      <c r="H2833" s="33"/>
      <c r="I2833" s="33"/>
      <c r="J2833" s="33"/>
      <c r="K2833" s="33"/>
      <c r="L2833" s="33"/>
      <c r="M2833" s="33"/>
      <c r="N2833" s="33"/>
      <c r="O2833" s="33"/>
      <c r="P2833" s="33"/>
      <c r="Q2833" s="33"/>
      <c r="R2833" s="33"/>
      <c r="S2833" s="33"/>
      <c r="T2833" s="33"/>
      <c r="U2833" s="33"/>
      <c r="V2833" s="33"/>
      <c r="W2833" s="33"/>
      <c r="X2833" s="33"/>
      <c r="Y2833" s="33"/>
      <c r="Z2833" s="33"/>
      <c r="AA2833" s="33"/>
      <c r="AB2833" s="33"/>
    </row>
    <row r="2834" spans="1:28" x14ac:dyDescent="0.15">
      <c r="A2834" s="46" t="s">
        <v>5719</v>
      </c>
      <c r="B2834" s="52" t="s">
        <v>7361</v>
      </c>
      <c r="C2834" s="53" t="s">
        <v>5720</v>
      </c>
      <c r="D2834" s="54" t="s">
        <v>10273</v>
      </c>
      <c r="E2834" s="50">
        <f t="shared" si="96"/>
        <v>38.767123290000001</v>
      </c>
      <c r="F2834" s="51">
        <f t="shared" si="96"/>
        <v>4.6306106600000003</v>
      </c>
      <c r="H2834" s="33"/>
      <c r="I2834" s="33"/>
      <c r="J2834" s="33"/>
      <c r="K2834" s="33"/>
      <c r="L2834" s="33"/>
      <c r="M2834" s="33"/>
      <c r="N2834" s="33"/>
      <c r="O2834" s="33"/>
      <c r="P2834" s="33"/>
      <c r="Q2834" s="33"/>
      <c r="R2834" s="33"/>
      <c r="S2834" s="33"/>
      <c r="T2834" s="33"/>
      <c r="U2834" s="33"/>
      <c r="V2834" s="33"/>
      <c r="W2834" s="33"/>
      <c r="X2834" s="33"/>
      <c r="Y2834" s="33"/>
      <c r="Z2834" s="33"/>
      <c r="AA2834" s="33"/>
      <c r="AB2834" s="33"/>
    </row>
    <row r="2835" spans="1:28" x14ac:dyDescent="0.15">
      <c r="A2835" s="46" t="s">
        <v>5721</v>
      </c>
      <c r="B2835" s="52" t="s">
        <v>7361</v>
      </c>
      <c r="C2835" s="53" t="s">
        <v>5722</v>
      </c>
      <c r="D2835" s="54" t="s">
        <v>10274</v>
      </c>
      <c r="E2835" s="50">
        <f t="shared" si="96"/>
        <v>38.780821920000001</v>
      </c>
      <c r="F2835" s="51">
        <f t="shared" si="96"/>
        <v>4.6306261299999996</v>
      </c>
      <c r="H2835" s="33"/>
      <c r="I2835" s="33"/>
      <c r="J2835" s="33"/>
      <c r="K2835" s="33"/>
      <c r="L2835" s="33"/>
      <c r="M2835" s="33"/>
      <c r="N2835" s="33"/>
      <c r="O2835" s="33"/>
      <c r="P2835" s="33"/>
      <c r="Q2835" s="33"/>
      <c r="R2835" s="33"/>
      <c r="S2835" s="33"/>
      <c r="T2835" s="33"/>
      <c r="U2835" s="33"/>
      <c r="V2835" s="33"/>
      <c r="W2835" s="33"/>
      <c r="X2835" s="33"/>
      <c r="Y2835" s="33"/>
      <c r="Z2835" s="33"/>
      <c r="AA2835" s="33"/>
      <c r="AB2835" s="33"/>
    </row>
    <row r="2836" spans="1:28" x14ac:dyDescent="0.15">
      <c r="A2836" s="46" t="s">
        <v>5723</v>
      </c>
      <c r="B2836" s="52" t="s">
        <v>7361</v>
      </c>
      <c r="C2836" s="53" t="s">
        <v>5724</v>
      </c>
      <c r="D2836" s="54" t="s">
        <v>10275</v>
      </c>
      <c r="E2836" s="50">
        <f t="shared" si="96"/>
        <v>38.794520550000001</v>
      </c>
      <c r="F2836" s="51">
        <f t="shared" si="96"/>
        <v>4.6306418200000001</v>
      </c>
      <c r="H2836" s="33"/>
      <c r="I2836" s="33"/>
      <c r="J2836" s="33"/>
      <c r="K2836" s="33"/>
      <c r="L2836" s="33"/>
      <c r="M2836" s="33"/>
      <c r="N2836" s="33"/>
      <c r="O2836" s="33"/>
      <c r="P2836" s="33"/>
      <c r="Q2836" s="33"/>
      <c r="R2836" s="33"/>
      <c r="S2836" s="33"/>
      <c r="T2836" s="33"/>
      <c r="U2836" s="33"/>
      <c r="V2836" s="33"/>
      <c r="W2836" s="33"/>
      <c r="X2836" s="33"/>
      <c r="Y2836" s="33"/>
      <c r="Z2836" s="33"/>
      <c r="AA2836" s="33"/>
      <c r="AB2836" s="33"/>
    </row>
    <row r="2837" spans="1:28" x14ac:dyDescent="0.15">
      <c r="A2837" s="46" t="s">
        <v>5725</v>
      </c>
      <c r="B2837" s="52" t="s">
        <v>7361</v>
      </c>
      <c r="C2837" s="53" t="s">
        <v>5726</v>
      </c>
      <c r="D2837" s="54" t="s">
        <v>10276</v>
      </c>
      <c r="E2837" s="50">
        <f t="shared" ref="E2837:F2867" si="97">VALUE(C2837)</f>
        <v>38.808219180000002</v>
      </c>
      <c r="F2837" s="51">
        <f t="shared" si="97"/>
        <v>4.6306576499999998</v>
      </c>
      <c r="H2837" s="33"/>
      <c r="I2837" s="33"/>
      <c r="J2837" s="33"/>
      <c r="K2837" s="33"/>
      <c r="L2837" s="33"/>
      <c r="M2837" s="33"/>
      <c r="N2837" s="33"/>
      <c r="O2837" s="33"/>
      <c r="P2837" s="33"/>
      <c r="Q2837" s="33"/>
      <c r="R2837" s="33"/>
      <c r="S2837" s="33"/>
      <c r="T2837" s="33"/>
      <c r="U2837" s="33"/>
      <c r="V2837" s="33"/>
      <c r="W2837" s="33"/>
      <c r="X2837" s="33"/>
      <c r="Y2837" s="33"/>
      <c r="Z2837" s="33"/>
      <c r="AA2837" s="33"/>
      <c r="AB2837" s="33"/>
    </row>
    <row r="2838" spans="1:28" x14ac:dyDescent="0.15">
      <c r="A2838" s="46" t="s">
        <v>5727</v>
      </c>
      <c r="B2838" s="52" t="s">
        <v>7361</v>
      </c>
      <c r="C2838" s="53" t="s">
        <v>5728</v>
      </c>
      <c r="D2838" s="54" t="s">
        <v>10277</v>
      </c>
      <c r="E2838" s="50">
        <f t="shared" si="97"/>
        <v>38.821917810000002</v>
      </c>
      <c r="F2838" s="51">
        <f t="shared" si="97"/>
        <v>4.6306735899999998</v>
      </c>
      <c r="H2838" s="33"/>
      <c r="I2838" s="33"/>
      <c r="J2838" s="33"/>
      <c r="K2838" s="33"/>
      <c r="L2838" s="33"/>
      <c r="M2838" s="33"/>
      <c r="N2838" s="33"/>
      <c r="O2838" s="33"/>
      <c r="P2838" s="33"/>
      <c r="Q2838" s="33"/>
      <c r="R2838" s="33"/>
      <c r="S2838" s="33"/>
      <c r="T2838" s="33"/>
      <c r="U2838" s="33"/>
      <c r="V2838" s="33"/>
      <c r="W2838" s="33"/>
      <c r="X2838" s="33"/>
      <c r="Y2838" s="33"/>
      <c r="Z2838" s="33"/>
      <c r="AA2838" s="33"/>
      <c r="AB2838" s="33"/>
    </row>
    <row r="2839" spans="1:28" x14ac:dyDescent="0.15">
      <c r="A2839" s="46" t="s">
        <v>5729</v>
      </c>
      <c r="B2839" s="52" t="s">
        <v>7361</v>
      </c>
      <c r="C2839" s="53" t="s">
        <v>5730</v>
      </c>
      <c r="D2839" s="54" t="s">
        <v>10278</v>
      </c>
      <c r="E2839" s="50">
        <f t="shared" si="97"/>
        <v>38.835616440000003</v>
      </c>
      <c r="F2839" s="51">
        <f t="shared" si="97"/>
        <v>4.6306895700000004</v>
      </c>
      <c r="H2839" s="33"/>
      <c r="I2839" s="33"/>
      <c r="J2839" s="33"/>
      <c r="K2839" s="33"/>
      <c r="L2839" s="33"/>
      <c r="M2839" s="33"/>
      <c r="N2839" s="33"/>
      <c r="O2839" s="33"/>
      <c r="P2839" s="33"/>
      <c r="Q2839" s="33"/>
      <c r="R2839" s="33"/>
      <c r="S2839" s="33"/>
      <c r="T2839" s="33"/>
      <c r="U2839" s="33"/>
      <c r="V2839" s="33"/>
      <c r="W2839" s="33"/>
      <c r="X2839" s="33"/>
      <c r="Y2839" s="33"/>
      <c r="Z2839" s="33"/>
      <c r="AA2839" s="33"/>
      <c r="AB2839" s="33"/>
    </row>
    <row r="2840" spans="1:28" x14ac:dyDescent="0.15">
      <c r="A2840" s="46" t="s">
        <v>5731</v>
      </c>
      <c r="B2840" s="52" t="s">
        <v>7361</v>
      </c>
      <c r="C2840" s="53" t="s">
        <v>5732</v>
      </c>
      <c r="D2840" s="54" t="s">
        <v>10279</v>
      </c>
      <c r="E2840" s="50">
        <f t="shared" si="97"/>
        <v>38.849315070000003</v>
      </c>
      <c r="F2840" s="51">
        <f t="shared" si="97"/>
        <v>4.6307055400000001</v>
      </c>
      <c r="H2840" s="33"/>
      <c r="I2840" s="33"/>
      <c r="J2840" s="33"/>
      <c r="K2840" s="33"/>
      <c r="L2840" s="33"/>
      <c r="M2840" s="33"/>
      <c r="N2840" s="33"/>
      <c r="O2840" s="33"/>
      <c r="P2840" s="33"/>
      <c r="Q2840" s="33"/>
      <c r="R2840" s="33"/>
      <c r="S2840" s="33"/>
      <c r="T2840" s="33"/>
      <c r="U2840" s="33"/>
      <c r="V2840" s="33"/>
      <c r="W2840" s="33"/>
      <c r="X2840" s="33"/>
      <c r="Y2840" s="33"/>
      <c r="Z2840" s="33"/>
      <c r="AA2840" s="33"/>
      <c r="AB2840" s="33"/>
    </row>
    <row r="2841" spans="1:28" x14ac:dyDescent="0.15">
      <c r="A2841" s="46" t="s">
        <v>5733</v>
      </c>
      <c r="B2841" s="52" t="s">
        <v>7361</v>
      </c>
      <c r="C2841" s="53" t="s">
        <v>5734</v>
      </c>
      <c r="D2841" s="54" t="s">
        <v>10280</v>
      </c>
      <c r="E2841" s="50">
        <f t="shared" si="97"/>
        <v>38.863013700000003</v>
      </c>
      <c r="F2841" s="51">
        <f t="shared" si="97"/>
        <v>4.6307214500000002</v>
      </c>
      <c r="H2841" s="33"/>
      <c r="I2841" s="33"/>
      <c r="J2841" s="33"/>
      <c r="K2841" s="33"/>
      <c r="L2841" s="33"/>
      <c r="M2841" s="33"/>
      <c r="N2841" s="33"/>
      <c r="O2841" s="33"/>
      <c r="P2841" s="33"/>
      <c r="Q2841" s="33"/>
      <c r="R2841" s="33"/>
      <c r="S2841" s="33"/>
      <c r="T2841" s="33"/>
      <c r="U2841" s="33"/>
      <c r="V2841" s="33"/>
      <c r="W2841" s="33"/>
      <c r="X2841" s="33"/>
      <c r="Y2841" s="33"/>
      <c r="Z2841" s="33"/>
      <c r="AA2841" s="33"/>
      <c r="AB2841" s="33"/>
    </row>
    <row r="2842" spans="1:28" x14ac:dyDescent="0.15">
      <c r="A2842" s="46" t="s">
        <v>5735</v>
      </c>
      <c r="B2842" s="52" t="s">
        <v>7361</v>
      </c>
      <c r="C2842" s="53" t="s">
        <v>5736</v>
      </c>
      <c r="D2842" s="54" t="s">
        <v>10281</v>
      </c>
      <c r="E2842" s="50">
        <f t="shared" si="97"/>
        <v>38.876712329999997</v>
      </c>
      <c r="F2842" s="51">
        <f t="shared" si="97"/>
        <v>4.6307372400000002</v>
      </c>
      <c r="H2842" s="33"/>
      <c r="I2842" s="33"/>
      <c r="J2842" s="33"/>
      <c r="K2842" s="33"/>
      <c r="L2842" s="33"/>
      <c r="M2842" s="33"/>
      <c r="N2842" s="33"/>
      <c r="O2842" s="33"/>
      <c r="P2842" s="33"/>
      <c r="Q2842" s="33"/>
      <c r="R2842" s="33"/>
      <c r="S2842" s="33"/>
      <c r="T2842" s="33"/>
      <c r="U2842" s="33"/>
      <c r="V2842" s="33"/>
      <c r="W2842" s="33"/>
      <c r="X2842" s="33"/>
      <c r="Y2842" s="33"/>
      <c r="Z2842" s="33"/>
      <c r="AA2842" s="33"/>
      <c r="AB2842" s="33"/>
    </row>
    <row r="2843" spans="1:28" x14ac:dyDescent="0.15">
      <c r="A2843" s="46" t="s">
        <v>5737</v>
      </c>
      <c r="B2843" s="52" t="s">
        <v>7361</v>
      </c>
      <c r="C2843" s="53" t="s">
        <v>5738</v>
      </c>
      <c r="D2843" s="54" t="s">
        <v>10282</v>
      </c>
      <c r="E2843" s="50">
        <f t="shared" si="97"/>
        <v>38.890410959999997</v>
      </c>
      <c r="F2843" s="51">
        <f t="shared" si="97"/>
        <v>4.6307528600000003</v>
      </c>
      <c r="H2843" s="33"/>
      <c r="I2843" s="33"/>
      <c r="J2843" s="33"/>
      <c r="K2843" s="33"/>
      <c r="L2843" s="33"/>
      <c r="M2843" s="33"/>
      <c r="N2843" s="33"/>
      <c r="O2843" s="33"/>
      <c r="P2843" s="33"/>
      <c r="Q2843" s="33"/>
      <c r="R2843" s="33"/>
      <c r="S2843" s="33"/>
      <c r="T2843" s="33"/>
      <c r="U2843" s="33"/>
      <c r="V2843" s="33"/>
      <c r="W2843" s="33"/>
      <c r="X2843" s="33"/>
      <c r="Y2843" s="33"/>
      <c r="Z2843" s="33"/>
      <c r="AA2843" s="33"/>
      <c r="AB2843" s="33"/>
    </row>
    <row r="2844" spans="1:28" x14ac:dyDescent="0.15">
      <c r="A2844" s="46" t="s">
        <v>5739</v>
      </c>
      <c r="B2844" s="52" t="s">
        <v>7361</v>
      </c>
      <c r="C2844" s="53" t="s">
        <v>5740</v>
      </c>
      <c r="D2844" s="54" t="s">
        <v>10283</v>
      </c>
      <c r="E2844" s="50">
        <f t="shared" si="97"/>
        <v>38.904109589999997</v>
      </c>
      <c r="F2844" s="51">
        <f t="shared" si="97"/>
        <v>4.63076825</v>
      </c>
      <c r="H2844" s="33"/>
      <c r="I2844" s="33"/>
      <c r="J2844" s="33"/>
      <c r="K2844" s="33"/>
      <c r="L2844" s="33"/>
      <c r="M2844" s="33"/>
      <c r="N2844" s="33"/>
      <c r="O2844" s="33"/>
      <c r="P2844" s="33"/>
      <c r="Q2844" s="33"/>
      <c r="R2844" s="33"/>
      <c r="S2844" s="33"/>
      <c r="T2844" s="33"/>
      <c r="U2844" s="33"/>
      <c r="V2844" s="33"/>
      <c r="W2844" s="33"/>
      <c r="X2844" s="33"/>
      <c r="Y2844" s="33"/>
      <c r="Z2844" s="33"/>
      <c r="AA2844" s="33"/>
      <c r="AB2844" s="33"/>
    </row>
    <row r="2845" spans="1:28" x14ac:dyDescent="0.15">
      <c r="A2845" s="46" t="s">
        <v>5741</v>
      </c>
      <c r="B2845" s="52" t="s">
        <v>7361</v>
      </c>
      <c r="C2845" s="53" t="s">
        <v>5742</v>
      </c>
      <c r="D2845" s="54" t="s">
        <v>10284</v>
      </c>
      <c r="E2845" s="50">
        <f t="shared" si="97"/>
        <v>38.917808219999998</v>
      </c>
      <c r="F2845" s="51">
        <f t="shared" si="97"/>
        <v>4.6307833699999996</v>
      </c>
      <c r="H2845" s="33"/>
      <c r="I2845" s="33"/>
      <c r="J2845" s="33"/>
      <c r="K2845" s="33"/>
      <c r="L2845" s="33"/>
      <c r="M2845" s="33"/>
      <c r="N2845" s="33"/>
      <c r="O2845" s="33"/>
      <c r="P2845" s="33"/>
      <c r="Q2845" s="33"/>
      <c r="R2845" s="33"/>
      <c r="S2845" s="33"/>
      <c r="T2845" s="33"/>
      <c r="U2845" s="33"/>
      <c r="V2845" s="33"/>
      <c r="W2845" s="33"/>
      <c r="X2845" s="33"/>
      <c r="Y2845" s="33"/>
      <c r="Z2845" s="33"/>
      <c r="AA2845" s="33"/>
      <c r="AB2845" s="33"/>
    </row>
    <row r="2846" spans="1:28" x14ac:dyDescent="0.15">
      <c r="A2846" s="46" t="s">
        <v>5743</v>
      </c>
      <c r="B2846" s="52" t="s">
        <v>7361</v>
      </c>
      <c r="C2846" s="53" t="s">
        <v>5744</v>
      </c>
      <c r="D2846" s="54" t="s">
        <v>10285</v>
      </c>
      <c r="E2846" s="50">
        <f t="shared" si="97"/>
        <v>38.931506849999998</v>
      </c>
      <c r="F2846" s="51">
        <f t="shared" si="97"/>
        <v>4.6307981500000004</v>
      </c>
      <c r="H2846" s="33"/>
      <c r="I2846" s="33"/>
      <c r="J2846" s="33"/>
      <c r="K2846" s="33"/>
      <c r="L2846" s="33"/>
      <c r="M2846" s="33"/>
      <c r="N2846" s="33"/>
      <c r="O2846" s="33"/>
      <c r="P2846" s="33"/>
      <c r="Q2846" s="33"/>
      <c r="R2846" s="33"/>
      <c r="S2846" s="33"/>
      <c r="T2846" s="33"/>
      <c r="U2846" s="33"/>
      <c r="V2846" s="33"/>
      <c r="W2846" s="33"/>
      <c r="X2846" s="33"/>
      <c r="Y2846" s="33"/>
      <c r="Z2846" s="33"/>
      <c r="AA2846" s="33"/>
      <c r="AB2846" s="33"/>
    </row>
    <row r="2847" spans="1:28" x14ac:dyDescent="0.15">
      <c r="A2847" s="46" t="s">
        <v>5745</v>
      </c>
      <c r="B2847" s="52" t="s">
        <v>7361</v>
      </c>
      <c r="C2847" s="53" t="s">
        <v>5746</v>
      </c>
      <c r="D2847" s="54" t="s">
        <v>10286</v>
      </c>
      <c r="E2847" s="50">
        <f t="shared" si="97"/>
        <v>38.945205479999998</v>
      </c>
      <c r="F2847" s="51">
        <f t="shared" si="97"/>
        <v>4.6308125499999999</v>
      </c>
      <c r="H2847" s="33"/>
      <c r="I2847" s="33"/>
      <c r="J2847" s="33"/>
      <c r="K2847" s="33"/>
      <c r="L2847" s="33"/>
      <c r="M2847" s="33"/>
      <c r="N2847" s="33"/>
      <c r="O2847" s="33"/>
      <c r="P2847" s="33"/>
      <c r="Q2847" s="33"/>
      <c r="R2847" s="33"/>
      <c r="S2847" s="33"/>
      <c r="T2847" s="33"/>
      <c r="U2847" s="33"/>
      <c r="V2847" s="33"/>
      <c r="W2847" s="33"/>
      <c r="X2847" s="33"/>
      <c r="Y2847" s="33"/>
      <c r="Z2847" s="33"/>
      <c r="AA2847" s="33"/>
      <c r="AB2847" s="33"/>
    </row>
    <row r="2848" spans="1:28" x14ac:dyDescent="0.15">
      <c r="A2848" s="46" t="s">
        <v>5747</v>
      </c>
      <c r="B2848" s="52" t="s">
        <v>7361</v>
      </c>
      <c r="C2848" s="53" t="s">
        <v>5748</v>
      </c>
      <c r="D2848" s="54" t="s">
        <v>10287</v>
      </c>
      <c r="E2848" s="50">
        <f t="shared" si="97"/>
        <v>38.958904109999999</v>
      </c>
      <c r="F2848" s="51">
        <f t="shared" si="97"/>
        <v>4.6308265000000004</v>
      </c>
      <c r="H2848" s="33"/>
      <c r="I2848" s="33"/>
      <c r="J2848" s="33"/>
      <c r="K2848" s="33"/>
      <c r="L2848" s="33"/>
      <c r="M2848" s="33"/>
      <c r="N2848" s="33"/>
      <c r="O2848" s="33"/>
      <c r="P2848" s="33"/>
      <c r="Q2848" s="33"/>
      <c r="R2848" s="33"/>
      <c r="S2848" s="33"/>
      <c r="T2848" s="33"/>
      <c r="U2848" s="33"/>
      <c r="V2848" s="33"/>
      <c r="W2848" s="33"/>
      <c r="X2848" s="33"/>
      <c r="Y2848" s="33"/>
      <c r="Z2848" s="33"/>
      <c r="AA2848" s="33"/>
      <c r="AB2848" s="33"/>
    </row>
    <row r="2849" spans="1:28" x14ac:dyDescent="0.15">
      <c r="A2849" s="46" t="s">
        <v>5749</v>
      </c>
      <c r="B2849" s="52" t="s">
        <v>7361</v>
      </c>
      <c r="C2849" s="53" t="s">
        <v>5750</v>
      </c>
      <c r="D2849" s="54" t="s">
        <v>10288</v>
      </c>
      <c r="E2849" s="50">
        <f t="shared" si="97"/>
        <v>38.972602739999999</v>
      </c>
      <c r="F2849" s="51">
        <f t="shared" si="97"/>
        <v>4.6308399600000003</v>
      </c>
      <c r="H2849" s="33"/>
      <c r="I2849" s="33"/>
      <c r="J2849" s="33"/>
      <c r="K2849" s="33"/>
      <c r="L2849" s="33"/>
      <c r="M2849" s="33"/>
      <c r="N2849" s="33"/>
      <c r="O2849" s="33"/>
      <c r="P2849" s="33"/>
      <c r="Q2849" s="33"/>
      <c r="R2849" s="33"/>
      <c r="S2849" s="33"/>
      <c r="T2849" s="33"/>
      <c r="U2849" s="33"/>
      <c r="V2849" s="33"/>
      <c r="W2849" s="33"/>
      <c r="X2849" s="33"/>
      <c r="Y2849" s="33"/>
      <c r="Z2849" s="33"/>
      <c r="AA2849" s="33"/>
      <c r="AB2849" s="33"/>
    </row>
    <row r="2850" spans="1:28" x14ac:dyDescent="0.15">
      <c r="A2850" s="46" t="s">
        <v>5751</v>
      </c>
      <c r="B2850" s="52" t="s">
        <v>7361</v>
      </c>
      <c r="C2850" s="53" t="s">
        <v>5752</v>
      </c>
      <c r="D2850" s="54" t="s">
        <v>10289</v>
      </c>
      <c r="E2850" s="50">
        <f t="shared" si="97"/>
        <v>38.98630137</v>
      </c>
      <c r="F2850" s="51">
        <f t="shared" si="97"/>
        <v>4.63085287</v>
      </c>
      <c r="H2850" s="33"/>
      <c r="I2850" s="33"/>
      <c r="J2850" s="33"/>
      <c r="K2850" s="33"/>
      <c r="L2850" s="33"/>
      <c r="M2850" s="33"/>
      <c r="N2850" s="33"/>
      <c r="O2850" s="33"/>
      <c r="P2850" s="33"/>
      <c r="Q2850" s="33"/>
      <c r="R2850" s="33"/>
      <c r="S2850" s="33"/>
      <c r="T2850" s="33"/>
      <c r="U2850" s="33"/>
      <c r="V2850" s="33"/>
      <c r="W2850" s="33"/>
      <c r="X2850" s="33"/>
      <c r="Y2850" s="33"/>
      <c r="Z2850" s="33"/>
      <c r="AA2850" s="33"/>
      <c r="AB2850" s="33"/>
    </row>
    <row r="2851" spans="1:28" x14ac:dyDescent="0.15">
      <c r="A2851" s="46" t="s">
        <v>5753</v>
      </c>
      <c r="B2851" s="52" t="s">
        <v>7361</v>
      </c>
      <c r="C2851" s="53" t="s">
        <v>5754</v>
      </c>
      <c r="D2851" s="54" t="s">
        <v>10290</v>
      </c>
      <c r="E2851" s="50">
        <f t="shared" si="97"/>
        <v>39</v>
      </c>
      <c r="F2851" s="51">
        <f t="shared" si="97"/>
        <v>4.6308651799999998</v>
      </c>
      <c r="H2851" s="33"/>
      <c r="I2851" s="33"/>
      <c r="J2851" s="33"/>
      <c r="K2851" s="33"/>
      <c r="L2851" s="33"/>
      <c r="M2851" s="33"/>
      <c r="N2851" s="33"/>
      <c r="O2851" s="33"/>
      <c r="P2851" s="33"/>
      <c r="Q2851" s="33"/>
      <c r="R2851" s="33"/>
      <c r="S2851" s="33"/>
      <c r="T2851" s="33"/>
      <c r="U2851" s="33"/>
      <c r="V2851" s="33"/>
      <c r="W2851" s="33"/>
      <c r="X2851" s="33"/>
      <c r="Y2851" s="33"/>
      <c r="Z2851" s="33"/>
      <c r="AA2851" s="33"/>
      <c r="AB2851" s="33"/>
    </row>
    <row r="2852" spans="1:28" x14ac:dyDescent="0.15">
      <c r="A2852" s="46" t="s">
        <v>5755</v>
      </c>
      <c r="B2852" s="52" t="s">
        <v>7361</v>
      </c>
      <c r="C2852" s="53" t="s">
        <v>5756</v>
      </c>
      <c r="D2852" s="54" t="s">
        <v>10291</v>
      </c>
      <c r="E2852" s="50">
        <f t="shared" si="97"/>
        <v>39.01369863</v>
      </c>
      <c r="F2852" s="51">
        <f t="shared" si="97"/>
        <v>4.6308780499999997</v>
      </c>
      <c r="H2852" s="33"/>
      <c r="I2852" s="33"/>
      <c r="J2852" s="33"/>
      <c r="K2852" s="33"/>
      <c r="L2852" s="33"/>
      <c r="M2852" s="33"/>
      <c r="N2852" s="33"/>
      <c r="O2852" s="33"/>
      <c r="P2852" s="33"/>
      <c r="Q2852" s="33"/>
      <c r="R2852" s="33"/>
      <c r="S2852" s="33"/>
      <c r="T2852" s="33"/>
      <c r="U2852" s="33"/>
      <c r="V2852" s="33"/>
      <c r="W2852" s="33"/>
      <c r="X2852" s="33"/>
      <c r="Y2852" s="33"/>
      <c r="Z2852" s="33"/>
      <c r="AA2852" s="33"/>
      <c r="AB2852" s="33"/>
    </row>
    <row r="2853" spans="1:28" x14ac:dyDescent="0.15">
      <c r="A2853" s="46" t="s">
        <v>5757</v>
      </c>
      <c r="B2853" s="52" t="s">
        <v>7361</v>
      </c>
      <c r="C2853" s="53" t="s">
        <v>5758</v>
      </c>
      <c r="D2853" s="54" t="s">
        <v>10292</v>
      </c>
      <c r="E2853" s="50">
        <f t="shared" si="97"/>
        <v>39.027397260000001</v>
      </c>
      <c r="F2853" s="51">
        <f t="shared" si="97"/>
        <v>4.63089263</v>
      </c>
      <c r="H2853" s="33"/>
      <c r="I2853" s="33"/>
      <c r="J2853" s="33"/>
      <c r="K2853" s="33"/>
      <c r="L2853" s="33"/>
      <c r="M2853" s="33"/>
      <c r="N2853" s="33"/>
      <c r="O2853" s="33"/>
      <c r="P2853" s="33"/>
      <c r="Q2853" s="33"/>
      <c r="R2853" s="33"/>
      <c r="S2853" s="33"/>
      <c r="T2853" s="33"/>
      <c r="U2853" s="33"/>
      <c r="V2853" s="33"/>
      <c r="W2853" s="33"/>
      <c r="X2853" s="33"/>
      <c r="Y2853" s="33"/>
      <c r="Z2853" s="33"/>
      <c r="AA2853" s="33"/>
      <c r="AB2853" s="33"/>
    </row>
    <row r="2854" spans="1:28" x14ac:dyDescent="0.15">
      <c r="A2854" s="46" t="s">
        <v>5759</v>
      </c>
      <c r="B2854" s="52" t="s">
        <v>7361</v>
      </c>
      <c r="C2854" s="53" t="s">
        <v>5760</v>
      </c>
      <c r="D2854" s="54" t="s">
        <v>10293</v>
      </c>
      <c r="E2854" s="50">
        <f t="shared" si="97"/>
        <v>39.041095890000001</v>
      </c>
      <c r="F2854" s="51">
        <f t="shared" si="97"/>
        <v>4.63090885</v>
      </c>
      <c r="H2854" s="33"/>
      <c r="I2854" s="33"/>
      <c r="J2854" s="33"/>
      <c r="K2854" s="33"/>
      <c r="L2854" s="33"/>
      <c r="M2854" s="33"/>
      <c r="N2854" s="33"/>
      <c r="O2854" s="33"/>
      <c r="P2854" s="33"/>
      <c r="Q2854" s="33"/>
      <c r="R2854" s="33"/>
      <c r="S2854" s="33"/>
      <c r="T2854" s="33"/>
      <c r="U2854" s="33"/>
      <c r="V2854" s="33"/>
      <c r="W2854" s="33"/>
      <c r="X2854" s="33"/>
      <c r="Y2854" s="33"/>
      <c r="Z2854" s="33"/>
      <c r="AA2854" s="33"/>
      <c r="AB2854" s="33"/>
    </row>
    <row r="2855" spans="1:28" x14ac:dyDescent="0.15">
      <c r="A2855" s="46" t="s">
        <v>5761</v>
      </c>
      <c r="B2855" s="52" t="s">
        <v>7361</v>
      </c>
      <c r="C2855" s="53" t="s">
        <v>5762</v>
      </c>
      <c r="D2855" s="54" t="s">
        <v>10294</v>
      </c>
      <c r="E2855" s="50">
        <f t="shared" si="97"/>
        <v>39.054794520000002</v>
      </c>
      <c r="F2855" s="51">
        <f t="shared" si="97"/>
        <v>4.6309266300000003</v>
      </c>
      <c r="H2855" s="33"/>
      <c r="I2855" s="33"/>
      <c r="J2855" s="33"/>
      <c r="K2855" s="33"/>
      <c r="L2855" s="33"/>
      <c r="M2855" s="33"/>
      <c r="N2855" s="33"/>
      <c r="O2855" s="33"/>
      <c r="P2855" s="33"/>
      <c r="Q2855" s="33"/>
      <c r="R2855" s="33"/>
      <c r="S2855" s="33"/>
      <c r="T2855" s="33"/>
      <c r="U2855" s="33"/>
      <c r="V2855" s="33"/>
      <c r="W2855" s="33"/>
      <c r="X2855" s="33"/>
      <c r="Y2855" s="33"/>
      <c r="Z2855" s="33"/>
      <c r="AA2855" s="33"/>
      <c r="AB2855" s="33"/>
    </row>
    <row r="2856" spans="1:28" x14ac:dyDescent="0.15">
      <c r="A2856" s="46" t="s">
        <v>5763</v>
      </c>
      <c r="B2856" s="52" t="s">
        <v>7361</v>
      </c>
      <c r="C2856" s="53" t="s">
        <v>5764</v>
      </c>
      <c r="D2856" s="54" t="s">
        <v>10295</v>
      </c>
      <c r="E2856" s="50">
        <f t="shared" si="97"/>
        <v>39.068493150000002</v>
      </c>
      <c r="F2856" s="51">
        <f t="shared" si="97"/>
        <v>4.6309459100000003</v>
      </c>
      <c r="H2856" s="33"/>
      <c r="I2856" s="33"/>
      <c r="J2856" s="33"/>
      <c r="K2856" s="33"/>
      <c r="L2856" s="33"/>
      <c r="M2856" s="33"/>
      <c r="N2856" s="33"/>
      <c r="O2856" s="33"/>
      <c r="P2856" s="33"/>
      <c r="Q2856" s="33"/>
      <c r="R2856" s="33"/>
      <c r="S2856" s="33"/>
      <c r="T2856" s="33"/>
      <c r="U2856" s="33"/>
      <c r="V2856" s="33"/>
      <c r="W2856" s="33"/>
      <c r="X2856" s="33"/>
      <c r="Y2856" s="33"/>
      <c r="Z2856" s="33"/>
      <c r="AA2856" s="33"/>
      <c r="AB2856" s="33"/>
    </row>
    <row r="2857" spans="1:28" x14ac:dyDescent="0.15">
      <c r="A2857" s="46" t="s">
        <v>5765</v>
      </c>
      <c r="B2857" s="52" t="s">
        <v>7361</v>
      </c>
      <c r="C2857" s="53" t="s">
        <v>5766</v>
      </c>
      <c r="D2857" s="54" t="s">
        <v>10296</v>
      </c>
      <c r="E2857" s="50">
        <f t="shared" si="97"/>
        <v>39.082191780000002</v>
      </c>
      <c r="F2857" s="51">
        <f t="shared" si="97"/>
        <v>4.6309665999999998</v>
      </c>
      <c r="H2857" s="33"/>
      <c r="I2857" s="33"/>
      <c r="J2857" s="33"/>
      <c r="K2857" s="33"/>
      <c r="L2857" s="33"/>
      <c r="M2857" s="33"/>
      <c r="N2857" s="33"/>
      <c r="O2857" s="33"/>
      <c r="P2857" s="33"/>
      <c r="Q2857" s="33"/>
      <c r="R2857" s="33"/>
      <c r="S2857" s="33"/>
      <c r="T2857" s="33"/>
      <c r="U2857" s="33"/>
      <c r="V2857" s="33"/>
      <c r="W2857" s="33"/>
      <c r="X2857" s="33"/>
      <c r="Y2857" s="33"/>
      <c r="Z2857" s="33"/>
      <c r="AA2857" s="33"/>
      <c r="AB2857" s="33"/>
    </row>
    <row r="2858" spans="1:28" x14ac:dyDescent="0.15">
      <c r="A2858" s="46" t="s">
        <v>5767</v>
      </c>
      <c r="B2858" s="52" t="s">
        <v>7361</v>
      </c>
      <c r="C2858" s="53" t="s">
        <v>5768</v>
      </c>
      <c r="D2858" s="54" t="s">
        <v>10297</v>
      </c>
      <c r="E2858" s="50">
        <f t="shared" si="97"/>
        <v>39.095890410000003</v>
      </c>
      <c r="F2858" s="51">
        <f t="shared" si="97"/>
        <v>4.63098864</v>
      </c>
      <c r="H2858" s="33"/>
      <c r="I2858" s="33"/>
      <c r="J2858" s="33"/>
      <c r="K2858" s="33"/>
      <c r="L2858" s="33"/>
      <c r="M2858" s="33"/>
      <c r="N2858" s="33"/>
      <c r="O2858" s="33"/>
      <c r="P2858" s="33"/>
      <c r="Q2858" s="33"/>
      <c r="R2858" s="33"/>
      <c r="S2858" s="33"/>
      <c r="T2858" s="33"/>
      <c r="U2858" s="33"/>
      <c r="V2858" s="33"/>
      <c r="W2858" s="33"/>
      <c r="X2858" s="33"/>
      <c r="Y2858" s="33"/>
      <c r="Z2858" s="33"/>
      <c r="AA2858" s="33"/>
      <c r="AB2858" s="33"/>
    </row>
    <row r="2859" spans="1:28" x14ac:dyDescent="0.15">
      <c r="A2859" s="46" t="s">
        <v>5769</v>
      </c>
      <c r="B2859" s="52" t="s">
        <v>7361</v>
      </c>
      <c r="C2859" s="53" t="s">
        <v>5770</v>
      </c>
      <c r="D2859" s="54" t="s">
        <v>10298</v>
      </c>
      <c r="E2859" s="50">
        <f t="shared" si="97"/>
        <v>39.109589040000003</v>
      </c>
      <c r="F2859" s="51">
        <f t="shared" si="97"/>
        <v>4.6310119600000004</v>
      </c>
      <c r="H2859" s="33"/>
      <c r="I2859" s="33"/>
      <c r="J2859" s="33"/>
      <c r="K2859" s="33"/>
      <c r="L2859" s="33"/>
      <c r="M2859" s="33"/>
      <c r="N2859" s="33"/>
      <c r="O2859" s="33"/>
      <c r="P2859" s="33"/>
      <c r="Q2859" s="33"/>
      <c r="R2859" s="33"/>
      <c r="S2859" s="33"/>
      <c r="T2859" s="33"/>
      <c r="U2859" s="33"/>
      <c r="V2859" s="33"/>
      <c r="W2859" s="33"/>
      <c r="X2859" s="33"/>
      <c r="Y2859" s="33"/>
      <c r="Z2859" s="33"/>
      <c r="AA2859" s="33"/>
      <c r="AB2859" s="33"/>
    </row>
    <row r="2860" spans="1:28" x14ac:dyDescent="0.15">
      <c r="A2860" s="46" t="s">
        <v>5771</v>
      </c>
      <c r="B2860" s="52" t="s">
        <v>7361</v>
      </c>
      <c r="C2860" s="53" t="s">
        <v>5772</v>
      </c>
      <c r="D2860" s="54" t="s">
        <v>10299</v>
      </c>
      <c r="E2860" s="50">
        <f t="shared" si="97"/>
        <v>39.123287670000003</v>
      </c>
      <c r="F2860" s="51">
        <f t="shared" si="97"/>
        <v>4.6310364599999998</v>
      </c>
      <c r="H2860" s="33"/>
      <c r="I2860" s="33"/>
      <c r="J2860" s="33"/>
      <c r="K2860" s="33"/>
      <c r="L2860" s="33"/>
      <c r="M2860" s="33"/>
      <c r="N2860" s="33"/>
      <c r="O2860" s="33"/>
      <c r="P2860" s="33"/>
      <c r="Q2860" s="33"/>
      <c r="R2860" s="33"/>
      <c r="S2860" s="33"/>
      <c r="T2860" s="33"/>
      <c r="U2860" s="33"/>
      <c r="V2860" s="33"/>
      <c r="W2860" s="33"/>
      <c r="X2860" s="33"/>
      <c r="Y2860" s="33"/>
      <c r="Z2860" s="33"/>
      <c r="AA2860" s="33"/>
      <c r="AB2860" s="33"/>
    </row>
    <row r="2861" spans="1:28" x14ac:dyDescent="0.15">
      <c r="A2861" s="46" t="s">
        <v>5773</v>
      </c>
      <c r="B2861" s="52" t="s">
        <v>7361</v>
      </c>
      <c r="C2861" s="53" t="s">
        <v>5774</v>
      </c>
      <c r="D2861" s="54" t="s">
        <v>10300</v>
      </c>
      <c r="E2861" s="50">
        <f t="shared" si="97"/>
        <v>39.136986299999997</v>
      </c>
      <c r="F2861" s="51">
        <f t="shared" si="97"/>
        <v>4.6310621000000003</v>
      </c>
      <c r="H2861" s="33"/>
      <c r="I2861" s="33"/>
      <c r="J2861" s="33"/>
      <c r="K2861" s="33"/>
      <c r="L2861" s="33"/>
      <c r="M2861" s="33"/>
      <c r="N2861" s="33"/>
      <c r="O2861" s="33"/>
      <c r="P2861" s="33"/>
      <c r="Q2861" s="33"/>
      <c r="R2861" s="33"/>
      <c r="S2861" s="33"/>
      <c r="T2861" s="33"/>
      <c r="U2861" s="33"/>
      <c r="V2861" s="33"/>
      <c r="W2861" s="33"/>
      <c r="X2861" s="33"/>
      <c r="Y2861" s="33"/>
      <c r="Z2861" s="33"/>
      <c r="AA2861" s="33"/>
      <c r="AB2861" s="33"/>
    </row>
    <row r="2862" spans="1:28" x14ac:dyDescent="0.15">
      <c r="A2862" s="46" t="s">
        <v>5775</v>
      </c>
      <c r="B2862" s="52" t="s">
        <v>7361</v>
      </c>
      <c r="C2862" s="53" t="s">
        <v>5776</v>
      </c>
      <c r="D2862" s="54" t="s">
        <v>10301</v>
      </c>
      <c r="E2862" s="50">
        <f t="shared" si="97"/>
        <v>39.150684929999997</v>
      </c>
      <c r="F2862" s="51">
        <f t="shared" si="97"/>
        <v>4.6310887899999997</v>
      </c>
      <c r="H2862" s="33"/>
      <c r="I2862" s="33"/>
      <c r="J2862" s="33"/>
      <c r="K2862" s="33"/>
      <c r="L2862" s="33"/>
      <c r="M2862" s="33"/>
      <c r="N2862" s="33"/>
      <c r="O2862" s="33"/>
      <c r="P2862" s="33"/>
      <c r="Q2862" s="33"/>
      <c r="R2862" s="33"/>
      <c r="S2862" s="33"/>
      <c r="T2862" s="33"/>
      <c r="U2862" s="33"/>
      <c r="V2862" s="33"/>
      <c r="W2862" s="33"/>
      <c r="X2862" s="33"/>
      <c r="Y2862" s="33"/>
      <c r="Z2862" s="33"/>
      <c r="AA2862" s="33"/>
      <c r="AB2862" s="33"/>
    </row>
    <row r="2863" spans="1:28" x14ac:dyDescent="0.15">
      <c r="A2863" s="46" t="s">
        <v>5777</v>
      </c>
      <c r="B2863" s="52" t="s">
        <v>7361</v>
      </c>
      <c r="C2863" s="53" t="s">
        <v>5778</v>
      </c>
      <c r="D2863" s="54" t="s">
        <v>10302</v>
      </c>
      <c r="E2863" s="50">
        <f t="shared" si="97"/>
        <v>39.164383559999997</v>
      </c>
      <c r="F2863" s="51">
        <f t="shared" si="97"/>
        <v>4.6311164500000004</v>
      </c>
      <c r="H2863" s="33"/>
      <c r="I2863" s="33"/>
      <c r="J2863" s="33"/>
      <c r="K2863" s="33"/>
      <c r="L2863" s="33"/>
      <c r="M2863" s="33"/>
      <c r="N2863" s="33"/>
      <c r="O2863" s="33"/>
      <c r="P2863" s="33"/>
      <c r="Q2863" s="33"/>
      <c r="R2863" s="33"/>
      <c r="S2863" s="33"/>
      <c r="T2863" s="33"/>
      <c r="U2863" s="33"/>
      <c r="V2863" s="33"/>
      <c r="W2863" s="33"/>
      <c r="X2863" s="33"/>
      <c r="Y2863" s="33"/>
      <c r="Z2863" s="33"/>
      <c r="AA2863" s="33"/>
      <c r="AB2863" s="33"/>
    </row>
    <row r="2864" spans="1:28" x14ac:dyDescent="0.15">
      <c r="A2864" s="46" t="s">
        <v>5779</v>
      </c>
      <c r="B2864" s="52" t="s">
        <v>7361</v>
      </c>
      <c r="C2864" s="53" t="s">
        <v>5780</v>
      </c>
      <c r="D2864" s="54" t="s">
        <v>10303</v>
      </c>
      <c r="E2864" s="50">
        <f t="shared" si="97"/>
        <v>39.178082189999998</v>
      </c>
      <c r="F2864" s="51">
        <f t="shared" si="97"/>
        <v>4.6311450199999999</v>
      </c>
      <c r="H2864" s="33"/>
      <c r="I2864" s="33"/>
      <c r="J2864" s="33"/>
      <c r="K2864" s="33"/>
      <c r="L2864" s="33"/>
      <c r="M2864" s="33"/>
      <c r="N2864" s="33"/>
      <c r="O2864" s="33"/>
      <c r="P2864" s="33"/>
      <c r="Q2864" s="33"/>
      <c r="R2864" s="33"/>
      <c r="S2864" s="33"/>
      <c r="T2864" s="33"/>
      <c r="U2864" s="33"/>
      <c r="V2864" s="33"/>
      <c r="W2864" s="33"/>
      <c r="X2864" s="33"/>
      <c r="Y2864" s="33"/>
      <c r="Z2864" s="33"/>
      <c r="AA2864" s="33"/>
      <c r="AB2864" s="33"/>
    </row>
    <row r="2865" spans="1:28" x14ac:dyDescent="0.15">
      <c r="A2865" s="46" t="s">
        <v>5781</v>
      </c>
      <c r="B2865" s="52" t="s">
        <v>7361</v>
      </c>
      <c r="C2865" s="53" t="s">
        <v>5782</v>
      </c>
      <c r="D2865" s="54" t="s">
        <v>10304</v>
      </c>
      <c r="E2865" s="50">
        <f t="shared" si="97"/>
        <v>39.191780819999998</v>
      </c>
      <c r="F2865" s="51">
        <f t="shared" si="97"/>
        <v>4.6311744199999998</v>
      </c>
      <c r="H2865" s="33"/>
      <c r="I2865" s="33"/>
      <c r="J2865" s="33"/>
      <c r="K2865" s="33"/>
      <c r="L2865" s="33"/>
      <c r="M2865" s="33"/>
      <c r="N2865" s="33"/>
      <c r="O2865" s="33"/>
      <c r="P2865" s="33"/>
      <c r="Q2865" s="33"/>
      <c r="R2865" s="33"/>
      <c r="S2865" s="33"/>
      <c r="T2865" s="33"/>
      <c r="U2865" s="33"/>
      <c r="V2865" s="33"/>
      <c r="W2865" s="33"/>
      <c r="X2865" s="33"/>
      <c r="Y2865" s="33"/>
      <c r="Z2865" s="33"/>
      <c r="AA2865" s="33"/>
      <c r="AB2865" s="33"/>
    </row>
    <row r="2866" spans="1:28" x14ac:dyDescent="0.15">
      <c r="A2866" s="46" t="s">
        <v>5783</v>
      </c>
      <c r="B2866" s="52" t="s">
        <v>7361</v>
      </c>
      <c r="C2866" s="53" t="s">
        <v>5784</v>
      </c>
      <c r="D2866" s="54" t="s">
        <v>10305</v>
      </c>
      <c r="E2866" s="50">
        <f t="shared" si="97"/>
        <v>39.205479449999999</v>
      </c>
      <c r="F2866" s="51">
        <f t="shared" si="97"/>
        <v>4.6312045800000003</v>
      </c>
      <c r="H2866" s="33"/>
      <c r="I2866" s="33"/>
      <c r="J2866" s="33"/>
      <c r="K2866" s="33"/>
      <c r="L2866" s="33"/>
      <c r="M2866" s="33"/>
      <c r="N2866" s="33"/>
      <c r="O2866" s="33"/>
      <c r="P2866" s="33"/>
      <c r="Q2866" s="33"/>
      <c r="R2866" s="33"/>
      <c r="S2866" s="33"/>
      <c r="T2866" s="33"/>
      <c r="U2866" s="33"/>
      <c r="V2866" s="33"/>
      <c r="W2866" s="33"/>
      <c r="X2866" s="33"/>
      <c r="Y2866" s="33"/>
      <c r="Z2866" s="33"/>
      <c r="AA2866" s="33"/>
      <c r="AB2866" s="33"/>
    </row>
    <row r="2867" spans="1:28" x14ac:dyDescent="0.15">
      <c r="A2867" s="46" t="s">
        <v>5785</v>
      </c>
      <c r="B2867" s="52" t="s">
        <v>7361</v>
      </c>
      <c r="C2867" s="53" t="s">
        <v>5786</v>
      </c>
      <c r="D2867" s="54" t="s">
        <v>10306</v>
      </c>
      <c r="E2867" s="50">
        <f t="shared" si="97"/>
        <v>39.219178079999999</v>
      </c>
      <c r="F2867" s="51">
        <f t="shared" si="97"/>
        <v>4.6312354200000003</v>
      </c>
      <c r="H2867" s="33"/>
      <c r="I2867" s="33"/>
      <c r="J2867" s="33"/>
      <c r="K2867" s="33"/>
      <c r="L2867" s="33"/>
      <c r="M2867" s="33"/>
      <c r="N2867" s="33"/>
      <c r="O2867" s="33"/>
      <c r="P2867" s="33"/>
      <c r="Q2867" s="33"/>
      <c r="R2867" s="33"/>
      <c r="S2867" s="33"/>
      <c r="T2867" s="33"/>
      <c r="U2867" s="33"/>
      <c r="V2867" s="33"/>
      <c r="W2867" s="33"/>
      <c r="X2867" s="33"/>
      <c r="Y2867" s="33"/>
      <c r="Z2867" s="33"/>
      <c r="AA2867" s="33"/>
      <c r="AB2867" s="33"/>
    </row>
    <row r="2868" spans="1:28" x14ac:dyDescent="0.15">
      <c r="A2868" s="46" t="s">
        <v>5787</v>
      </c>
      <c r="B2868" s="52" t="s">
        <v>7361</v>
      </c>
      <c r="C2868" s="53" t="s">
        <v>5788</v>
      </c>
      <c r="D2868" s="54" t="s">
        <v>10307</v>
      </c>
      <c r="E2868" s="50">
        <f t="shared" ref="E2868:F2897" si="98">VALUE(C2868)</f>
        <v>39.232876709999999</v>
      </c>
      <c r="F2868" s="51">
        <f t="shared" si="98"/>
        <v>4.6312668800000001</v>
      </c>
      <c r="H2868" s="33"/>
      <c r="I2868" s="33"/>
      <c r="J2868" s="33"/>
      <c r="K2868" s="33"/>
      <c r="L2868" s="33"/>
      <c r="M2868" s="33"/>
      <c r="N2868" s="33"/>
      <c r="O2868" s="33"/>
      <c r="P2868" s="33"/>
      <c r="Q2868" s="33"/>
      <c r="R2868" s="33"/>
      <c r="S2868" s="33"/>
      <c r="T2868" s="33"/>
      <c r="U2868" s="33"/>
      <c r="V2868" s="33"/>
      <c r="W2868" s="33"/>
      <c r="X2868" s="33"/>
      <c r="Y2868" s="33"/>
      <c r="Z2868" s="33"/>
      <c r="AA2868" s="33"/>
      <c r="AB2868" s="33"/>
    </row>
    <row r="2869" spans="1:28" x14ac:dyDescent="0.15">
      <c r="A2869" s="46" t="s">
        <v>5789</v>
      </c>
      <c r="B2869" s="52" t="s">
        <v>7361</v>
      </c>
      <c r="C2869" s="53" t="s">
        <v>5790</v>
      </c>
      <c r="D2869" s="54" t="s">
        <v>10308</v>
      </c>
      <c r="E2869" s="50">
        <f t="shared" si="98"/>
        <v>39.24657534</v>
      </c>
      <c r="F2869" s="51">
        <f t="shared" si="98"/>
        <v>4.6312988700000002</v>
      </c>
      <c r="H2869" s="33"/>
      <c r="I2869" s="33"/>
      <c r="J2869" s="33"/>
      <c r="K2869" s="33"/>
      <c r="L2869" s="33"/>
      <c r="M2869" s="33"/>
      <c r="N2869" s="33"/>
      <c r="O2869" s="33"/>
      <c r="P2869" s="33"/>
      <c r="Q2869" s="33"/>
      <c r="R2869" s="33"/>
      <c r="S2869" s="33"/>
      <c r="T2869" s="33"/>
      <c r="U2869" s="33"/>
      <c r="V2869" s="33"/>
      <c r="W2869" s="33"/>
      <c r="X2869" s="33"/>
      <c r="Y2869" s="33"/>
      <c r="Z2869" s="33"/>
      <c r="AA2869" s="33"/>
      <c r="AB2869" s="33"/>
    </row>
    <row r="2870" spans="1:28" x14ac:dyDescent="0.15">
      <c r="A2870" s="46" t="s">
        <v>5791</v>
      </c>
      <c r="B2870" s="52" t="s">
        <v>7361</v>
      </c>
      <c r="C2870" s="53" t="s">
        <v>5792</v>
      </c>
      <c r="D2870" s="54" t="s">
        <v>10309</v>
      </c>
      <c r="E2870" s="50">
        <f t="shared" si="98"/>
        <v>39.26027397</v>
      </c>
      <c r="F2870" s="51">
        <f t="shared" si="98"/>
        <v>4.6313313300000001</v>
      </c>
      <c r="H2870" s="33"/>
      <c r="I2870" s="33"/>
      <c r="J2870" s="33"/>
      <c r="K2870" s="33"/>
      <c r="L2870" s="33"/>
      <c r="M2870" s="33"/>
      <c r="N2870" s="33"/>
      <c r="O2870" s="33"/>
      <c r="P2870" s="33"/>
      <c r="Q2870" s="33"/>
      <c r="R2870" s="33"/>
      <c r="S2870" s="33"/>
      <c r="T2870" s="33"/>
      <c r="U2870" s="33"/>
      <c r="V2870" s="33"/>
      <c r="W2870" s="33"/>
      <c r="X2870" s="33"/>
      <c r="Y2870" s="33"/>
      <c r="Z2870" s="33"/>
      <c r="AA2870" s="33"/>
      <c r="AB2870" s="33"/>
    </row>
    <row r="2871" spans="1:28" x14ac:dyDescent="0.15">
      <c r="A2871" s="46" t="s">
        <v>5793</v>
      </c>
      <c r="B2871" s="52" t="s">
        <v>7361</v>
      </c>
      <c r="C2871" s="53" t="s">
        <v>5794</v>
      </c>
      <c r="D2871" s="54" t="s">
        <v>10310</v>
      </c>
      <c r="E2871" s="50">
        <f t="shared" si="98"/>
        <v>39.2739726</v>
      </c>
      <c r="F2871" s="51">
        <f t="shared" si="98"/>
        <v>4.6313641700000003</v>
      </c>
      <c r="H2871" s="33"/>
      <c r="I2871" s="33"/>
      <c r="J2871" s="33"/>
      <c r="K2871" s="33"/>
      <c r="L2871" s="33"/>
      <c r="M2871" s="33"/>
      <c r="N2871" s="33"/>
      <c r="O2871" s="33"/>
      <c r="P2871" s="33"/>
      <c r="Q2871" s="33"/>
      <c r="R2871" s="33"/>
      <c r="S2871" s="33"/>
      <c r="T2871" s="33"/>
      <c r="U2871" s="33"/>
      <c r="V2871" s="33"/>
      <c r="W2871" s="33"/>
      <c r="X2871" s="33"/>
      <c r="Y2871" s="33"/>
      <c r="Z2871" s="33"/>
      <c r="AA2871" s="33"/>
      <c r="AB2871" s="33"/>
    </row>
    <row r="2872" spans="1:28" x14ac:dyDescent="0.15">
      <c r="A2872" s="46" t="s">
        <v>5795</v>
      </c>
      <c r="B2872" s="52" t="s">
        <v>7361</v>
      </c>
      <c r="C2872" s="53" t="s">
        <v>5796</v>
      </c>
      <c r="D2872" s="54" t="s">
        <v>10311</v>
      </c>
      <c r="E2872" s="50">
        <f t="shared" si="98"/>
        <v>39.287671230000001</v>
      </c>
      <c r="F2872" s="51">
        <f t="shared" si="98"/>
        <v>4.6313973400000004</v>
      </c>
      <c r="H2872" s="33"/>
      <c r="I2872" s="33"/>
      <c r="J2872" s="33"/>
      <c r="K2872" s="33"/>
      <c r="L2872" s="33"/>
      <c r="M2872" s="33"/>
      <c r="N2872" s="33"/>
      <c r="O2872" s="33"/>
      <c r="P2872" s="33"/>
      <c r="Q2872" s="33"/>
      <c r="R2872" s="33"/>
      <c r="S2872" s="33"/>
      <c r="T2872" s="33"/>
      <c r="U2872" s="33"/>
      <c r="V2872" s="33"/>
      <c r="W2872" s="33"/>
      <c r="X2872" s="33"/>
      <c r="Y2872" s="33"/>
      <c r="Z2872" s="33"/>
      <c r="AA2872" s="33"/>
      <c r="AB2872" s="33"/>
    </row>
    <row r="2873" spans="1:28" x14ac:dyDescent="0.15">
      <c r="A2873" s="46" t="s">
        <v>5797</v>
      </c>
      <c r="B2873" s="52" t="s">
        <v>7361</v>
      </c>
      <c r="C2873" s="53" t="s">
        <v>5798</v>
      </c>
      <c r="D2873" s="54" t="s">
        <v>10312</v>
      </c>
      <c r="E2873" s="50">
        <f t="shared" si="98"/>
        <v>39.301369860000001</v>
      </c>
      <c r="F2873" s="51">
        <f t="shared" si="98"/>
        <v>4.6314307499999998</v>
      </c>
      <c r="H2873" s="33"/>
      <c r="I2873" s="33"/>
      <c r="J2873" s="33"/>
      <c r="K2873" s="33"/>
      <c r="L2873" s="33"/>
      <c r="M2873" s="33"/>
      <c r="N2873" s="33"/>
      <c r="O2873" s="33"/>
      <c r="P2873" s="33"/>
      <c r="Q2873" s="33"/>
      <c r="R2873" s="33"/>
      <c r="S2873" s="33"/>
      <c r="T2873" s="33"/>
      <c r="U2873" s="33"/>
      <c r="V2873" s="33"/>
      <c r="W2873" s="33"/>
      <c r="X2873" s="33"/>
      <c r="Y2873" s="33"/>
      <c r="Z2873" s="33"/>
      <c r="AA2873" s="33"/>
      <c r="AB2873" s="33"/>
    </row>
    <row r="2874" spans="1:28" x14ac:dyDescent="0.15">
      <c r="A2874" s="46" t="s">
        <v>5799</v>
      </c>
      <c r="B2874" s="52" t="s">
        <v>7361</v>
      </c>
      <c r="C2874" s="53" t="s">
        <v>5800</v>
      </c>
      <c r="D2874" s="54" t="s">
        <v>10313</v>
      </c>
      <c r="E2874" s="50">
        <f t="shared" si="98"/>
        <v>39.315068490000002</v>
      </c>
      <c r="F2874" s="51">
        <f t="shared" si="98"/>
        <v>4.63146433</v>
      </c>
      <c r="H2874" s="33"/>
      <c r="I2874" s="33"/>
      <c r="J2874" s="33"/>
      <c r="K2874" s="33"/>
      <c r="L2874" s="33"/>
      <c r="M2874" s="33"/>
      <c r="N2874" s="33"/>
      <c r="O2874" s="33"/>
      <c r="P2874" s="33"/>
      <c r="Q2874" s="33"/>
      <c r="R2874" s="33"/>
      <c r="S2874" s="33"/>
      <c r="T2874" s="33"/>
      <c r="U2874" s="33"/>
      <c r="V2874" s="33"/>
      <c r="W2874" s="33"/>
      <c r="X2874" s="33"/>
      <c r="Y2874" s="33"/>
      <c r="Z2874" s="33"/>
      <c r="AA2874" s="33"/>
      <c r="AB2874" s="33"/>
    </row>
    <row r="2875" spans="1:28" x14ac:dyDescent="0.15">
      <c r="A2875" s="46" t="s">
        <v>5801</v>
      </c>
      <c r="B2875" s="52" t="s">
        <v>7361</v>
      </c>
      <c r="C2875" s="53" t="s">
        <v>5802</v>
      </c>
      <c r="D2875" s="54" t="s">
        <v>10314</v>
      </c>
      <c r="E2875" s="50">
        <f t="shared" si="98"/>
        <v>39.328767120000002</v>
      </c>
      <c r="F2875" s="51">
        <f t="shared" si="98"/>
        <v>4.6314980099999996</v>
      </c>
      <c r="H2875" s="33"/>
      <c r="I2875" s="33"/>
      <c r="J2875" s="33"/>
      <c r="K2875" s="33"/>
      <c r="L2875" s="33"/>
      <c r="M2875" s="33"/>
      <c r="N2875" s="33"/>
      <c r="O2875" s="33"/>
      <c r="P2875" s="33"/>
      <c r="Q2875" s="33"/>
      <c r="R2875" s="33"/>
      <c r="S2875" s="33"/>
      <c r="T2875" s="33"/>
      <c r="U2875" s="33"/>
      <c r="V2875" s="33"/>
      <c r="W2875" s="33"/>
      <c r="X2875" s="33"/>
      <c r="Y2875" s="33"/>
      <c r="Z2875" s="33"/>
      <c r="AA2875" s="33"/>
      <c r="AB2875" s="33"/>
    </row>
    <row r="2876" spans="1:28" x14ac:dyDescent="0.15">
      <c r="A2876" s="46" t="s">
        <v>5803</v>
      </c>
      <c r="B2876" s="52" t="s">
        <v>7361</v>
      </c>
      <c r="C2876" s="53" t="s">
        <v>5804</v>
      </c>
      <c r="D2876" s="54" t="s">
        <v>10315</v>
      </c>
      <c r="E2876" s="50">
        <f t="shared" si="98"/>
        <v>39.342465750000002</v>
      </c>
      <c r="F2876" s="51">
        <f t="shared" si="98"/>
        <v>4.6315317199999999</v>
      </c>
      <c r="H2876" s="33"/>
      <c r="I2876" s="33"/>
      <c r="J2876" s="33"/>
      <c r="K2876" s="33"/>
      <c r="L2876" s="33"/>
      <c r="M2876" s="33"/>
      <c r="N2876" s="33"/>
      <c r="O2876" s="33"/>
      <c r="P2876" s="33"/>
      <c r="Q2876" s="33"/>
      <c r="R2876" s="33"/>
      <c r="S2876" s="33"/>
      <c r="T2876" s="33"/>
      <c r="U2876" s="33"/>
      <c r="V2876" s="33"/>
      <c r="W2876" s="33"/>
      <c r="X2876" s="33"/>
      <c r="Y2876" s="33"/>
      <c r="Z2876" s="33"/>
      <c r="AA2876" s="33"/>
      <c r="AB2876" s="33"/>
    </row>
    <row r="2877" spans="1:28" x14ac:dyDescent="0.15">
      <c r="A2877" s="46" t="s">
        <v>5805</v>
      </c>
      <c r="B2877" s="52" t="s">
        <v>7361</v>
      </c>
      <c r="C2877" s="53" t="s">
        <v>5806</v>
      </c>
      <c r="D2877" s="54" t="s">
        <v>10316</v>
      </c>
      <c r="E2877" s="50">
        <f t="shared" si="98"/>
        <v>39.356164380000003</v>
      </c>
      <c r="F2877" s="51">
        <f t="shared" si="98"/>
        <v>4.6315653699999997</v>
      </c>
      <c r="H2877" s="33"/>
      <c r="I2877" s="33"/>
      <c r="J2877" s="33"/>
      <c r="K2877" s="33"/>
      <c r="L2877" s="33"/>
      <c r="M2877" s="33"/>
      <c r="N2877" s="33"/>
      <c r="O2877" s="33"/>
      <c r="P2877" s="33"/>
      <c r="Q2877" s="33"/>
      <c r="R2877" s="33"/>
      <c r="S2877" s="33"/>
      <c r="T2877" s="33"/>
      <c r="U2877" s="33"/>
      <c r="V2877" s="33"/>
      <c r="W2877" s="33"/>
      <c r="X2877" s="33"/>
      <c r="Y2877" s="33"/>
      <c r="Z2877" s="33"/>
      <c r="AA2877" s="33"/>
      <c r="AB2877" s="33"/>
    </row>
    <row r="2878" spans="1:28" x14ac:dyDescent="0.15">
      <c r="A2878" s="46" t="s">
        <v>5807</v>
      </c>
      <c r="B2878" s="52" t="s">
        <v>7361</v>
      </c>
      <c r="C2878" s="53" t="s">
        <v>5808</v>
      </c>
      <c r="D2878" s="54" t="s">
        <v>10317</v>
      </c>
      <c r="E2878" s="50">
        <f t="shared" si="98"/>
        <v>39.369863010000003</v>
      </c>
      <c r="F2878" s="51">
        <f t="shared" si="98"/>
        <v>4.6315989100000001</v>
      </c>
      <c r="H2878" s="33"/>
      <c r="I2878" s="33"/>
      <c r="J2878" s="33"/>
      <c r="K2878" s="33"/>
      <c r="L2878" s="33"/>
      <c r="M2878" s="33"/>
      <c r="N2878" s="33"/>
      <c r="O2878" s="33"/>
      <c r="P2878" s="33"/>
      <c r="Q2878" s="33"/>
      <c r="R2878" s="33"/>
      <c r="S2878" s="33"/>
      <c r="T2878" s="33"/>
      <c r="U2878" s="33"/>
      <c r="V2878" s="33"/>
      <c r="W2878" s="33"/>
      <c r="X2878" s="33"/>
      <c r="Y2878" s="33"/>
      <c r="Z2878" s="33"/>
      <c r="AA2878" s="33"/>
      <c r="AB2878" s="33"/>
    </row>
    <row r="2879" spans="1:28" x14ac:dyDescent="0.15">
      <c r="A2879" s="46" t="s">
        <v>5809</v>
      </c>
      <c r="B2879" s="52" t="s">
        <v>7361</v>
      </c>
      <c r="C2879" s="53" t="s">
        <v>5810</v>
      </c>
      <c r="D2879" s="54" t="s">
        <v>10318</v>
      </c>
      <c r="E2879" s="50">
        <f t="shared" si="98"/>
        <v>39.383561640000003</v>
      </c>
      <c r="F2879" s="51">
        <f t="shared" si="98"/>
        <v>4.63163225</v>
      </c>
      <c r="H2879" s="33"/>
      <c r="I2879" s="33"/>
      <c r="J2879" s="33"/>
      <c r="K2879" s="33"/>
      <c r="L2879" s="33"/>
      <c r="M2879" s="33"/>
      <c r="N2879" s="33"/>
      <c r="O2879" s="33"/>
      <c r="P2879" s="33"/>
      <c r="Q2879" s="33"/>
      <c r="R2879" s="33"/>
      <c r="S2879" s="33"/>
      <c r="T2879" s="33"/>
      <c r="U2879" s="33"/>
      <c r="V2879" s="33"/>
      <c r="W2879" s="33"/>
      <c r="X2879" s="33"/>
      <c r="Y2879" s="33"/>
      <c r="Z2879" s="33"/>
      <c r="AA2879" s="33"/>
      <c r="AB2879" s="33"/>
    </row>
    <row r="2880" spans="1:28" x14ac:dyDescent="0.15">
      <c r="A2880" s="46" t="s">
        <v>5811</v>
      </c>
      <c r="B2880" s="52" t="s">
        <v>7361</v>
      </c>
      <c r="C2880" s="53" t="s">
        <v>5812</v>
      </c>
      <c r="D2880" s="54" t="s">
        <v>10319</v>
      </c>
      <c r="E2880" s="50">
        <f t="shared" si="98"/>
        <v>39.397260269999997</v>
      </c>
      <c r="F2880" s="51">
        <f t="shared" si="98"/>
        <v>4.6316653099999998</v>
      </c>
      <c r="H2880" s="33"/>
      <c r="I2880" s="33"/>
      <c r="J2880" s="33"/>
      <c r="K2880" s="33"/>
      <c r="L2880" s="33"/>
      <c r="M2880" s="33"/>
      <c r="N2880" s="33"/>
      <c r="O2880" s="33"/>
      <c r="P2880" s="33"/>
      <c r="Q2880" s="33"/>
      <c r="R2880" s="33"/>
      <c r="S2880" s="33"/>
      <c r="T2880" s="33"/>
      <c r="U2880" s="33"/>
      <c r="V2880" s="33"/>
      <c r="W2880" s="33"/>
      <c r="X2880" s="33"/>
      <c r="Y2880" s="33"/>
      <c r="Z2880" s="33"/>
      <c r="AA2880" s="33"/>
      <c r="AB2880" s="33"/>
    </row>
    <row r="2881" spans="1:28" x14ac:dyDescent="0.15">
      <c r="A2881" s="46" t="s">
        <v>5813</v>
      </c>
      <c r="B2881" s="52" t="s">
        <v>7361</v>
      </c>
      <c r="C2881" s="53" t="s">
        <v>5814</v>
      </c>
      <c r="D2881" s="54" t="s">
        <v>10320</v>
      </c>
      <c r="E2881" s="50">
        <f t="shared" si="98"/>
        <v>39.410958899999997</v>
      </c>
      <c r="F2881" s="51">
        <f t="shared" si="98"/>
        <v>4.6316980399999998</v>
      </c>
      <c r="H2881" s="33"/>
      <c r="I2881" s="33"/>
      <c r="J2881" s="33"/>
      <c r="K2881" s="33"/>
      <c r="L2881" s="33"/>
      <c r="M2881" s="33"/>
      <c r="N2881" s="33"/>
      <c r="O2881" s="33"/>
      <c r="P2881" s="33"/>
      <c r="Q2881" s="33"/>
      <c r="R2881" s="33"/>
      <c r="S2881" s="33"/>
      <c r="T2881" s="33"/>
      <c r="U2881" s="33"/>
      <c r="V2881" s="33"/>
      <c r="W2881" s="33"/>
      <c r="X2881" s="33"/>
      <c r="Y2881" s="33"/>
      <c r="Z2881" s="33"/>
      <c r="AA2881" s="33"/>
      <c r="AB2881" s="33"/>
    </row>
    <row r="2882" spans="1:28" x14ac:dyDescent="0.15">
      <c r="A2882" s="46" t="s">
        <v>5815</v>
      </c>
      <c r="B2882" s="52" t="s">
        <v>7361</v>
      </c>
      <c r="C2882" s="53" t="s">
        <v>5816</v>
      </c>
      <c r="D2882" s="54" t="s">
        <v>10321</v>
      </c>
      <c r="E2882" s="50">
        <f t="shared" si="98"/>
        <v>39.424657529999998</v>
      </c>
      <c r="F2882" s="51">
        <f t="shared" si="98"/>
        <v>4.6317303499999998</v>
      </c>
      <c r="H2882" s="33"/>
      <c r="I2882" s="33"/>
      <c r="J2882" s="33"/>
      <c r="K2882" s="33"/>
      <c r="L2882" s="33"/>
      <c r="M2882" s="33"/>
      <c r="N2882" s="33"/>
      <c r="O2882" s="33"/>
      <c r="P2882" s="33"/>
      <c r="Q2882" s="33"/>
      <c r="R2882" s="33"/>
      <c r="S2882" s="33"/>
      <c r="T2882" s="33"/>
      <c r="U2882" s="33"/>
      <c r="V2882" s="33"/>
      <c r="W2882" s="33"/>
      <c r="X2882" s="33"/>
      <c r="Y2882" s="33"/>
      <c r="Z2882" s="33"/>
      <c r="AA2882" s="33"/>
      <c r="AB2882" s="33"/>
    </row>
    <row r="2883" spans="1:28" x14ac:dyDescent="0.15">
      <c r="A2883" s="46" t="s">
        <v>5817</v>
      </c>
      <c r="B2883" s="52" t="s">
        <v>7361</v>
      </c>
      <c r="C2883" s="53" t="s">
        <v>5818</v>
      </c>
      <c r="D2883" s="54" t="s">
        <v>10322</v>
      </c>
      <c r="E2883" s="50">
        <f t="shared" si="98"/>
        <v>39.438356159999998</v>
      </c>
      <c r="F2883" s="51">
        <f t="shared" si="98"/>
        <v>4.63176217</v>
      </c>
      <c r="H2883" s="33"/>
      <c r="I2883" s="33"/>
      <c r="J2883" s="33"/>
      <c r="K2883" s="33"/>
      <c r="L2883" s="33"/>
      <c r="M2883" s="33"/>
      <c r="N2883" s="33"/>
      <c r="O2883" s="33"/>
      <c r="P2883" s="33"/>
      <c r="Q2883" s="33"/>
      <c r="R2883" s="33"/>
      <c r="S2883" s="33"/>
      <c r="T2883" s="33"/>
      <c r="U2883" s="33"/>
      <c r="V2883" s="33"/>
      <c r="W2883" s="33"/>
      <c r="X2883" s="33"/>
      <c r="Y2883" s="33"/>
      <c r="Z2883" s="33"/>
      <c r="AA2883" s="33"/>
      <c r="AB2883" s="33"/>
    </row>
    <row r="2884" spans="1:28" x14ac:dyDescent="0.15">
      <c r="A2884" s="46" t="s">
        <v>5819</v>
      </c>
      <c r="B2884" s="52" t="s">
        <v>7361</v>
      </c>
      <c r="C2884" s="53" t="s">
        <v>5820</v>
      </c>
      <c r="D2884" s="54" t="s">
        <v>10323</v>
      </c>
      <c r="E2884" s="50">
        <f t="shared" si="98"/>
        <v>39.452054789999998</v>
      </c>
      <c r="F2884" s="51">
        <f t="shared" si="98"/>
        <v>4.6317934300000001</v>
      </c>
      <c r="H2884" s="33"/>
      <c r="I2884" s="33"/>
      <c r="J2884" s="33"/>
      <c r="K2884" s="33"/>
      <c r="L2884" s="33"/>
      <c r="M2884" s="33"/>
      <c r="N2884" s="33"/>
      <c r="O2884" s="33"/>
      <c r="P2884" s="33"/>
      <c r="Q2884" s="33"/>
      <c r="R2884" s="33"/>
      <c r="S2884" s="33"/>
      <c r="T2884" s="33"/>
      <c r="U2884" s="33"/>
      <c r="V2884" s="33"/>
      <c r="W2884" s="33"/>
      <c r="X2884" s="33"/>
      <c r="Y2884" s="33"/>
      <c r="Z2884" s="33"/>
      <c r="AA2884" s="33"/>
      <c r="AB2884" s="33"/>
    </row>
    <row r="2885" spans="1:28" x14ac:dyDescent="0.15">
      <c r="A2885" s="46" t="s">
        <v>5821</v>
      </c>
      <c r="B2885" s="52" t="s">
        <v>7361</v>
      </c>
      <c r="C2885" s="53" t="s">
        <v>5822</v>
      </c>
      <c r="D2885" s="54" t="s">
        <v>10324</v>
      </c>
      <c r="E2885" s="50">
        <f t="shared" si="98"/>
        <v>39.465753419999999</v>
      </c>
      <c r="F2885" s="51">
        <f t="shared" si="98"/>
        <v>4.6318240599999996</v>
      </c>
      <c r="H2885" s="33"/>
      <c r="I2885" s="33"/>
      <c r="J2885" s="33"/>
      <c r="K2885" s="33"/>
      <c r="L2885" s="33"/>
      <c r="M2885" s="33"/>
      <c r="N2885" s="33"/>
      <c r="O2885" s="33"/>
      <c r="P2885" s="33"/>
      <c r="Q2885" s="33"/>
      <c r="R2885" s="33"/>
      <c r="S2885" s="33"/>
      <c r="T2885" s="33"/>
      <c r="U2885" s="33"/>
      <c r="V2885" s="33"/>
      <c r="W2885" s="33"/>
      <c r="X2885" s="33"/>
      <c r="Y2885" s="33"/>
      <c r="Z2885" s="33"/>
      <c r="AA2885" s="33"/>
      <c r="AB2885" s="33"/>
    </row>
    <row r="2886" spans="1:28" x14ac:dyDescent="0.15">
      <c r="A2886" s="46" t="s">
        <v>5823</v>
      </c>
      <c r="B2886" s="52" t="s">
        <v>7361</v>
      </c>
      <c r="C2886" s="53" t="s">
        <v>5824</v>
      </c>
      <c r="D2886" s="54" t="s">
        <v>10325</v>
      </c>
      <c r="E2886" s="50">
        <f t="shared" si="98"/>
        <v>39.479452049999999</v>
      </c>
      <c r="F2886" s="51">
        <f t="shared" si="98"/>
        <v>4.6318539699999999</v>
      </c>
      <c r="H2886" s="33"/>
      <c r="I2886" s="33"/>
      <c r="J2886" s="33"/>
      <c r="K2886" s="33"/>
      <c r="L2886" s="33"/>
      <c r="M2886" s="33"/>
      <c r="N2886" s="33"/>
      <c r="O2886" s="33"/>
      <c r="P2886" s="33"/>
      <c r="Q2886" s="33"/>
      <c r="R2886" s="33"/>
      <c r="S2886" s="33"/>
      <c r="T2886" s="33"/>
      <c r="U2886" s="33"/>
      <c r="V2886" s="33"/>
      <c r="W2886" s="33"/>
      <c r="X2886" s="33"/>
      <c r="Y2886" s="33"/>
      <c r="Z2886" s="33"/>
      <c r="AA2886" s="33"/>
      <c r="AB2886" s="33"/>
    </row>
    <row r="2887" spans="1:28" x14ac:dyDescent="0.15">
      <c r="A2887" s="46" t="s">
        <v>5825</v>
      </c>
      <c r="B2887" s="52" t="s">
        <v>7361</v>
      </c>
      <c r="C2887" s="53" t="s">
        <v>5826</v>
      </c>
      <c r="D2887" s="54" t="s">
        <v>10326</v>
      </c>
      <c r="E2887" s="50">
        <f t="shared" si="98"/>
        <v>39.493150679999999</v>
      </c>
      <c r="F2887" s="51">
        <f t="shared" si="98"/>
        <v>4.6318830999999996</v>
      </c>
      <c r="H2887" s="33"/>
      <c r="I2887" s="33"/>
      <c r="J2887" s="33"/>
      <c r="K2887" s="33"/>
      <c r="L2887" s="33"/>
      <c r="M2887" s="33"/>
      <c r="N2887" s="33"/>
      <c r="O2887" s="33"/>
      <c r="P2887" s="33"/>
      <c r="Q2887" s="33"/>
      <c r="R2887" s="33"/>
      <c r="S2887" s="33"/>
      <c r="T2887" s="33"/>
      <c r="U2887" s="33"/>
      <c r="V2887" s="33"/>
      <c r="W2887" s="33"/>
      <c r="X2887" s="33"/>
      <c r="Y2887" s="33"/>
      <c r="Z2887" s="33"/>
      <c r="AA2887" s="33"/>
      <c r="AB2887" s="33"/>
    </row>
    <row r="2888" spans="1:28" x14ac:dyDescent="0.15">
      <c r="A2888" s="46" t="s">
        <v>5827</v>
      </c>
      <c r="B2888" s="52" t="s">
        <v>7361</v>
      </c>
      <c r="C2888" s="53" t="s">
        <v>5828</v>
      </c>
      <c r="D2888" s="54" t="s">
        <v>10327</v>
      </c>
      <c r="E2888" s="50">
        <f t="shared" si="98"/>
        <v>39.506849320000001</v>
      </c>
      <c r="F2888" s="51">
        <f t="shared" si="98"/>
        <v>4.6319117700000003</v>
      </c>
      <c r="H2888" s="33"/>
      <c r="I2888" s="33"/>
      <c r="J2888" s="33"/>
      <c r="K2888" s="33"/>
      <c r="L2888" s="33"/>
      <c r="M2888" s="33"/>
      <c r="N2888" s="33"/>
      <c r="O2888" s="33"/>
      <c r="P2888" s="33"/>
      <c r="Q2888" s="33"/>
      <c r="R2888" s="33"/>
      <c r="S2888" s="33"/>
      <c r="T2888" s="33"/>
      <c r="U2888" s="33"/>
      <c r="V2888" s="33"/>
      <c r="W2888" s="33"/>
      <c r="X2888" s="33"/>
      <c r="Y2888" s="33"/>
      <c r="Z2888" s="33"/>
      <c r="AA2888" s="33"/>
      <c r="AB2888" s="33"/>
    </row>
    <row r="2889" spans="1:28" x14ac:dyDescent="0.15">
      <c r="A2889" s="46" t="s">
        <v>5829</v>
      </c>
      <c r="B2889" s="52" t="s">
        <v>7361</v>
      </c>
      <c r="C2889" s="53" t="s">
        <v>5830</v>
      </c>
      <c r="D2889" s="54" t="s">
        <v>10328</v>
      </c>
      <c r="E2889" s="50">
        <f t="shared" si="98"/>
        <v>39.520547950000001</v>
      </c>
      <c r="F2889" s="51">
        <f t="shared" si="98"/>
        <v>4.6319422499999998</v>
      </c>
      <c r="H2889" s="33"/>
      <c r="I2889" s="33"/>
      <c r="J2889" s="33"/>
      <c r="K2889" s="33"/>
      <c r="L2889" s="33"/>
      <c r="M2889" s="33"/>
      <c r="N2889" s="33"/>
      <c r="O2889" s="33"/>
      <c r="P2889" s="33"/>
      <c r="Q2889" s="33"/>
      <c r="R2889" s="33"/>
      <c r="S2889" s="33"/>
      <c r="T2889" s="33"/>
      <c r="U2889" s="33"/>
      <c r="V2889" s="33"/>
      <c r="W2889" s="33"/>
      <c r="X2889" s="33"/>
      <c r="Y2889" s="33"/>
      <c r="Z2889" s="33"/>
      <c r="AA2889" s="33"/>
      <c r="AB2889" s="33"/>
    </row>
    <row r="2890" spans="1:28" x14ac:dyDescent="0.15">
      <c r="A2890" s="46" t="s">
        <v>5831</v>
      </c>
      <c r="B2890" s="52" t="s">
        <v>7361</v>
      </c>
      <c r="C2890" s="53" t="s">
        <v>5832</v>
      </c>
      <c r="D2890" s="54" t="s">
        <v>10329</v>
      </c>
      <c r="E2890" s="50">
        <f t="shared" si="98"/>
        <v>39.534246580000001</v>
      </c>
      <c r="F2890" s="51">
        <f t="shared" si="98"/>
        <v>4.6319748599999997</v>
      </c>
      <c r="H2890" s="33"/>
      <c r="I2890" s="33"/>
      <c r="J2890" s="33"/>
      <c r="K2890" s="33"/>
      <c r="L2890" s="33"/>
      <c r="M2890" s="33"/>
      <c r="N2890" s="33"/>
      <c r="O2890" s="33"/>
      <c r="P2890" s="33"/>
      <c r="Q2890" s="33"/>
      <c r="R2890" s="33"/>
      <c r="S2890" s="33"/>
      <c r="T2890" s="33"/>
      <c r="U2890" s="33"/>
      <c r="V2890" s="33"/>
      <c r="W2890" s="33"/>
      <c r="X2890" s="33"/>
      <c r="Y2890" s="33"/>
      <c r="Z2890" s="33"/>
      <c r="AA2890" s="33"/>
      <c r="AB2890" s="33"/>
    </row>
    <row r="2891" spans="1:28" x14ac:dyDescent="0.15">
      <c r="A2891" s="46" t="s">
        <v>5833</v>
      </c>
      <c r="B2891" s="52" t="s">
        <v>7361</v>
      </c>
      <c r="C2891" s="53" t="s">
        <v>5834</v>
      </c>
      <c r="D2891" s="54" t="s">
        <v>10330</v>
      </c>
      <c r="E2891" s="50">
        <f t="shared" si="98"/>
        <v>39.547945210000002</v>
      </c>
      <c r="F2891" s="51">
        <f t="shared" si="98"/>
        <v>4.6320094899999997</v>
      </c>
      <c r="H2891" s="33"/>
      <c r="I2891" s="33"/>
      <c r="J2891" s="33"/>
      <c r="K2891" s="33"/>
      <c r="L2891" s="33"/>
      <c r="M2891" s="33"/>
      <c r="N2891" s="33"/>
      <c r="O2891" s="33"/>
      <c r="P2891" s="33"/>
      <c r="Q2891" s="33"/>
      <c r="R2891" s="33"/>
      <c r="S2891" s="33"/>
      <c r="T2891" s="33"/>
      <c r="U2891" s="33"/>
      <c r="V2891" s="33"/>
      <c r="W2891" s="33"/>
      <c r="X2891" s="33"/>
      <c r="Y2891" s="33"/>
      <c r="Z2891" s="33"/>
      <c r="AA2891" s="33"/>
      <c r="AB2891" s="33"/>
    </row>
    <row r="2892" spans="1:28" x14ac:dyDescent="0.15">
      <c r="A2892" s="46" t="s">
        <v>5835</v>
      </c>
      <c r="B2892" s="52" t="s">
        <v>7361</v>
      </c>
      <c r="C2892" s="53" t="s">
        <v>5836</v>
      </c>
      <c r="D2892" s="54" t="s">
        <v>10331</v>
      </c>
      <c r="E2892" s="50">
        <f t="shared" si="98"/>
        <v>39.561643840000002</v>
      </c>
      <c r="F2892" s="51">
        <f t="shared" si="98"/>
        <v>4.6320460499999996</v>
      </c>
      <c r="H2892" s="33"/>
      <c r="I2892" s="33"/>
      <c r="J2892" s="33"/>
      <c r="K2892" s="33"/>
      <c r="L2892" s="33"/>
      <c r="M2892" s="33"/>
      <c r="N2892" s="33"/>
      <c r="O2892" s="33"/>
      <c r="P2892" s="33"/>
      <c r="Q2892" s="33"/>
      <c r="R2892" s="33"/>
      <c r="S2892" s="33"/>
      <c r="T2892" s="33"/>
      <c r="U2892" s="33"/>
      <c r="V2892" s="33"/>
      <c r="W2892" s="33"/>
      <c r="X2892" s="33"/>
      <c r="Y2892" s="33"/>
      <c r="Z2892" s="33"/>
      <c r="AA2892" s="33"/>
      <c r="AB2892" s="33"/>
    </row>
    <row r="2893" spans="1:28" x14ac:dyDescent="0.15">
      <c r="A2893" s="46" t="s">
        <v>5837</v>
      </c>
      <c r="B2893" s="52" t="s">
        <v>7361</v>
      </c>
      <c r="C2893" s="53" t="s">
        <v>5838</v>
      </c>
      <c r="D2893" s="54" t="s">
        <v>10332</v>
      </c>
      <c r="E2893" s="50">
        <f t="shared" si="98"/>
        <v>39.575342470000002</v>
      </c>
      <c r="F2893" s="51">
        <f t="shared" si="98"/>
        <v>4.6320844499999998</v>
      </c>
      <c r="H2893" s="33"/>
      <c r="I2893" s="33"/>
      <c r="J2893" s="33"/>
      <c r="K2893" s="33"/>
      <c r="L2893" s="33"/>
      <c r="M2893" s="33"/>
      <c r="N2893" s="33"/>
      <c r="O2893" s="33"/>
      <c r="P2893" s="33"/>
      <c r="Q2893" s="33"/>
      <c r="R2893" s="33"/>
      <c r="S2893" s="33"/>
      <c r="T2893" s="33"/>
      <c r="U2893" s="33"/>
      <c r="V2893" s="33"/>
      <c r="W2893" s="33"/>
      <c r="X2893" s="33"/>
      <c r="Y2893" s="33"/>
      <c r="Z2893" s="33"/>
      <c r="AA2893" s="33"/>
      <c r="AB2893" s="33"/>
    </row>
    <row r="2894" spans="1:28" x14ac:dyDescent="0.15">
      <c r="A2894" s="46" t="s">
        <v>5839</v>
      </c>
      <c r="B2894" s="52" t="s">
        <v>7361</v>
      </c>
      <c r="C2894" s="53" t="s">
        <v>5840</v>
      </c>
      <c r="D2894" s="54" t="s">
        <v>10333</v>
      </c>
      <c r="E2894" s="50">
        <f t="shared" si="98"/>
        <v>39.589041100000003</v>
      </c>
      <c r="F2894" s="51">
        <f t="shared" si="98"/>
        <v>4.6321245900000001</v>
      </c>
      <c r="H2894" s="33"/>
      <c r="I2894" s="33"/>
      <c r="J2894" s="33"/>
      <c r="K2894" s="33"/>
      <c r="L2894" s="33"/>
      <c r="M2894" s="33"/>
      <c r="N2894" s="33"/>
      <c r="O2894" s="33"/>
      <c r="P2894" s="33"/>
      <c r="Q2894" s="33"/>
      <c r="R2894" s="33"/>
      <c r="S2894" s="33"/>
      <c r="T2894" s="33"/>
      <c r="U2894" s="33"/>
      <c r="V2894" s="33"/>
      <c r="W2894" s="33"/>
      <c r="X2894" s="33"/>
      <c r="Y2894" s="33"/>
      <c r="Z2894" s="33"/>
      <c r="AA2894" s="33"/>
      <c r="AB2894" s="33"/>
    </row>
    <row r="2895" spans="1:28" x14ac:dyDescent="0.15">
      <c r="A2895" s="46" t="s">
        <v>5841</v>
      </c>
      <c r="B2895" s="52" t="s">
        <v>7361</v>
      </c>
      <c r="C2895" s="53" t="s">
        <v>5842</v>
      </c>
      <c r="D2895" s="54" t="s">
        <v>10334</v>
      </c>
      <c r="E2895" s="50">
        <f t="shared" si="98"/>
        <v>39.602739730000003</v>
      </c>
      <c r="F2895" s="51">
        <f t="shared" si="98"/>
        <v>4.6321663900000001</v>
      </c>
      <c r="H2895" s="33"/>
      <c r="I2895" s="33"/>
      <c r="J2895" s="33"/>
      <c r="K2895" s="33"/>
      <c r="L2895" s="33"/>
      <c r="M2895" s="33"/>
      <c r="N2895" s="33"/>
      <c r="O2895" s="33"/>
      <c r="P2895" s="33"/>
      <c r="Q2895" s="33"/>
      <c r="R2895" s="33"/>
      <c r="S2895" s="33"/>
      <c r="T2895" s="33"/>
      <c r="U2895" s="33"/>
      <c r="V2895" s="33"/>
      <c r="W2895" s="33"/>
      <c r="X2895" s="33"/>
      <c r="Y2895" s="33"/>
      <c r="Z2895" s="33"/>
      <c r="AA2895" s="33"/>
      <c r="AB2895" s="33"/>
    </row>
    <row r="2896" spans="1:28" x14ac:dyDescent="0.15">
      <c r="A2896" s="46" t="s">
        <v>5843</v>
      </c>
      <c r="B2896" s="52" t="s">
        <v>7361</v>
      </c>
      <c r="C2896" s="53" t="s">
        <v>5844</v>
      </c>
      <c r="D2896" s="54" t="s">
        <v>10335</v>
      </c>
      <c r="E2896" s="50">
        <f t="shared" si="98"/>
        <v>39.616438359999997</v>
      </c>
      <c r="F2896" s="51">
        <f t="shared" si="98"/>
        <v>4.6322097600000003</v>
      </c>
      <c r="H2896" s="33"/>
      <c r="I2896" s="33"/>
      <c r="J2896" s="33"/>
      <c r="K2896" s="33"/>
      <c r="L2896" s="33"/>
      <c r="M2896" s="33"/>
      <c r="N2896" s="33"/>
      <c r="O2896" s="33"/>
      <c r="P2896" s="33"/>
      <c r="Q2896" s="33"/>
      <c r="R2896" s="33"/>
      <c r="S2896" s="33"/>
      <c r="T2896" s="33"/>
      <c r="U2896" s="33"/>
      <c r="V2896" s="33"/>
      <c r="W2896" s="33"/>
      <c r="X2896" s="33"/>
      <c r="Y2896" s="33"/>
      <c r="Z2896" s="33"/>
      <c r="AA2896" s="33"/>
      <c r="AB2896" s="33"/>
    </row>
    <row r="2897" spans="1:28" x14ac:dyDescent="0.15">
      <c r="A2897" s="46" t="s">
        <v>5845</v>
      </c>
      <c r="B2897" s="52" t="s">
        <v>7361</v>
      </c>
      <c r="C2897" s="53" t="s">
        <v>5846</v>
      </c>
      <c r="D2897" s="54" t="s">
        <v>10336</v>
      </c>
      <c r="E2897" s="50">
        <f t="shared" si="98"/>
        <v>39.630136989999997</v>
      </c>
      <c r="F2897" s="51">
        <f t="shared" si="98"/>
        <v>4.6322545899999996</v>
      </c>
      <c r="H2897" s="33"/>
      <c r="I2897" s="33"/>
      <c r="J2897" s="33"/>
      <c r="K2897" s="33"/>
      <c r="L2897" s="33"/>
      <c r="M2897" s="33"/>
      <c r="N2897" s="33"/>
      <c r="O2897" s="33"/>
      <c r="P2897" s="33"/>
      <c r="Q2897" s="33"/>
      <c r="R2897" s="33"/>
      <c r="S2897" s="33"/>
      <c r="T2897" s="33"/>
      <c r="U2897" s="33"/>
      <c r="V2897" s="33"/>
      <c r="W2897" s="33"/>
      <c r="X2897" s="33"/>
      <c r="Y2897" s="33"/>
      <c r="Z2897" s="33"/>
      <c r="AA2897" s="33"/>
      <c r="AB2897" s="33"/>
    </row>
    <row r="2898" spans="1:28" x14ac:dyDescent="0.15">
      <c r="A2898" s="46" t="s">
        <v>5847</v>
      </c>
      <c r="B2898" s="52" t="s">
        <v>7361</v>
      </c>
      <c r="C2898" s="53" t="s">
        <v>5848</v>
      </c>
      <c r="D2898" s="54" t="s">
        <v>10337</v>
      </c>
      <c r="E2898" s="50">
        <f t="shared" ref="E2898:F2928" si="99">VALUE(C2898)</f>
        <v>39.643835619999997</v>
      </c>
      <c r="F2898" s="51">
        <f t="shared" si="99"/>
        <v>4.6323007900000004</v>
      </c>
      <c r="H2898" s="33"/>
      <c r="I2898" s="33"/>
      <c r="J2898" s="33"/>
      <c r="K2898" s="33"/>
      <c r="L2898" s="33"/>
      <c r="M2898" s="33"/>
      <c r="N2898" s="33"/>
      <c r="O2898" s="33"/>
      <c r="P2898" s="33"/>
      <c r="Q2898" s="33"/>
      <c r="R2898" s="33"/>
      <c r="S2898" s="33"/>
      <c r="T2898" s="33"/>
      <c r="U2898" s="33"/>
      <c r="V2898" s="33"/>
      <c r="W2898" s="33"/>
      <c r="X2898" s="33"/>
      <c r="Y2898" s="33"/>
      <c r="Z2898" s="33"/>
      <c r="AA2898" s="33"/>
      <c r="AB2898" s="33"/>
    </row>
    <row r="2899" spans="1:28" x14ac:dyDescent="0.15">
      <c r="A2899" s="46" t="s">
        <v>5849</v>
      </c>
      <c r="B2899" s="52" t="s">
        <v>7361</v>
      </c>
      <c r="C2899" s="53" t="s">
        <v>5850</v>
      </c>
      <c r="D2899" s="54" t="s">
        <v>10338</v>
      </c>
      <c r="E2899" s="50">
        <f t="shared" si="99"/>
        <v>39.657534249999998</v>
      </c>
      <c r="F2899" s="51">
        <f t="shared" si="99"/>
        <v>4.6323482800000004</v>
      </c>
      <c r="H2899" s="33"/>
      <c r="I2899" s="33"/>
      <c r="J2899" s="33"/>
      <c r="K2899" s="33"/>
      <c r="L2899" s="33"/>
      <c r="M2899" s="33"/>
      <c r="N2899" s="33"/>
      <c r="O2899" s="33"/>
      <c r="P2899" s="33"/>
      <c r="Q2899" s="33"/>
      <c r="R2899" s="33"/>
      <c r="S2899" s="33"/>
      <c r="T2899" s="33"/>
      <c r="U2899" s="33"/>
      <c r="V2899" s="33"/>
      <c r="W2899" s="33"/>
      <c r="X2899" s="33"/>
      <c r="Y2899" s="33"/>
      <c r="Z2899" s="33"/>
      <c r="AA2899" s="33"/>
      <c r="AB2899" s="33"/>
    </row>
    <row r="2900" spans="1:28" x14ac:dyDescent="0.15">
      <c r="A2900" s="46" t="s">
        <v>5851</v>
      </c>
      <c r="B2900" s="52" t="s">
        <v>7361</v>
      </c>
      <c r="C2900" s="53" t="s">
        <v>5852</v>
      </c>
      <c r="D2900" s="54" t="s">
        <v>10339</v>
      </c>
      <c r="E2900" s="50">
        <f t="shared" si="99"/>
        <v>39.671232879999998</v>
      </c>
      <c r="F2900" s="51">
        <f t="shared" si="99"/>
        <v>4.6323969600000003</v>
      </c>
      <c r="H2900" s="33"/>
      <c r="I2900" s="33"/>
      <c r="J2900" s="33"/>
      <c r="K2900" s="33"/>
      <c r="L2900" s="33"/>
      <c r="M2900" s="33"/>
      <c r="N2900" s="33"/>
      <c r="O2900" s="33"/>
      <c r="P2900" s="33"/>
      <c r="Q2900" s="33"/>
      <c r="R2900" s="33"/>
      <c r="S2900" s="33"/>
      <c r="T2900" s="33"/>
      <c r="U2900" s="33"/>
      <c r="V2900" s="33"/>
      <c r="W2900" s="33"/>
      <c r="X2900" s="33"/>
      <c r="Y2900" s="33"/>
      <c r="Z2900" s="33"/>
      <c r="AA2900" s="33"/>
      <c r="AB2900" s="33"/>
    </row>
    <row r="2901" spans="1:28" x14ac:dyDescent="0.15">
      <c r="A2901" s="46" t="s">
        <v>5853</v>
      </c>
      <c r="B2901" s="52" t="s">
        <v>7361</v>
      </c>
      <c r="C2901" s="53" t="s">
        <v>5854</v>
      </c>
      <c r="D2901" s="54" t="s">
        <v>10340</v>
      </c>
      <c r="E2901" s="50">
        <f t="shared" si="99"/>
        <v>39.684931509999998</v>
      </c>
      <c r="F2901" s="51">
        <f t="shared" si="99"/>
        <v>4.6324467399999998</v>
      </c>
      <c r="H2901" s="33"/>
      <c r="I2901" s="33"/>
      <c r="J2901" s="33"/>
      <c r="K2901" s="33"/>
      <c r="L2901" s="33"/>
      <c r="M2901" s="33"/>
      <c r="N2901" s="33"/>
      <c r="O2901" s="33"/>
      <c r="P2901" s="33"/>
      <c r="Q2901" s="33"/>
      <c r="R2901" s="33"/>
      <c r="S2901" s="33"/>
      <c r="T2901" s="33"/>
      <c r="U2901" s="33"/>
      <c r="V2901" s="33"/>
      <c r="W2901" s="33"/>
      <c r="X2901" s="33"/>
      <c r="Y2901" s="33"/>
      <c r="Z2901" s="33"/>
      <c r="AA2901" s="33"/>
      <c r="AB2901" s="33"/>
    </row>
    <row r="2902" spans="1:28" x14ac:dyDescent="0.15">
      <c r="A2902" s="46" t="s">
        <v>5855</v>
      </c>
      <c r="B2902" s="52" t="s">
        <v>7361</v>
      </c>
      <c r="C2902" s="53" t="s">
        <v>5856</v>
      </c>
      <c r="D2902" s="54" t="s">
        <v>10341</v>
      </c>
      <c r="E2902" s="50">
        <f t="shared" si="99"/>
        <v>39.698630139999999</v>
      </c>
      <c r="F2902" s="51">
        <f t="shared" si="99"/>
        <v>4.6324975200000003</v>
      </c>
      <c r="H2902" s="33"/>
      <c r="I2902" s="33"/>
      <c r="J2902" s="33"/>
      <c r="K2902" s="33"/>
      <c r="L2902" s="33"/>
      <c r="M2902" s="33"/>
      <c r="N2902" s="33"/>
      <c r="O2902" s="33"/>
      <c r="P2902" s="33"/>
      <c r="Q2902" s="33"/>
      <c r="R2902" s="33"/>
      <c r="S2902" s="33"/>
      <c r="T2902" s="33"/>
      <c r="U2902" s="33"/>
      <c r="V2902" s="33"/>
      <c r="W2902" s="33"/>
      <c r="X2902" s="33"/>
      <c r="Y2902" s="33"/>
      <c r="Z2902" s="33"/>
      <c r="AA2902" s="33"/>
      <c r="AB2902" s="33"/>
    </row>
    <row r="2903" spans="1:28" x14ac:dyDescent="0.15">
      <c r="A2903" s="46" t="s">
        <v>5857</v>
      </c>
      <c r="B2903" s="52" t="s">
        <v>7361</v>
      </c>
      <c r="C2903" s="53" t="s">
        <v>5858</v>
      </c>
      <c r="D2903" s="54" t="s">
        <v>10342</v>
      </c>
      <c r="E2903" s="50">
        <f t="shared" si="99"/>
        <v>39.712328769999999</v>
      </c>
      <c r="F2903" s="51">
        <f t="shared" si="99"/>
        <v>4.6325492199999996</v>
      </c>
      <c r="H2903" s="33"/>
      <c r="I2903" s="33"/>
      <c r="J2903" s="33"/>
      <c r="K2903" s="33"/>
      <c r="L2903" s="33"/>
      <c r="M2903" s="33"/>
      <c r="N2903" s="33"/>
      <c r="O2903" s="33"/>
      <c r="P2903" s="33"/>
      <c r="Q2903" s="33"/>
      <c r="R2903" s="33"/>
      <c r="S2903" s="33"/>
      <c r="T2903" s="33"/>
      <c r="U2903" s="33"/>
      <c r="V2903" s="33"/>
      <c r="W2903" s="33"/>
      <c r="X2903" s="33"/>
      <c r="Y2903" s="33"/>
      <c r="Z2903" s="33"/>
      <c r="AA2903" s="33"/>
      <c r="AB2903" s="33"/>
    </row>
    <row r="2904" spans="1:28" x14ac:dyDescent="0.15">
      <c r="A2904" s="46" t="s">
        <v>5859</v>
      </c>
      <c r="B2904" s="52" t="s">
        <v>7361</v>
      </c>
      <c r="C2904" s="53" t="s">
        <v>5860</v>
      </c>
      <c r="D2904" s="54" t="s">
        <v>10343</v>
      </c>
      <c r="E2904" s="50">
        <f t="shared" si="99"/>
        <v>39.7260274</v>
      </c>
      <c r="F2904" s="51">
        <f t="shared" si="99"/>
        <v>4.6326017300000002</v>
      </c>
      <c r="H2904" s="33"/>
      <c r="I2904" s="33"/>
      <c r="J2904" s="33"/>
      <c r="K2904" s="33"/>
      <c r="L2904" s="33"/>
      <c r="M2904" s="33"/>
      <c r="N2904" s="33"/>
      <c r="O2904" s="33"/>
      <c r="P2904" s="33"/>
      <c r="Q2904" s="33"/>
      <c r="R2904" s="33"/>
      <c r="S2904" s="33"/>
      <c r="T2904" s="33"/>
      <c r="U2904" s="33"/>
      <c r="V2904" s="33"/>
      <c r="W2904" s="33"/>
      <c r="X2904" s="33"/>
      <c r="Y2904" s="33"/>
      <c r="Z2904" s="33"/>
      <c r="AA2904" s="33"/>
      <c r="AB2904" s="33"/>
    </row>
    <row r="2905" spans="1:28" x14ac:dyDescent="0.15">
      <c r="A2905" s="46" t="s">
        <v>5861</v>
      </c>
      <c r="B2905" s="52" t="s">
        <v>7361</v>
      </c>
      <c r="C2905" s="53" t="s">
        <v>5862</v>
      </c>
      <c r="D2905" s="54" t="s">
        <v>10344</v>
      </c>
      <c r="E2905" s="50">
        <f t="shared" si="99"/>
        <v>39.73972603</v>
      </c>
      <c r="F2905" s="51">
        <f t="shared" si="99"/>
        <v>4.6326549699999999</v>
      </c>
      <c r="H2905" s="33"/>
      <c r="I2905" s="33"/>
      <c r="J2905" s="33"/>
      <c r="K2905" s="33"/>
      <c r="L2905" s="33"/>
      <c r="M2905" s="33"/>
      <c r="N2905" s="33"/>
      <c r="O2905" s="33"/>
      <c r="P2905" s="33"/>
      <c r="Q2905" s="33"/>
      <c r="R2905" s="33"/>
      <c r="S2905" s="33"/>
      <c r="T2905" s="33"/>
      <c r="U2905" s="33"/>
      <c r="V2905" s="33"/>
      <c r="W2905" s="33"/>
      <c r="X2905" s="33"/>
      <c r="Y2905" s="33"/>
      <c r="Z2905" s="33"/>
      <c r="AA2905" s="33"/>
      <c r="AB2905" s="33"/>
    </row>
    <row r="2906" spans="1:28" x14ac:dyDescent="0.15">
      <c r="A2906" s="46" t="s">
        <v>5863</v>
      </c>
      <c r="B2906" s="52" t="s">
        <v>7361</v>
      </c>
      <c r="C2906" s="53" t="s">
        <v>5864</v>
      </c>
      <c r="D2906" s="54" t="s">
        <v>10345</v>
      </c>
      <c r="E2906" s="50">
        <f t="shared" si="99"/>
        <v>39.75342466</v>
      </c>
      <c r="F2906" s="51">
        <f t="shared" si="99"/>
        <v>4.6327088500000002</v>
      </c>
      <c r="H2906" s="33"/>
      <c r="I2906" s="33"/>
      <c r="J2906" s="33"/>
      <c r="K2906" s="33"/>
      <c r="L2906" s="33"/>
      <c r="M2906" s="33"/>
      <c r="N2906" s="33"/>
      <c r="O2906" s="33"/>
      <c r="P2906" s="33"/>
      <c r="Q2906" s="33"/>
      <c r="R2906" s="33"/>
      <c r="S2906" s="33"/>
      <c r="T2906" s="33"/>
      <c r="U2906" s="33"/>
      <c r="V2906" s="33"/>
      <c r="W2906" s="33"/>
      <c r="X2906" s="33"/>
      <c r="Y2906" s="33"/>
      <c r="Z2906" s="33"/>
      <c r="AA2906" s="33"/>
      <c r="AB2906" s="33"/>
    </row>
    <row r="2907" spans="1:28" x14ac:dyDescent="0.15">
      <c r="A2907" s="46" t="s">
        <v>5865</v>
      </c>
      <c r="B2907" s="52" t="s">
        <v>7361</v>
      </c>
      <c r="C2907" s="53" t="s">
        <v>5866</v>
      </c>
      <c r="D2907" s="54" t="s">
        <v>10346</v>
      </c>
      <c r="E2907" s="50">
        <f t="shared" si="99"/>
        <v>39.767123290000001</v>
      </c>
      <c r="F2907" s="51">
        <f t="shared" si="99"/>
        <v>4.6327632599999999</v>
      </c>
      <c r="H2907" s="33"/>
      <c r="I2907" s="33"/>
      <c r="J2907" s="33"/>
      <c r="K2907" s="33"/>
      <c r="L2907" s="33"/>
      <c r="M2907" s="33"/>
      <c r="N2907" s="33"/>
      <c r="O2907" s="33"/>
      <c r="P2907" s="33"/>
      <c r="Q2907" s="33"/>
      <c r="R2907" s="33"/>
      <c r="S2907" s="33"/>
      <c r="T2907" s="33"/>
      <c r="U2907" s="33"/>
      <c r="V2907" s="33"/>
      <c r="W2907" s="33"/>
      <c r="X2907" s="33"/>
      <c r="Y2907" s="33"/>
      <c r="Z2907" s="33"/>
      <c r="AA2907" s="33"/>
      <c r="AB2907" s="33"/>
    </row>
    <row r="2908" spans="1:28" x14ac:dyDescent="0.15">
      <c r="A2908" s="46" t="s">
        <v>5867</v>
      </c>
      <c r="B2908" s="52" t="s">
        <v>7361</v>
      </c>
      <c r="C2908" s="53" t="s">
        <v>5868</v>
      </c>
      <c r="D2908" s="54" t="s">
        <v>10347</v>
      </c>
      <c r="E2908" s="50">
        <f t="shared" si="99"/>
        <v>39.780821920000001</v>
      </c>
      <c r="F2908" s="51">
        <f t="shared" si="99"/>
        <v>4.6328181199999996</v>
      </c>
      <c r="H2908" s="33"/>
      <c r="I2908" s="33"/>
      <c r="J2908" s="33"/>
      <c r="K2908" s="33"/>
      <c r="L2908" s="33"/>
      <c r="M2908" s="33"/>
      <c r="N2908" s="33"/>
      <c r="O2908" s="33"/>
      <c r="P2908" s="33"/>
      <c r="Q2908" s="33"/>
      <c r="R2908" s="33"/>
      <c r="S2908" s="33"/>
      <c r="T2908" s="33"/>
      <c r="U2908" s="33"/>
      <c r="V2908" s="33"/>
      <c r="W2908" s="33"/>
      <c r="X2908" s="33"/>
      <c r="Y2908" s="33"/>
      <c r="Z2908" s="33"/>
      <c r="AA2908" s="33"/>
      <c r="AB2908" s="33"/>
    </row>
    <row r="2909" spans="1:28" x14ac:dyDescent="0.15">
      <c r="A2909" s="46" t="s">
        <v>5869</v>
      </c>
      <c r="B2909" s="52" t="s">
        <v>7361</v>
      </c>
      <c r="C2909" s="53" t="s">
        <v>5870</v>
      </c>
      <c r="D2909" s="54" t="s">
        <v>10348</v>
      </c>
      <c r="E2909" s="50">
        <f t="shared" si="99"/>
        <v>39.794520550000001</v>
      </c>
      <c r="F2909" s="51">
        <f t="shared" si="99"/>
        <v>4.6328733399999997</v>
      </c>
      <c r="H2909" s="33"/>
      <c r="I2909" s="33"/>
      <c r="J2909" s="33"/>
      <c r="K2909" s="33"/>
      <c r="L2909" s="33"/>
      <c r="M2909" s="33"/>
      <c r="N2909" s="33"/>
      <c r="O2909" s="33"/>
      <c r="P2909" s="33"/>
      <c r="Q2909" s="33"/>
      <c r="R2909" s="33"/>
      <c r="S2909" s="33"/>
      <c r="T2909" s="33"/>
      <c r="U2909" s="33"/>
      <c r="V2909" s="33"/>
      <c r="W2909" s="33"/>
      <c r="X2909" s="33"/>
      <c r="Y2909" s="33"/>
      <c r="Z2909" s="33"/>
      <c r="AA2909" s="33"/>
      <c r="AB2909" s="33"/>
    </row>
    <row r="2910" spans="1:28" x14ac:dyDescent="0.15">
      <c r="A2910" s="46" t="s">
        <v>5871</v>
      </c>
      <c r="B2910" s="52" t="s">
        <v>7361</v>
      </c>
      <c r="C2910" s="53" t="s">
        <v>5872</v>
      </c>
      <c r="D2910" s="54" t="s">
        <v>10349</v>
      </c>
      <c r="E2910" s="50">
        <f t="shared" si="99"/>
        <v>39.808219180000002</v>
      </c>
      <c r="F2910" s="51">
        <f t="shared" si="99"/>
        <v>4.6329288200000001</v>
      </c>
      <c r="H2910" s="33"/>
      <c r="I2910" s="33"/>
      <c r="J2910" s="33"/>
      <c r="K2910" s="33"/>
      <c r="L2910" s="33"/>
      <c r="M2910" s="33"/>
      <c r="N2910" s="33"/>
      <c r="O2910" s="33"/>
      <c r="P2910" s="33"/>
      <c r="Q2910" s="33"/>
      <c r="R2910" s="33"/>
      <c r="S2910" s="33"/>
      <c r="T2910" s="33"/>
      <c r="U2910" s="33"/>
      <c r="V2910" s="33"/>
      <c r="W2910" s="33"/>
      <c r="X2910" s="33"/>
      <c r="Y2910" s="33"/>
      <c r="Z2910" s="33"/>
      <c r="AA2910" s="33"/>
      <c r="AB2910" s="33"/>
    </row>
    <row r="2911" spans="1:28" x14ac:dyDescent="0.15">
      <c r="A2911" s="46" t="s">
        <v>5873</v>
      </c>
      <c r="B2911" s="52" t="s">
        <v>7361</v>
      </c>
      <c r="C2911" s="53" t="s">
        <v>5874</v>
      </c>
      <c r="D2911" s="54" t="s">
        <v>10350</v>
      </c>
      <c r="E2911" s="50">
        <f t="shared" si="99"/>
        <v>39.821917810000002</v>
      </c>
      <c r="F2911" s="51">
        <f t="shared" si="99"/>
        <v>4.6329844800000002</v>
      </c>
      <c r="H2911" s="33"/>
      <c r="I2911" s="33"/>
      <c r="J2911" s="33"/>
      <c r="K2911" s="33"/>
      <c r="L2911" s="33"/>
      <c r="M2911" s="33"/>
      <c r="N2911" s="33"/>
      <c r="O2911" s="33"/>
      <c r="P2911" s="33"/>
      <c r="Q2911" s="33"/>
      <c r="R2911" s="33"/>
      <c r="S2911" s="33"/>
      <c r="T2911" s="33"/>
      <c r="U2911" s="33"/>
      <c r="V2911" s="33"/>
      <c r="W2911" s="33"/>
      <c r="X2911" s="33"/>
      <c r="Y2911" s="33"/>
      <c r="Z2911" s="33"/>
      <c r="AA2911" s="33"/>
      <c r="AB2911" s="33"/>
    </row>
    <row r="2912" spans="1:28" x14ac:dyDescent="0.15">
      <c r="A2912" s="46" t="s">
        <v>5875</v>
      </c>
      <c r="B2912" s="52" t="s">
        <v>7361</v>
      </c>
      <c r="C2912" s="53" t="s">
        <v>5876</v>
      </c>
      <c r="D2912" s="54" t="s">
        <v>10351</v>
      </c>
      <c r="E2912" s="50">
        <f t="shared" si="99"/>
        <v>39.835616440000003</v>
      </c>
      <c r="F2912" s="51">
        <f t="shared" si="99"/>
        <v>4.6330402099999999</v>
      </c>
      <c r="H2912" s="33"/>
      <c r="I2912" s="33"/>
      <c r="J2912" s="33"/>
      <c r="K2912" s="33"/>
      <c r="L2912" s="33"/>
      <c r="M2912" s="33"/>
      <c r="N2912" s="33"/>
      <c r="O2912" s="33"/>
      <c r="P2912" s="33"/>
      <c r="Q2912" s="33"/>
      <c r="R2912" s="33"/>
      <c r="S2912" s="33"/>
      <c r="T2912" s="33"/>
      <c r="U2912" s="33"/>
      <c r="V2912" s="33"/>
      <c r="W2912" s="33"/>
      <c r="X2912" s="33"/>
      <c r="Y2912" s="33"/>
      <c r="Z2912" s="33"/>
      <c r="AA2912" s="33"/>
      <c r="AB2912" s="33"/>
    </row>
    <row r="2913" spans="1:28" x14ac:dyDescent="0.15">
      <c r="A2913" s="46" t="s">
        <v>5877</v>
      </c>
      <c r="B2913" s="52" t="s">
        <v>7361</v>
      </c>
      <c r="C2913" s="53" t="s">
        <v>5878</v>
      </c>
      <c r="D2913" s="54" t="s">
        <v>10352</v>
      </c>
      <c r="E2913" s="50">
        <f t="shared" si="99"/>
        <v>39.849315070000003</v>
      </c>
      <c r="F2913" s="51">
        <f t="shared" si="99"/>
        <v>4.6330959199999997</v>
      </c>
      <c r="H2913" s="33"/>
      <c r="I2913" s="33"/>
      <c r="J2913" s="33"/>
      <c r="K2913" s="33"/>
      <c r="L2913" s="33"/>
      <c r="M2913" s="33"/>
      <c r="N2913" s="33"/>
      <c r="O2913" s="33"/>
      <c r="P2913" s="33"/>
      <c r="Q2913" s="33"/>
      <c r="R2913" s="33"/>
      <c r="S2913" s="33"/>
      <c r="T2913" s="33"/>
      <c r="U2913" s="33"/>
      <c r="V2913" s="33"/>
      <c r="W2913" s="33"/>
      <c r="X2913" s="33"/>
      <c r="Y2913" s="33"/>
      <c r="Z2913" s="33"/>
      <c r="AA2913" s="33"/>
      <c r="AB2913" s="33"/>
    </row>
    <row r="2914" spans="1:28" x14ac:dyDescent="0.15">
      <c r="A2914" s="46" t="s">
        <v>5879</v>
      </c>
      <c r="B2914" s="52" t="s">
        <v>7361</v>
      </c>
      <c r="C2914" s="53" t="s">
        <v>5880</v>
      </c>
      <c r="D2914" s="54" t="s">
        <v>10353</v>
      </c>
      <c r="E2914" s="50">
        <f t="shared" si="99"/>
        <v>39.863013700000003</v>
      </c>
      <c r="F2914" s="51">
        <f t="shared" si="99"/>
        <v>4.6331515200000002</v>
      </c>
      <c r="H2914" s="33"/>
      <c r="I2914" s="33"/>
      <c r="J2914" s="33"/>
      <c r="K2914" s="33"/>
      <c r="L2914" s="33"/>
      <c r="M2914" s="33"/>
      <c r="N2914" s="33"/>
      <c r="O2914" s="33"/>
      <c r="P2914" s="33"/>
      <c r="Q2914" s="33"/>
      <c r="R2914" s="33"/>
      <c r="S2914" s="33"/>
      <c r="T2914" s="33"/>
      <c r="U2914" s="33"/>
      <c r="V2914" s="33"/>
      <c r="W2914" s="33"/>
      <c r="X2914" s="33"/>
      <c r="Y2914" s="33"/>
      <c r="Z2914" s="33"/>
      <c r="AA2914" s="33"/>
      <c r="AB2914" s="33"/>
    </row>
    <row r="2915" spans="1:28" x14ac:dyDescent="0.15">
      <c r="A2915" s="46" t="s">
        <v>5881</v>
      </c>
      <c r="B2915" s="52" t="s">
        <v>7361</v>
      </c>
      <c r="C2915" s="53" t="s">
        <v>5882</v>
      </c>
      <c r="D2915" s="54" t="s">
        <v>10354</v>
      </c>
      <c r="E2915" s="50">
        <f t="shared" si="99"/>
        <v>39.876712329999997</v>
      </c>
      <c r="F2915" s="51">
        <f t="shared" si="99"/>
        <v>4.6332069300000001</v>
      </c>
      <c r="H2915" s="33"/>
      <c r="I2915" s="33"/>
      <c r="J2915" s="33"/>
      <c r="K2915" s="33"/>
      <c r="L2915" s="33"/>
      <c r="M2915" s="33"/>
      <c r="N2915" s="33"/>
      <c r="O2915" s="33"/>
      <c r="P2915" s="33"/>
      <c r="Q2915" s="33"/>
      <c r="R2915" s="33"/>
      <c r="S2915" s="33"/>
      <c r="T2915" s="33"/>
      <c r="U2915" s="33"/>
      <c r="V2915" s="33"/>
      <c r="W2915" s="33"/>
      <c r="X2915" s="33"/>
      <c r="Y2915" s="33"/>
      <c r="Z2915" s="33"/>
      <c r="AA2915" s="33"/>
      <c r="AB2915" s="33"/>
    </row>
    <row r="2916" spans="1:28" x14ac:dyDescent="0.15">
      <c r="A2916" s="46" t="s">
        <v>5883</v>
      </c>
      <c r="B2916" s="52" t="s">
        <v>7361</v>
      </c>
      <c r="C2916" s="53" t="s">
        <v>5884</v>
      </c>
      <c r="D2916" s="54" t="s">
        <v>10355</v>
      </c>
      <c r="E2916" s="50">
        <f t="shared" si="99"/>
        <v>39.890410959999997</v>
      </c>
      <c r="F2916" s="51">
        <f t="shared" si="99"/>
        <v>4.63326204</v>
      </c>
      <c r="H2916" s="33"/>
      <c r="I2916" s="33"/>
      <c r="J2916" s="33"/>
      <c r="K2916" s="33"/>
      <c r="L2916" s="33"/>
      <c r="M2916" s="33"/>
      <c r="N2916" s="33"/>
      <c r="O2916" s="33"/>
      <c r="P2916" s="33"/>
      <c r="Q2916" s="33"/>
      <c r="R2916" s="33"/>
      <c r="S2916" s="33"/>
      <c r="T2916" s="33"/>
      <c r="U2916" s="33"/>
      <c r="V2916" s="33"/>
      <c r="W2916" s="33"/>
      <c r="X2916" s="33"/>
      <c r="Y2916" s="33"/>
      <c r="Z2916" s="33"/>
      <c r="AA2916" s="33"/>
      <c r="AB2916" s="33"/>
    </row>
    <row r="2917" spans="1:28" x14ac:dyDescent="0.15">
      <c r="A2917" s="46" t="s">
        <v>5885</v>
      </c>
      <c r="B2917" s="52" t="s">
        <v>7361</v>
      </c>
      <c r="C2917" s="53" t="s">
        <v>5886</v>
      </c>
      <c r="D2917" s="54" t="s">
        <v>10356</v>
      </c>
      <c r="E2917" s="50">
        <f t="shared" si="99"/>
        <v>39.904109589999997</v>
      </c>
      <c r="F2917" s="51">
        <f t="shared" si="99"/>
        <v>4.6333167599999996</v>
      </c>
      <c r="H2917" s="33"/>
      <c r="I2917" s="33"/>
      <c r="J2917" s="33"/>
      <c r="K2917" s="33"/>
      <c r="L2917" s="33"/>
      <c r="M2917" s="33"/>
      <c r="N2917" s="33"/>
      <c r="O2917" s="33"/>
      <c r="P2917" s="33"/>
      <c r="Q2917" s="33"/>
      <c r="R2917" s="33"/>
      <c r="S2917" s="33"/>
      <c r="T2917" s="33"/>
      <c r="U2917" s="33"/>
      <c r="V2917" s="33"/>
      <c r="W2917" s="33"/>
      <c r="X2917" s="33"/>
      <c r="Y2917" s="33"/>
      <c r="Z2917" s="33"/>
      <c r="AA2917" s="33"/>
      <c r="AB2917" s="33"/>
    </row>
    <row r="2918" spans="1:28" x14ac:dyDescent="0.15">
      <c r="A2918" s="46" t="s">
        <v>5887</v>
      </c>
      <c r="B2918" s="52" t="s">
        <v>7361</v>
      </c>
      <c r="C2918" s="53" t="s">
        <v>5888</v>
      </c>
      <c r="D2918" s="54" t="s">
        <v>10357</v>
      </c>
      <c r="E2918" s="50">
        <f t="shared" si="99"/>
        <v>39.917808219999998</v>
      </c>
      <c r="F2918" s="51">
        <f t="shared" si="99"/>
        <v>4.6333710100000003</v>
      </c>
      <c r="H2918" s="33"/>
      <c r="I2918" s="33"/>
      <c r="J2918" s="33"/>
      <c r="K2918" s="33"/>
      <c r="L2918" s="33"/>
      <c r="M2918" s="33"/>
      <c r="N2918" s="33"/>
      <c r="O2918" s="33"/>
      <c r="P2918" s="33"/>
      <c r="Q2918" s="33"/>
      <c r="R2918" s="33"/>
      <c r="S2918" s="33"/>
      <c r="T2918" s="33"/>
      <c r="U2918" s="33"/>
      <c r="V2918" s="33"/>
      <c r="W2918" s="33"/>
      <c r="X2918" s="33"/>
      <c r="Y2918" s="33"/>
      <c r="Z2918" s="33"/>
      <c r="AA2918" s="33"/>
      <c r="AB2918" s="33"/>
    </row>
    <row r="2919" spans="1:28" x14ac:dyDescent="0.15">
      <c r="A2919" s="46" t="s">
        <v>5889</v>
      </c>
      <c r="B2919" s="52" t="s">
        <v>7361</v>
      </c>
      <c r="C2919" s="53" t="s">
        <v>5890</v>
      </c>
      <c r="D2919" s="54" t="s">
        <v>10358</v>
      </c>
      <c r="E2919" s="50">
        <f t="shared" si="99"/>
        <v>39.931506849999998</v>
      </c>
      <c r="F2919" s="51">
        <f t="shared" si="99"/>
        <v>4.6334246800000001</v>
      </c>
      <c r="H2919" s="33"/>
      <c r="I2919" s="33"/>
      <c r="J2919" s="33"/>
      <c r="K2919" s="33"/>
      <c r="L2919" s="33"/>
      <c r="M2919" s="33"/>
      <c r="N2919" s="33"/>
      <c r="O2919" s="33"/>
      <c r="P2919" s="33"/>
      <c r="Q2919" s="33"/>
      <c r="R2919" s="33"/>
      <c r="S2919" s="33"/>
      <c r="T2919" s="33"/>
      <c r="U2919" s="33"/>
      <c r="V2919" s="33"/>
      <c r="W2919" s="33"/>
      <c r="X2919" s="33"/>
      <c r="Y2919" s="33"/>
      <c r="Z2919" s="33"/>
      <c r="AA2919" s="33"/>
      <c r="AB2919" s="33"/>
    </row>
    <row r="2920" spans="1:28" x14ac:dyDescent="0.15">
      <c r="A2920" s="46" t="s">
        <v>5891</v>
      </c>
      <c r="B2920" s="52" t="s">
        <v>7361</v>
      </c>
      <c r="C2920" s="53" t="s">
        <v>5892</v>
      </c>
      <c r="D2920" s="54" t="s">
        <v>10359</v>
      </c>
      <c r="E2920" s="50">
        <f t="shared" si="99"/>
        <v>39.945205479999998</v>
      </c>
      <c r="F2920" s="51">
        <f t="shared" si="99"/>
        <v>4.6334776900000003</v>
      </c>
      <c r="H2920" s="33"/>
      <c r="I2920" s="33"/>
      <c r="J2920" s="33"/>
      <c r="K2920" s="33"/>
      <c r="L2920" s="33"/>
      <c r="M2920" s="33"/>
      <c r="N2920" s="33"/>
      <c r="O2920" s="33"/>
      <c r="P2920" s="33"/>
      <c r="Q2920" s="33"/>
      <c r="R2920" s="33"/>
      <c r="S2920" s="33"/>
      <c r="T2920" s="33"/>
      <c r="U2920" s="33"/>
      <c r="V2920" s="33"/>
      <c r="W2920" s="33"/>
      <c r="X2920" s="33"/>
      <c r="Y2920" s="33"/>
      <c r="Z2920" s="33"/>
      <c r="AA2920" s="33"/>
      <c r="AB2920" s="33"/>
    </row>
    <row r="2921" spans="1:28" x14ac:dyDescent="0.15">
      <c r="A2921" s="46" t="s">
        <v>5893</v>
      </c>
      <c r="B2921" s="52" t="s">
        <v>7361</v>
      </c>
      <c r="C2921" s="53" t="s">
        <v>5894</v>
      </c>
      <c r="D2921" s="54" t="s">
        <v>10360</v>
      </c>
      <c r="E2921" s="50">
        <f t="shared" si="99"/>
        <v>39.958904109999999</v>
      </c>
      <c r="F2921" s="51">
        <f t="shared" si="99"/>
        <v>4.6335299399999998</v>
      </c>
      <c r="H2921" s="33"/>
      <c r="I2921" s="33"/>
      <c r="J2921" s="33"/>
      <c r="K2921" s="33"/>
      <c r="L2921" s="33"/>
      <c r="M2921" s="33"/>
      <c r="N2921" s="33"/>
      <c r="O2921" s="33"/>
      <c r="P2921" s="33"/>
      <c r="Q2921" s="33"/>
      <c r="R2921" s="33"/>
      <c r="S2921" s="33"/>
      <c r="T2921" s="33"/>
      <c r="U2921" s="33"/>
      <c r="V2921" s="33"/>
      <c r="W2921" s="33"/>
      <c r="X2921" s="33"/>
      <c r="Y2921" s="33"/>
      <c r="Z2921" s="33"/>
      <c r="AA2921" s="33"/>
      <c r="AB2921" s="33"/>
    </row>
    <row r="2922" spans="1:28" x14ac:dyDescent="0.15">
      <c r="A2922" s="46" t="s">
        <v>5895</v>
      </c>
      <c r="B2922" s="52" t="s">
        <v>7361</v>
      </c>
      <c r="C2922" s="53" t="s">
        <v>5896</v>
      </c>
      <c r="D2922" s="54" t="s">
        <v>10361</v>
      </c>
      <c r="E2922" s="50">
        <f t="shared" si="99"/>
        <v>39.972602739999999</v>
      </c>
      <c r="F2922" s="51">
        <f t="shared" si="99"/>
        <v>4.6335813400000001</v>
      </c>
      <c r="H2922" s="33"/>
      <c r="I2922" s="33"/>
      <c r="J2922" s="33"/>
      <c r="K2922" s="33"/>
      <c r="L2922" s="33"/>
      <c r="M2922" s="33"/>
      <c r="N2922" s="33"/>
      <c r="O2922" s="33"/>
      <c r="P2922" s="33"/>
      <c r="Q2922" s="33"/>
      <c r="R2922" s="33"/>
      <c r="S2922" s="33"/>
      <c r="T2922" s="33"/>
      <c r="U2922" s="33"/>
      <c r="V2922" s="33"/>
      <c r="W2922" s="33"/>
      <c r="X2922" s="33"/>
      <c r="Y2922" s="33"/>
      <c r="Z2922" s="33"/>
      <c r="AA2922" s="33"/>
      <c r="AB2922" s="33"/>
    </row>
    <row r="2923" spans="1:28" x14ac:dyDescent="0.15">
      <c r="A2923" s="46" t="s">
        <v>5897</v>
      </c>
      <c r="B2923" s="52" t="s">
        <v>7361</v>
      </c>
      <c r="C2923" s="53" t="s">
        <v>5898</v>
      </c>
      <c r="D2923" s="54" t="s">
        <v>10362</v>
      </c>
      <c r="E2923" s="50">
        <f t="shared" si="99"/>
        <v>39.98630137</v>
      </c>
      <c r="F2923" s="51">
        <f t="shared" si="99"/>
        <v>4.6336317999999999</v>
      </c>
      <c r="H2923" s="33"/>
      <c r="I2923" s="33"/>
      <c r="J2923" s="33"/>
      <c r="K2923" s="33"/>
      <c r="L2923" s="33"/>
      <c r="M2923" s="33"/>
      <c r="N2923" s="33"/>
      <c r="O2923" s="33"/>
      <c r="P2923" s="33"/>
      <c r="Q2923" s="33"/>
      <c r="R2923" s="33"/>
      <c r="S2923" s="33"/>
      <c r="T2923" s="33"/>
      <c r="U2923" s="33"/>
      <c r="V2923" s="33"/>
      <c r="W2923" s="33"/>
      <c r="X2923" s="33"/>
      <c r="Y2923" s="33"/>
      <c r="Z2923" s="33"/>
      <c r="AA2923" s="33"/>
      <c r="AB2923" s="33"/>
    </row>
    <row r="2924" spans="1:28" x14ac:dyDescent="0.15">
      <c r="A2924" s="46" t="s">
        <v>5899</v>
      </c>
      <c r="B2924" s="52" t="s">
        <v>7361</v>
      </c>
      <c r="C2924" s="53" t="s">
        <v>5900</v>
      </c>
      <c r="D2924" s="54" t="s">
        <v>10363</v>
      </c>
      <c r="E2924" s="50">
        <f t="shared" si="99"/>
        <v>40</v>
      </c>
      <c r="F2924" s="51">
        <f t="shared" si="99"/>
        <v>4.6336812199999997</v>
      </c>
      <c r="H2924" s="33"/>
      <c r="I2924" s="33"/>
      <c r="J2924" s="33"/>
      <c r="K2924" s="33"/>
      <c r="L2924" s="33"/>
      <c r="M2924" s="33"/>
      <c r="N2924" s="33"/>
      <c r="O2924" s="33"/>
      <c r="P2924" s="33"/>
      <c r="Q2924" s="33"/>
      <c r="R2924" s="33"/>
      <c r="S2924" s="33"/>
      <c r="T2924" s="33"/>
      <c r="U2924" s="33"/>
      <c r="V2924" s="33"/>
      <c r="W2924" s="33"/>
      <c r="X2924" s="33"/>
      <c r="Y2924" s="33"/>
      <c r="Z2924" s="33"/>
      <c r="AA2924" s="33"/>
      <c r="AB2924" s="33"/>
    </row>
    <row r="2925" spans="1:28" x14ac:dyDescent="0.15">
      <c r="A2925" s="46" t="s">
        <v>5901</v>
      </c>
      <c r="B2925" s="52" t="s">
        <v>7361</v>
      </c>
      <c r="C2925" s="53" t="s">
        <v>5902</v>
      </c>
      <c r="D2925" s="54" t="s">
        <v>10364</v>
      </c>
      <c r="E2925" s="50">
        <f t="shared" si="99"/>
        <v>40.01369863</v>
      </c>
      <c r="F2925" s="51">
        <f t="shared" si="99"/>
        <v>4.6337303800000003</v>
      </c>
      <c r="H2925" s="33"/>
      <c r="I2925" s="33"/>
      <c r="J2925" s="33"/>
      <c r="K2925" s="33"/>
      <c r="L2925" s="33"/>
      <c r="M2925" s="33"/>
      <c r="N2925" s="33"/>
      <c r="O2925" s="33"/>
      <c r="P2925" s="33"/>
      <c r="Q2925" s="33"/>
      <c r="R2925" s="33"/>
      <c r="S2925" s="33"/>
      <c r="T2925" s="33"/>
      <c r="U2925" s="33"/>
      <c r="V2925" s="33"/>
      <c r="W2925" s="33"/>
      <c r="X2925" s="33"/>
      <c r="Y2925" s="33"/>
      <c r="Z2925" s="33"/>
      <c r="AA2925" s="33"/>
      <c r="AB2925" s="33"/>
    </row>
    <row r="2926" spans="1:28" x14ac:dyDescent="0.15">
      <c r="A2926" s="46" t="s">
        <v>5903</v>
      </c>
      <c r="B2926" s="52" t="s">
        <v>7361</v>
      </c>
      <c r="C2926" s="53" t="s">
        <v>5904</v>
      </c>
      <c r="D2926" s="54" t="s">
        <v>10365</v>
      </c>
      <c r="E2926" s="50">
        <f t="shared" si="99"/>
        <v>40.027397260000001</v>
      </c>
      <c r="F2926" s="51">
        <f t="shared" si="99"/>
        <v>4.63378011</v>
      </c>
      <c r="H2926" s="33"/>
      <c r="I2926" s="33"/>
      <c r="J2926" s="33"/>
      <c r="K2926" s="33"/>
      <c r="L2926" s="33"/>
      <c r="M2926" s="33"/>
      <c r="N2926" s="33"/>
      <c r="O2926" s="33"/>
      <c r="P2926" s="33"/>
      <c r="Q2926" s="33"/>
      <c r="R2926" s="33"/>
      <c r="S2926" s="33"/>
      <c r="T2926" s="33"/>
      <c r="U2926" s="33"/>
      <c r="V2926" s="33"/>
      <c r="W2926" s="33"/>
      <c r="X2926" s="33"/>
      <c r="Y2926" s="33"/>
      <c r="Z2926" s="33"/>
      <c r="AA2926" s="33"/>
      <c r="AB2926" s="33"/>
    </row>
    <row r="2927" spans="1:28" x14ac:dyDescent="0.15">
      <c r="A2927" s="46" t="s">
        <v>5905</v>
      </c>
      <c r="B2927" s="52" t="s">
        <v>7361</v>
      </c>
      <c r="C2927" s="53" t="s">
        <v>5906</v>
      </c>
      <c r="D2927" s="54" t="s">
        <v>10366</v>
      </c>
      <c r="E2927" s="50">
        <f t="shared" si="99"/>
        <v>40.041095890000001</v>
      </c>
      <c r="F2927" s="51">
        <f t="shared" si="99"/>
        <v>4.6338303700000001</v>
      </c>
      <c r="H2927" s="33"/>
      <c r="I2927" s="33"/>
      <c r="J2927" s="33"/>
      <c r="K2927" s="33"/>
      <c r="L2927" s="33"/>
      <c r="M2927" s="33"/>
      <c r="N2927" s="33"/>
      <c r="O2927" s="33"/>
      <c r="P2927" s="33"/>
      <c r="Q2927" s="33"/>
      <c r="R2927" s="33"/>
      <c r="S2927" s="33"/>
      <c r="T2927" s="33"/>
      <c r="U2927" s="33"/>
      <c r="V2927" s="33"/>
      <c r="W2927" s="33"/>
      <c r="X2927" s="33"/>
      <c r="Y2927" s="33"/>
      <c r="Z2927" s="33"/>
      <c r="AA2927" s="33"/>
      <c r="AB2927" s="33"/>
    </row>
    <row r="2928" spans="1:28" x14ac:dyDescent="0.15">
      <c r="A2928" s="46" t="s">
        <v>5907</v>
      </c>
      <c r="B2928" s="52" t="s">
        <v>7361</v>
      </c>
      <c r="C2928" s="53" t="s">
        <v>5908</v>
      </c>
      <c r="D2928" s="54" t="s">
        <v>10367</v>
      </c>
      <c r="E2928" s="50">
        <f t="shared" si="99"/>
        <v>40.054794520000002</v>
      </c>
      <c r="F2928" s="51">
        <f t="shared" si="99"/>
        <v>4.6338811499999997</v>
      </c>
      <c r="H2928" s="33"/>
      <c r="I2928" s="33"/>
      <c r="J2928" s="33"/>
      <c r="K2928" s="33"/>
      <c r="L2928" s="33"/>
      <c r="M2928" s="33"/>
      <c r="N2928" s="33"/>
      <c r="O2928" s="33"/>
      <c r="P2928" s="33"/>
      <c r="Q2928" s="33"/>
      <c r="R2928" s="33"/>
      <c r="S2928" s="33"/>
      <c r="T2928" s="33"/>
      <c r="U2928" s="33"/>
      <c r="V2928" s="33"/>
      <c r="W2928" s="33"/>
      <c r="X2928" s="33"/>
      <c r="Y2928" s="33"/>
      <c r="Z2928" s="33"/>
      <c r="AA2928" s="33"/>
      <c r="AB2928" s="33"/>
    </row>
    <row r="2929" spans="1:28" x14ac:dyDescent="0.15">
      <c r="A2929" s="46" t="s">
        <v>5909</v>
      </c>
      <c r="B2929" s="52" t="s">
        <v>7361</v>
      </c>
      <c r="C2929" s="53" t="s">
        <v>5910</v>
      </c>
      <c r="D2929" s="54" t="s">
        <v>10368</v>
      </c>
      <c r="E2929" s="50">
        <f t="shared" ref="E2929:F2958" si="100">VALUE(C2929)</f>
        <v>40.068493150000002</v>
      </c>
      <c r="F2929" s="51">
        <f t="shared" si="100"/>
        <v>4.6339324199999998</v>
      </c>
      <c r="H2929" s="33"/>
      <c r="I2929" s="33"/>
      <c r="J2929" s="33"/>
      <c r="K2929" s="33"/>
      <c r="L2929" s="33"/>
      <c r="M2929" s="33"/>
      <c r="N2929" s="33"/>
      <c r="O2929" s="33"/>
      <c r="P2929" s="33"/>
      <c r="Q2929" s="33"/>
      <c r="R2929" s="33"/>
      <c r="S2929" s="33"/>
      <c r="T2929" s="33"/>
      <c r="U2929" s="33"/>
      <c r="V2929" s="33"/>
      <c r="W2929" s="33"/>
      <c r="X2929" s="33"/>
      <c r="Y2929" s="33"/>
      <c r="Z2929" s="33"/>
      <c r="AA2929" s="33"/>
      <c r="AB2929" s="33"/>
    </row>
    <row r="2930" spans="1:28" x14ac:dyDescent="0.15">
      <c r="A2930" s="46" t="s">
        <v>5911</v>
      </c>
      <c r="B2930" s="52" t="s">
        <v>7361</v>
      </c>
      <c r="C2930" s="53" t="s">
        <v>5912</v>
      </c>
      <c r="D2930" s="54" t="s">
        <v>10369</v>
      </c>
      <c r="E2930" s="50">
        <f t="shared" si="100"/>
        <v>40.082191780000002</v>
      </c>
      <c r="F2930" s="51">
        <f t="shared" si="100"/>
        <v>4.6339841599999998</v>
      </c>
      <c r="H2930" s="33"/>
      <c r="I2930" s="33"/>
      <c r="J2930" s="33"/>
      <c r="K2930" s="33"/>
      <c r="L2930" s="33"/>
      <c r="M2930" s="33"/>
      <c r="N2930" s="33"/>
      <c r="O2930" s="33"/>
      <c r="P2930" s="33"/>
      <c r="Q2930" s="33"/>
      <c r="R2930" s="33"/>
      <c r="S2930" s="33"/>
      <c r="T2930" s="33"/>
      <c r="U2930" s="33"/>
      <c r="V2930" s="33"/>
      <c r="W2930" s="33"/>
      <c r="X2930" s="33"/>
      <c r="Y2930" s="33"/>
      <c r="Z2930" s="33"/>
      <c r="AA2930" s="33"/>
      <c r="AB2930" s="33"/>
    </row>
    <row r="2931" spans="1:28" x14ac:dyDescent="0.15">
      <c r="A2931" s="46" t="s">
        <v>5913</v>
      </c>
      <c r="B2931" s="52" t="s">
        <v>7361</v>
      </c>
      <c r="C2931" s="53" t="s">
        <v>5914</v>
      </c>
      <c r="D2931" s="54" t="s">
        <v>10370</v>
      </c>
      <c r="E2931" s="50">
        <f t="shared" si="100"/>
        <v>40.095890410000003</v>
      </c>
      <c r="F2931" s="51">
        <f t="shared" si="100"/>
        <v>4.6340363399999998</v>
      </c>
      <c r="H2931" s="33"/>
      <c r="I2931" s="33"/>
      <c r="J2931" s="33"/>
      <c r="K2931" s="33"/>
      <c r="L2931" s="33"/>
      <c r="M2931" s="33"/>
      <c r="N2931" s="33"/>
      <c r="O2931" s="33"/>
      <c r="P2931" s="33"/>
      <c r="Q2931" s="33"/>
      <c r="R2931" s="33"/>
      <c r="S2931" s="33"/>
      <c r="T2931" s="33"/>
      <c r="U2931" s="33"/>
      <c r="V2931" s="33"/>
      <c r="W2931" s="33"/>
      <c r="X2931" s="33"/>
      <c r="Y2931" s="33"/>
      <c r="Z2931" s="33"/>
      <c r="AA2931" s="33"/>
      <c r="AB2931" s="33"/>
    </row>
    <row r="2932" spans="1:28" x14ac:dyDescent="0.15">
      <c r="A2932" s="46" t="s">
        <v>5915</v>
      </c>
      <c r="B2932" s="52" t="s">
        <v>7361</v>
      </c>
      <c r="C2932" s="53" t="s">
        <v>5916</v>
      </c>
      <c r="D2932" s="54" t="s">
        <v>10371</v>
      </c>
      <c r="E2932" s="50">
        <f t="shared" si="100"/>
        <v>40.109589040000003</v>
      </c>
      <c r="F2932" s="51">
        <f t="shared" si="100"/>
        <v>4.6340889399999998</v>
      </c>
      <c r="H2932" s="33"/>
      <c r="I2932" s="33"/>
      <c r="J2932" s="33"/>
      <c r="K2932" s="33"/>
      <c r="L2932" s="33"/>
      <c r="M2932" s="33"/>
      <c r="N2932" s="33"/>
      <c r="O2932" s="33"/>
      <c r="P2932" s="33"/>
      <c r="Q2932" s="33"/>
      <c r="R2932" s="33"/>
      <c r="S2932" s="33"/>
      <c r="T2932" s="33"/>
      <c r="U2932" s="33"/>
      <c r="V2932" s="33"/>
      <c r="W2932" s="33"/>
      <c r="X2932" s="33"/>
      <c r="Y2932" s="33"/>
      <c r="Z2932" s="33"/>
      <c r="AA2932" s="33"/>
      <c r="AB2932" s="33"/>
    </row>
    <row r="2933" spans="1:28" x14ac:dyDescent="0.15">
      <c r="A2933" s="46" t="s">
        <v>5917</v>
      </c>
      <c r="B2933" s="52" t="s">
        <v>7361</v>
      </c>
      <c r="C2933" s="53" t="s">
        <v>5918</v>
      </c>
      <c r="D2933" s="54" t="s">
        <v>10372</v>
      </c>
      <c r="E2933" s="50">
        <f t="shared" si="100"/>
        <v>40.123287670000003</v>
      </c>
      <c r="F2933" s="51">
        <f t="shared" si="100"/>
        <v>4.6341419300000002</v>
      </c>
      <c r="H2933" s="33"/>
      <c r="I2933" s="33"/>
      <c r="J2933" s="33"/>
      <c r="K2933" s="33"/>
      <c r="L2933" s="33"/>
      <c r="M2933" s="33"/>
      <c r="N2933" s="33"/>
      <c r="O2933" s="33"/>
      <c r="P2933" s="33"/>
      <c r="Q2933" s="33"/>
      <c r="R2933" s="33"/>
      <c r="S2933" s="33"/>
      <c r="T2933" s="33"/>
      <c r="U2933" s="33"/>
      <c r="V2933" s="33"/>
      <c r="W2933" s="33"/>
      <c r="X2933" s="33"/>
      <c r="Y2933" s="33"/>
      <c r="Z2933" s="33"/>
      <c r="AA2933" s="33"/>
      <c r="AB2933" s="33"/>
    </row>
    <row r="2934" spans="1:28" x14ac:dyDescent="0.15">
      <c r="A2934" s="46" t="s">
        <v>5919</v>
      </c>
      <c r="B2934" s="52" t="s">
        <v>7361</v>
      </c>
      <c r="C2934" s="53" t="s">
        <v>5920</v>
      </c>
      <c r="D2934" s="54" t="s">
        <v>10373</v>
      </c>
      <c r="E2934" s="50">
        <f t="shared" si="100"/>
        <v>40.136986299999997</v>
      </c>
      <c r="F2934" s="51">
        <f t="shared" si="100"/>
        <v>4.6341953</v>
      </c>
      <c r="H2934" s="33"/>
      <c r="I2934" s="33"/>
      <c r="J2934" s="33"/>
      <c r="K2934" s="33"/>
      <c r="L2934" s="33"/>
      <c r="M2934" s="33"/>
      <c r="N2934" s="33"/>
      <c r="O2934" s="33"/>
      <c r="P2934" s="33"/>
      <c r="Q2934" s="33"/>
      <c r="R2934" s="33"/>
      <c r="S2934" s="33"/>
      <c r="T2934" s="33"/>
      <c r="U2934" s="33"/>
      <c r="V2934" s="33"/>
      <c r="W2934" s="33"/>
      <c r="X2934" s="33"/>
      <c r="Y2934" s="33"/>
      <c r="Z2934" s="33"/>
      <c r="AA2934" s="33"/>
      <c r="AB2934" s="33"/>
    </row>
    <row r="2935" spans="1:28" x14ac:dyDescent="0.15">
      <c r="A2935" s="46" t="s">
        <v>5921</v>
      </c>
      <c r="B2935" s="52" t="s">
        <v>7361</v>
      </c>
      <c r="C2935" s="53" t="s">
        <v>5922</v>
      </c>
      <c r="D2935" s="54" t="s">
        <v>10374</v>
      </c>
      <c r="E2935" s="50">
        <f t="shared" si="100"/>
        <v>40.150684929999997</v>
      </c>
      <c r="F2935" s="51">
        <f t="shared" si="100"/>
        <v>4.6342489999999996</v>
      </c>
      <c r="H2935" s="33"/>
      <c r="I2935" s="33"/>
      <c r="J2935" s="33"/>
      <c r="K2935" s="33"/>
      <c r="L2935" s="33"/>
      <c r="M2935" s="33"/>
      <c r="N2935" s="33"/>
      <c r="O2935" s="33"/>
      <c r="P2935" s="33"/>
      <c r="Q2935" s="33"/>
      <c r="R2935" s="33"/>
      <c r="S2935" s="33"/>
      <c r="T2935" s="33"/>
      <c r="U2935" s="33"/>
      <c r="V2935" s="33"/>
      <c r="W2935" s="33"/>
      <c r="X2935" s="33"/>
      <c r="Y2935" s="33"/>
      <c r="Z2935" s="33"/>
      <c r="AA2935" s="33"/>
      <c r="AB2935" s="33"/>
    </row>
    <row r="2936" spans="1:28" x14ac:dyDescent="0.15">
      <c r="A2936" s="46" t="s">
        <v>5923</v>
      </c>
      <c r="B2936" s="52" t="s">
        <v>7361</v>
      </c>
      <c r="C2936" s="53" t="s">
        <v>5924</v>
      </c>
      <c r="D2936" s="54" t="s">
        <v>10375</v>
      </c>
      <c r="E2936" s="50">
        <f t="shared" si="100"/>
        <v>40.164383559999997</v>
      </c>
      <c r="F2936" s="51">
        <f t="shared" si="100"/>
        <v>4.6343030399999998</v>
      </c>
      <c r="H2936" s="33"/>
      <c r="I2936" s="33"/>
      <c r="J2936" s="33"/>
      <c r="K2936" s="33"/>
      <c r="L2936" s="33"/>
      <c r="M2936" s="33"/>
      <c r="N2936" s="33"/>
      <c r="O2936" s="33"/>
      <c r="P2936" s="33"/>
      <c r="Q2936" s="33"/>
      <c r="R2936" s="33"/>
      <c r="S2936" s="33"/>
      <c r="T2936" s="33"/>
      <c r="U2936" s="33"/>
      <c r="V2936" s="33"/>
      <c r="W2936" s="33"/>
      <c r="X2936" s="33"/>
      <c r="Y2936" s="33"/>
      <c r="Z2936" s="33"/>
      <c r="AA2936" s="33"/>
      <c r="AB2936" s="33"/>
    </row>
    <row r="2937" spans="1:28" x14ac:dyDescent="0.15">
      <c r="A2937" s="46" t="s">
        <v>5925</v>
      </c>
      <c r="B2937" s="52" t="s">
        <v>7361</v>
      </c>
      <c r="C2937" s="53" t="s">
        <v>5926</v>
      </c>
      <c r="D2937" s="54" t="s">
        <v>10376</v>
      </c>
      <c r="E2937" s="50">
        <f t="shared" si="100"/>
        <v>40.178082189999998</v>
      </c>
      <c r="F2937" s="51">
        <f t="shared" si="100"/>
        <v>4.6343573600000001</v>
      </c>
      <c r="H2937" s="33"/>
      <c r="I2937" s="33"/>
      <c r="J2937" s="33"/>
      <c r="K2937" s="33"/>
      <c r="L2937" s="33"/>
      <c r="M2937" s="33"/>
      <c r="N2937" s="33"/>
      <c r="O2937" s="33"/>
      <c r="P2937" s="33"/>
      <c r="Q2937" s="33"/>
      <c r="R2937" s="33"/>
      <c r="S2937" s="33"/>
      <c r="T2937" s="33"/>
      <c r="U2937" s="33"/>
      <c r="V2937" s="33"/>
      <c r="W2937" s="33"/>
      <c r="X2937" s="33"/>
      <c r="Y2937" s="33"/>
      <c r="Z2937" s="33"/>
      <c r="AA2937" s="33"/>
      <c r="AB2937" s="33"/>
    </row>
    <row r="2938" spans="1:28" x14ac:dyDescent="0.15">
      <c r="A2938" s="46" t="s">
        <v>5927</v>
      </c>
      <c r="B2938" s="52" t="s">
        <v>7361</v>
      </c>
      <c r="C2938" s="53" t="s">
        <v>5928</v>
      </c>
      <c r="D2938" s="54" t="s">
        <v>10377</v>
      </c>
      <c r="E2938" s="50">
        <f t="shared" si="100"/>
        <v>40.191780819999998</v>
      </c>
      <c r="F2938" s="51">
        <f t="shared" si="100"/>
        <v>4.6344119700000004</v>
      </c>
      <c r="H2938" s="33"/>
      <c r="I2938" s="33"/>
      <c r="J2938" s="33"/>
      <c r="K2938" s="33"/>
      <c r="L2938" s="33"/>
      <c r="M2938" s="33"/>
      <c r="N2938" s="33"/>
      <c r="O2938" s="33"/>
      <c r="P2938" s="33"/>
      <c r="Q2938" s="33"/>
      <c r="R2938" s="33"/>
      <c r="S2938" s="33"/>
      <c r="T2938" s="33"/>
      <c r="U2938" s="33"/>
      <c r="V2938" s="33"/>
      <c r="W2938" s="33"/>
      <c r="X2938" s="33"/>
      <c r="Y2938" s="33"/>
      <c r="Z2938" s="33"/>
      <c r="AA2938" s="33"/>
      <c r="AB2938" s="33"/>
    </row>
    <row r="2939" spans="1:28" x14ac:dyDescent="0.15">
      <c r="A2939" s="46" t="s">
        <v>5929</v>
      </c>
      <c r="B2939" s="52" t="s">
        <v>7361</v>
      </c>
      <c r="C2939" s="53" t="s">
        <v>5930</v>
      </c>
      <c r="D2939" s="54" t="s">
        <v>10378</v>
      </c>
      <c r="E2939" s="50">
        <f t="shared" si="100"/>
        <v>40.205479449999999</v>
      </c>
      <c r="F2939" s="51">
        <f t="shared" si="100"/>
        <v>4.6344668200000001</v>
      </c>
      <c r="H2939" s="33"/>
      <c r="I2939" s="33"/>
      <c r="J2939" s="33"/>
      <c r="K2939" s="33"/>
      <c r="L2939" s="33"/>
      <c r="M2939" s="33"/>
      <c r="N2939" s="33"/>
      <c r="O2939" s="33"/>
      <c r="P2939" s="33"/>
      <c r="Q2939" s="33"/>
      <c r="R2939" s="33"/>
      <c r="S2939" s="33"/>
      <c r="T2939" s="33"/>
      <c r="U2939" s="33"/>
      <c r="V2939" s="33"/>
      <c r="W2939" s="33"/>
      <c r="X2939" s="33"/>
      <c r="Y2939" s="33"/>
      <c r="Z2939" s="33"/>
      <c r="AA2939" s="33"/>
      <c r="AB2939" s="33"/>
    </row>
    <row r="2940" spans="1:28" x14ac:dyDescent="0.15">
      <c r="A2940" s="46" t="s">
        <v>5931</v>
      </c>
      <c r="B2940" s="52" t="s">
        <v>7361</v>
      </c>
      <c r="C2940" s="53" t="s">
        <v>5932</v>
      </c>
      <c r="D2940" s="54" t="s">
        <v>10379</v>
      </c>
      <c r="E2940" s="50">
        <f t="shared" si="100"/>
        <v>40.219178079999999</v>
      </c>
      <c r="F2940" s="51">
        <f t="shared" si="100"/>
        <v>4.6345218900000003</v>
      </c>
      <c r="H2940" s="33"/>
      <c r="I2940" s="33"/>
      <c r="J2940" s="33"/>
      <c r="K2940" s="33"/>
      <c r="L2940" s="33"/>
      <c r="M2940" s="33"/>
      <c r="N2940" s="33"/>
      <c r="O2940" s="33"/>
      <c r="P2940" s="33"/>
      <c r="Q2940" s="33"/>
      <c r="R2940" s="33"/>
      <c r="S2940" s="33"/>
      <c r="T2940" s="33"/>
      <c r="U2940" s="33"/>
      <c r="V2940" s="33"/>
      <c r="W2940" s="33"/>
      <c r="X2940" s="33"/>
      <c r="Y2940" s="33"/>
      <c r="Z2940" s="33"/>
      <c r="AA2940" s="33"/>
      <c r="AB2940" s="33"/>
    </row>
    <row r="2941" spans="1:28" x14ac:dyDescent="0.15">
      <c r="A2941" s="46" t="s">
        <v>5933</v>
      </c>
      <c r="B2941" s="52" t="s">
        <v>7361</v>
      </c>
      <c r="C2941" s="53" t="s">
        <v>5934</v>
      </c>
      <c r="D2941" s="54" t="s">
        <v>10380</v>
      </c>
      <c r="E2941" s="50">
        <f t="shared" si="100"/>
        <v>40.232876709999999</v>
      </c>
      <c r="F2941" s="51">
        <f t="shared" si="100"/>
        <v>4.63457717</v>
      </c>
      <c r="H2941" s="33"/>
      <c r="I2941" s="33"/>
      <c r="J2941" s="33"/>
      <c r="K2941" s="33"/>
      <c r="L2941" s="33"/>
      <c r="M2941" s="33"/>
      <c r="N2941" s="33"/>
      <c r="O2941" s="33"/>
      <c r="P2941" s="33"/>
      <c r="Q2941" s="33"/>
      <c r="R2941" s="33"/>
      <c r="S2941" s="33"/>
      <c r="T2941" s="33"/>
      <c r="U2941" s="33"/>
      <c r="V2941" s="33"/>
      <c r="W2941" s="33"/>
      <c r="X2941" s="33"/>
      <c r="Y2941" s="33"/>
      <c r="Z2941" s="33"/>
      <c r="AA2941" s="33"/>
      <c r="AB2941" s="33"/>
    </row>
    <row r="2942" spans="1:28" x14ac:dyDescent="0.15">
      <c r="A2942" s="46" t="s">
        <v>5935</v>
      </c>
      <c r="B2942" s="52" t="s">
        <v>7361</v>
      </c>
      <c r="C2942" s="53" t="s">
        <v>5936</v>
      </c>
      <c r="D2942" s="54" t="s">
        <v>10381</v>
      </c>
      <c r="E2942" s="50">
        <f t="shared" si="100"/>
        <v>40.24657534</v>
      </c>
      <c r="F2942" s="51">
        <f t="shared" si="100"/>
        <v>4.6346326299999996</v>
      </c>
      <c r="H2942" s="33"/>
      <c r="I2942" s="33"/>
      <c r="J2942" s="33"/>
      <c r="K2942" s="33"/>
      <c r="L2942" s="33"/>
      <c r="M2942" s="33"/>
      <c r="N2942" s="33"/>
      <c r="O2942" s="33"/>
      <c r="P2942" s="33"/>
      <c r="Q2942" s="33"/>
      <c r="R2942" s="33"/>
      <c r="S2942" s="33"/>
      <c r="T2942" s="33"/>
      <c r="U2942" s="33"/>
      <c r="V2942" s="33"/>
      <c r="W2942" s="33"/>
      <c r="X2942" s="33"/>
      <c r="Y2942" s="33"/>
      <c r="Z2942" s="33"/>
      <c r="AA2942" s="33"/>
      <c r="AB2942" s="33"/>
    </row>
    <row r="2943" spans="1:28" x14ac:dyDescent="0.15">
      <c r="A2943" s="46" t="s">
        <v>5937</v>
      </c>
      <c r="B2943" s="52" t="s">
        <v>7361</v>
      </c>
      <c r="C2943" s="53" t="s">
        <v>5938</v>
      </c>
      <c r="D2943" s="54" t="s">
        <v>10382</v>
      </c>
      <c r="E2943" s="50">
        <f t="shared" si="100"/>
        <v>40.26027397</v>
      </c>
      <c r="F2943" s="51">
        <f t="shared" si="100"/>
        <v>4.6346882300000001</v>
      </c>
      <c r="H2943" s="33"/>
      <c r="I2943" s="33"/>
      <c r="J2943" s="33"/>
      <c r="K2943" s="33"/>
      <c r="L2943" s="33"/>
      <c r="M2943" s="33"/>
      <c r="N2943" s="33"/>
      <c r="O2943" s="33"/>
      <c r="P2943" s="33"/>
      <c r="Q2943" s="33"/>
      <c r="R2943" s="33"/>
      <c r="S2943" s="33"/>
      <c r="T2943" s="33"/>
      <c r="U2943" s="33"/>
      <c r="V2943" s="33"/>
      <c r="W2943" s="33"/>
      <c r="X2943" s="33"/>
      <c r="Y2943" s="33"/>
      <c r="Z2943" s="33"/>
      <c r="AA2943" s="33"/>
      <c r="AB2943" s="33"/>
    </row>
    <row r="2944" spans="1:28" x14ac:dyDescent="0.15">
      <c r="A2944" s="46" t="s">
        <v>5939</v>
      </c>
      <c r="B2944" s="52" t="s">
        <v>7361</v>
      </c>
      <c r="C2944" s="53" t="s">
        <v>5940</v>
      </c>
      <c r="D2944" s="54" t="s">
        <v>10383</v>
      </c>
      <c r="E2944" s="50">
        <f t="shared" si="100"/>
        <v>40.2739726</v>
      </c>
      <c r="F2944" s="51">
        <f t="shared" si="100"/>
        <v>4.6347439699999997</v>
      </c>
      <c r="H2944" s="33"/>
      <c r="I2944" s="33"/>
      <c r="J2944" s="33"/>
      <c r="K2944" s="33"/>
      <c r="L2944" s="33"/>
      <c r="M2944" s="33"/>
      <c r="N2944" s="33"/>
      <c r="O2944" s="33"/>
      <c r="P2944" s="33"/>
      <c r="Q2944" s="33"/>
      <c r="R2944" s="33"/>
      <c r="S2944" s="33"/>
      <c r="T2944" s="33"/>
      <c r="U2944" s="33"/>
      <c r="V2944" s="33"/>
      <c r="W2944" s="33"/>
      <c r="X2944" s="33"/>
      <c r="Y2944" s="33"/>
      <c r="Z2944" s="33"/>
      <c r="AA2944" s="33"/>
      <c r="AB2944" s="33"/>
    </row>
    <row r="2945" spans="1:28" x14ac:dyDescent="0.15">
      <c r="A2945" s="46" t="s">
        <v>5941</v>
      </c>
      <c r="B2945" s="52" t="s">
        <v>7361</v>
      </c>
      <c r="C2945" s="53" t="s">
        <v>5942</v>
      </c>
      <c r="D2945" s="54" t="s">
        <v>10384</v>
      </c>
      <c r="E2945" s="50">
        <f t="shared" si="100"/>
        <v>40.287671230000001</v>
      </c>
      <c r="F2945" s="51">
        <f t="shared" si="100"/>
        <v>4.6347998099999996</v>
      </c>
      <c r="H2945" s="33"/>
      <c r="I2945" s="33"/>
      <c r="J2945" s="33"/>
      <c r="K2945" s="33"/>
      <c r="L2945" s="33"/>
      <c r="M2945" s="33"/>
      <c r="N2945" s="33"/>
      <c r="O2945" s="33"/>
      <c r="P2945" s="33"/>
      <c r="Q2945" s="33"/>
      <c r="R2945" s="33"/>
      <c r="S2945" s="33"/>
      <c r="T2945" s="33"/>
      <c r="U2945" s="33"/>
      <c r="V2945" s="33"/>
      <c r="W2945" s="33"/>
      <c r="X2945" s="33"/>
      <c r="Y2945" s="33"/>
      <c r="Z2945" s="33"/>
      <c r="AA2945" s="33"/>
      <c r="AB2945" s="33"/>
    </row>
    <row r="2946" spans="1:28" x14ac:dyDescent="0.15">
      <c r="A2946" s="46" t="s">
        <v>5943</v>
      </c>
      <c r="B2946" s="52" t="s">
        <v>7361</v>
      </c>
      <c r="C2946" s="53" t="s">
        <v>5944</v>
      </c>
      <c r="D2946" s="54" t="s">
        <v>10385</v>
      </c>
      <c r="E2946" s="50">
        <f t="shared" si="100"/>
        <v>40.301369860000001</v>
      </c>
      <c r="F2946" s="51">
        <f t="shared" si="100"/>
        <v>4.63485573</v>
      </c>
      <c r="H2946" s="33"/>
      <c r="I2946" s="33"/>
      <c r="J2946" s="33"/>
      <c r="K2946" s="33"/>
      <c r="L2946" s="33"/>
      <c r="M2946" s="33"/>
      <c r="N2946" s="33"/>
      <c r="O2946" s="33"/>
      <c r="P2946" s="33"/>
      <c r="Q2946" s="33"/>
      <c r="R2946" s="33"/>
      <c r="S2946" s="33"/>
      <c r="T2946" s="33"/>
      <c r="U2946" s="33"/>
      <c r="V2946" s="33"/>
      <c r="W2946" s="33"/>
      <c r="X2946" s="33"/>
      <c r="Y2946" s="33"/>
      <c r="Z2946" s="33"/>
      <c r="AA2946" s="33"/>
      <c r="AB2946" s="33"/>
    </row>
    <row r="2947" spans="1:28" x14ac:dyDescent="0.15">
      <c r="A2947" s="46" t="s">
        <v>5945</v>
      </c>
      <c r="B2947" s="52" t="s">
        <v>7361</v>
      </c>
      <c r="C2947" s="53" t="s">
        <v>5946</v>
      </c>
      <c r="D2947" s="54" t="s">
        <v>10386</v>
      </c>
      <c r="E2947" s="50">
        <f t="shared" si="100"/>
        <v>40.315068490000002</v>
      </c>
      <c r="F2947" s="51">
        <f t="shared" si="100"/>
        <v>4.6349117099999999</v>
      </c>
      <c r="H2947" s="33"/>
      <c r="I2947" s="33"/>
      <c r="J2947" s="33"/>
      <c r="K2947" s="33"/>
      <c r="L2947" s="33"/>
      <c r="M2947" s="33"/>
      <c r="N2947" s="33"/>
      <c r="O2947" s="33"/>
      <c r="P2947" s="33"/>
      <c r="Q2947" s="33"/>
      <c r="R2947" s="33"/>
      <c r="S2947" s="33"/>
      <c r="T2947" s="33"/>
      <c r="U2947" s="33"/>
      <c r="V2947" s="33"/>
      <c r="W2947" s="33"/>
      <c r="X2947" s="33"/>
      <c r="Y2947" s="33"/>
      <c r="Z2947" s="33"/>
      <c r="AA2947" s="33"/>
      <c r="AB2947" s="33"/>
    </row>
    <row r="2948" spans="1:28" x14ac:dyDescent="0.15">
      <c r="A2948" s="46" t="s">
        <v>5947</v>
      </c>
      <c r="B2948" s="52" t="s">
        <v>7361</v>
      </c>
      <c r="C2948" s="53" t="s">
        <v>5948</v>
      </c>
      <c r="D2948" s="54" t="s">
        <v>10387</v>
      </c>
      <c r="E2948" s="50">
        <f t="shared" si="100"/>
        <v>40.328767120000002</v>
      </c>
      <c r="F2948" s="51">
        <f t="shared" si="100"/>
        <v>4.6349677199999997</v>
      </c>
      <c r="H2948" s="33"/>
      <c r="I2948" s="33"/>
      <c r="J2948" s="33"/>
      <c r="K2948" s="33"/>
      <c r="L2948" s="33"/>
      <c r="M2948" s="33"/>
      <c r="N2948" s="33"/>
      <c r="O2948" s="33"/>
      <c r="P2948" s="33"/>
      <c r="Q2948" s="33"/>
      <c r="R2948" s="33"/>
      <c r="S2948" s="33"/>
      <c r="T2948" s="33"/>
      <c r="U2948" s="33"/>
      <c r="V2948" s="33"/>
      <c r="W2948" s="33"/>
      <c r="X2948" s="33"/>
      <c r="Y2948" s="33"/>
      <c r="Z2948" s="33"/>
      <c r="AA2948" s="33"/>
      <c r="AB2948" s="33"/>
    </row>
    <row r="2949" spans="1:28" x14ac:dyDescent="0.15">
      <c r="A2949" s="46" t="s">
        <v>5949</v>
      </c>
      <c r="B2949" s="52" t="s">
        <v>7361</v>
      </c>
      <c r="C2949" s="53" t="s">
        <v>5950</v>
      </c>
      <c r="D2949" s="54" t="s">
        <v>10388</v>
      </c>
      <c r="E2949" s="50">
        <f t="shared" si="100"/>
        <v>40.342465750000002</v>
      </c>
      <c r="F2949" s="51">
        <f t="shared" si="100"/>
        <v>4.6350237400000003</v>
      </c>
      <c r="H2949" s="33"/>
      <c r="I2949" s="33"/>
      <c r="J2949" s="33"/>
      <c r="K2949" s="33"/>
      <c r="L2949" s="33"/>
      <c r="M2949" s="33"/>
      <c r="N2949" s="33"/>
      <c r="O2949" s="33"/>
      <c r="P2949" s="33"/>
      <c r="Q2949" s="33"/>
      <c r="R2949" s="33"/>
      <c r="S2949" s="33"/>
      <c r="T2949" s="33"/>
      <c r="U2949" s="33"/>
      <c r="V2949" s="33"/>
      <c r="W2949" s="33"/>
      <c r="X2949" s="33"/>
      <c r="Y2949" s="33"/>
      <c r="Z2949" s="33"/>
      <c r="AA2949" s="33"/>
      <c r="AB2949" s="33"/>
    </row>
    <row r="2950" spans="1:28" x14ac:dyDescent="0.15">
      <c r="A2950" s="46" t="s">
        <v>5951</v>
      </c>
      <c r="B2950" s="52" t="s">
        <v>7361</v>
      </c>
      <c r="C2950" s="53" t="s">
        <v>5952</v>
      </c>
      <c r="D2950" s="54" t="s">
        <v>10389</v>
      </c>
      <c r="E2950" s="50">
        <f t="shared" si="100"/>
        <v>40.356164380000003</v>
      </c>
      <c r="F2950" s="51">
        <f t="shared" si="100"/>
        <v>4.6350797400000001</v>
      </c>
      <c r="H2950" s="33"/>
      <c r="I2950" s="33"/>
      <c r="J2950" s="33"/>
      <c r="K2950" s="33"/>
      <c r="L2950" s="33"/>
      <c r="M2950" s="33"/>
      <c r="N2950" s="33"/>
      <c r="O2950" s="33"/>
      <c r="P2950" s="33"/>
      <c r="Q2950" s="33"/>
      <c r="R2950" s="33"/>
      <c r="S2950" s="33"/>
      <c r="T2950" s="33"/>
      <c r="U2950" s="33"/>
      <c r="V2950" s="33"/>
      <c r="W2950" s="33"/>
      <c r="X2950" s="33"/>
      <c r="Y2950" s="33"/>
      <c r="Z2950" s="33"/>
      <c r="AA2950" s="33"/>
      <c r="AB2950" s="33"/>
    </row>
    <row r="2951" spans="1:28" x14ac:dyDescent="0.15">
      <c r="A2951" s="46" t="s">
        <v>5953</v>
      </c>
      <c r="B2951" s="52" t="s">
        <v>7361</v>
      </c>
      <c r="C2951" s="53" t="s">
        <v>5954</v>
      </c>
      <c r="D2951" s="54" t="s">
        <v>10390</v>
      </c>
      <c r="E2951" s="50">
        <f t="shared" si="100"/>
        <v>40.369863010000003</v>
      </c>
      <c r="F2951" s="51">
        <f t="shared" si="100"/>
        <v>4.6351357000000002</v>
      </c>
      <c r="H2951" s="33"/>
      <c r="I2951" s="33"/>
      <c r="J2951" s="33"/>
      <c r="K2951" s="33"/>
      <c r="L2951" s="33"/>
      <c r="M2951" s="33"/>
      <c r="N2951" s="33"/>
      <c r="O2951" s="33"/>
      <c r="P2951" s="33"/>
      <c r="Q2951" s="33"/>
      <c r="R2951" s="33"/>
      <c r="S2951" s="33"/>
      <c r="T2951" s="33"/>
      <c r="U2951" s="33"/>
      <c r="V2951" s="33"/>
      <c r="W2951" s="33"/>
      <c r="X2951" s="33"/>
      <c r="Y2951" s="33"/>
      <c r="Z2951" s="33"/>
      <c r="AA2951" s="33"/>
      <c r="AB2951" s="33"/>
    </row>
    <row r="2952" spans="1:28" x14ac:dyDescent="0.15">
      <c r="A2952" s="46" t="s">
        <v>5955</v>
      </c>
      <c r="B2952" s="52" t="s">
        <v>7361</v>
      </c>
      <c r="C2952" s="53" t="s">
        <v>5956</v>
      </c>
      <c r="D2952" s="54" t="s">
        <v>10391</v>
      </c>
      <c r="E2952" s="50">
        <f t="shared" si="100"/>
        <v>40.383561640000003</v>
      </c>
      <c r="F2952" s="51">
        <f t="shared" si="100"/>
        <v>4.6351915999999997</v>
      </c>
      <c r="H2952" s="33"/>
      <c r="I2952" s="33"/>
      <c r="J2952" s="33"/>
      <c r="K2952" s="33"/>
      <c r="L2952" s="33"/>
      <c r="M2952" s="33"/>
      <c r="N2952" s="33"/>
      <c r="O2952" s="33"/>
      <c r="P2952" s="33"/>
      <c r="Q2952" s="33"/>
      <c r="R2952" s="33"/>
      <c r="S2952" s="33"/>
      <c r="T2952" s="33"/>
      <c r="U2952" s="33"/>
      <c r="V2952" s="33"/>
      <c r="W2952" s="33"/>
      <c r="X2952" s="33"/>
      <c r="Y2952" s="33"/>
      <c r="Z2952" s="33"/>
      <c r="AA2952" s="33"/>
      <c r="AB2952" s="33"/>
    </row>
    <row r="2953" spans="1:28" x14ac:dyDescent="0.15">
      <c r="A2953" s="46" t="s">
        <v>5957</v>
      </c>
      <c r="B2953" s="52" t="s">
        <v>7361</v>
      </c>
      <c r="C2953" s="53" t="s">
        <v>5958</v>
      </c>
      <c r="D2953" s="54" t="s">
        <v>10392</v>
      </c>
      <c r="E2953" s="50">
        <f t="shared" si="100"/>
        <v>40.397260269999997</v>
      </c>
      <c r="F2953" s="51">
        <f t="shared" si="100"/>
        <v>4.6352474099999998</v>
      </c>
      <c r="H2953" s="33"/>
      <c r="I2953" s="33"/>
      <c r="J2953" s="33"/>
      <c r="K2953" s="33"/>
      <c r="L2953" s="33"/>
      <c r="M2953" s="33"/>
      <c r="N2953" s="33"/>
      <c r="O2953" s="33"/>
      <c r="P2953" s="33"/>
      <c r="Q2953" s="33"/>
      <c r="R2953" s="33"/>
      <c r="S2953" s="33"/>
      <c r="T2953" s="33"/>
      <c r="U2953" s="33"/>
      <c r="V2953" s="33"/>
      <c r="W2953" s="33"/>
      <c r="X2953" s="33"/>
      <c r="Y2953" s="33"/>
      <c r="Z2953" s="33"/>
      <c r="AA2953" s="33"/>
      <c r="AB2953" s="33"/>
    </row>
    <row r="2954" spans="1:28" x14ac:dyDescent="0.15">
      <c r="A2954" s="46" t="s">
        <v>5959</v>
      </c>
      <c r="B2954" s="52" t="s">
        <v>7361</v>
      </c>
      <c r="C2954" s="53" t="s">
        <v>5960</v>
      </c>
      <c r="D2954" s="54" t="s">
        <v>10393</v>
      </c>
      <c r="E2954" s="50">
        <f t="shared" si="100"/>
        <v>40.410958899999997</v>
      </c>
      <c r="F2954" s="51">
        <f t="shared" si="100"/>
        <v>4.6353031099999997</v>
      </c>
      <c r="H2954" s="33"/>
      <c r="I2954" s="33"/>
      <c r="J2954" s="33"/>
      <c r="K2954" s="33"/>
      <c r="L2954" s="33"/>
      <c r="M2954" s="33"/>
      <c r="N2954" s="33"/>
      <c r="O2954" s="33"/>
      <c r="P2954" s="33"/>
      <c r="Q2954" s="33"/>
      <c r="R2954" s="33"/>
      <c r="S2954" s="33"/>
      <c r="T2954" s="33"/>
      <c r="U2954" s="33"/>
      <c r="V2954" s="33"/>
      <c r="W2954" s="33"/>
      <c r="X2954" s="33"/>
      <c r="Y2954" s="33"/>
      <c r="Z2954" s="33"/>
      <c r="AA2954" s="33"/>
      <c r="AB2954" s="33"/>
    </row>
    <row r="2955" spans="1:28" x14ac:dyDescent="0.15">
      <c r="A2955" s="46" t="s">
        <v>5961</v>
      </c>
      <c r="B2955" s="52" t="s">
        <v>7361</v>
      </c>
      <c r="C2955" s="53" t="s">
        <v>5962</v>
      </c>
      <c r="D2955" s="54" t="s">
        <v>10394</v>
      </c>
      <c r="E2955" s="50">
        <f t="shared" si="100"/>
        <v>40.424657529999998</v>
      </c>
      <c r="F2955" s="51">
        <f t="shared" si="100"/>
        <v>4.6353586699999996</v>
      </c>
      <c r="H2955" s="33"/>
      <c r="I2955" s="33"/>
      <c r="J2955" s="33"/>
      <c r="K2955" s="33"/>
      <c r="L2955" s="33"/>
      <c r="M2955" s="33"/>
      <c r="N2955" s="33"/>
      <c r="O2955" s="33"/>
      <c r="P2955" s="33"/>
      <c r="Q2955" s="33"/>
      <c r="R2955" s="33"/>
      <c r="S2955" s="33"/>
      <c r="T2955" s="33"/>
      <c r="U2955" s="33"/>
      <c r="V2955" s="33"/>
      <c r="W2955" s="33"/>
      <c r="X2955" s="33"/>
      <c r="Y2955" s="33"/>
      <c r="Z2955" s="33"/>
      <c r="AA2955" s="33"/>
      <c r="AB2955" s="33"/>
    </row>
    <row r="2956" spans="1:28" x14ac:dyDescent="0.15">
      <c r="A2956" s="46" t="s">
        <v>5963</v>
      </c>
      <c r="B2956" s="52" t="s">
        <v>7361</v>
      </c>
      <c r="C2956" s="53" t="s">
        <v>5964</v>
      </c>
      <c r="D2956" s="54" t="s">
        <v>10395</v>
      </c>
      <c r="E2956" s="50">
        <f t="shared" si="100"/>
        <v>40.438356159999998</v>
      </c>
      <c r="F2956" s="51">
        <f t="shared" si="100"/>
        <v>4.6354140599999996</v>
      </c>
      <c r="H2956" s="33"/>
      <c r="I2956" s="33"/>
      <c r="J2956" s="33"/>
      <c r="K2956" s="33"/>
      <c r="L2956" s="33"/>
      <c r="M2956" s="33"/>
      <c r="N2956" s="33"/>
      <c r="O2956" s="33"/>
      <c r="P2956" s="33"/>
      <c r="Q2956" s="33"/>
      <c r="R2956" s="33"/>
      <c r="S2956" s="33"/>
      <c r="T2956" s="33"/>
      <c r="U2956" s="33"/>
      <c r="V2956" s="33"/>
      <c r="W2956" s="33"/>
      <c r="X2956" s="33"/>
      <c r="Y2956" s="33"/>
      <c r="Z2956" s="33"/>
      <c r="AA2956" s="33"/>
      <c r="AB2956" s="33"/>
    </row>
    <row r="2957" spans="1:28" x14ac:dyDescent="0.15">
      <c r="A2957" s="46" t="s">
        <v>5965</v>
      </c>
      <c r="B2957" s="52" t="s">
        <v>7361</v>
      </c>
      <c r="C2957" s="53" t="s">
        <v>5966</v>
      </c>
      <c r="D2957" s="54" t="s">
        <v>10396</v>
      </c>
      <c r="E2957" s="50">
        <f t="shared" si="100"/>
        <v>40.452054789999998</v>
      </c>
      <c r="F2957" s="51">
        <f t="shared" si="100"/>
        <v>4.6354692799999997</v>
      </c>
      <c r="H2957" s="33"/>
      <c r="I2957" s="33"/>
      <c r="J2957" s="33"/>
      <c r="K2957" s="33"/>
      <c r="L2957" s="33"/>
      <c r="M2957" s="33"/>
      <c r="N2957" s="33"/>
      <c r="O2957" s="33"/>
      <c r="P2957" s="33"/>
      <c r="Q2957" s="33"/>
      <c r="R2957" s="33"/>
      <c r="S2957" s="33"/>
      <c r="T2957" s="33"/>
      <c r="U2957" s="33"/>
      <c r="V2957" s="33"/>
      <c r="W2957" s="33"/>
      <c r="X2957" s="33"/>
      <c r="Y2957" s="33"/>
      <c r="Z2957" s="33"/>
      <c r="AA2957" s="33"/>
      <c r="AB2957" s="33"/>
    </row>
    <row r="2958" spans="1:28" x14ac:dyDescent="0.15">
      <c r="A2958" s="46" t="s">
        <v>5967</v>
      </c>
      <c r="B2958" s="52" t="s">
        <v>7361</v>
      </c>
      <c r="C2958" s="53" t="s">
        <v>5968</v>
      </c>
      <c r="D2958" s="54" t="s">
        <v>10397</v>
      </c>
      <c r="E2958" s="50">
        <f t="shared" si="100"/>
        <v>40.465753419999999</v>
      </c>
      <c r="F2958" s="51">
        <f t="shared" si="100"/>
        <v>4.6355242800000003</v>
      </c>
      <c r="H2958" s="33"/>
      <c r="I2958" s="33"/>
      <c r="J2958" s="33"/>
      <c r="K2958" s="33"/>
      <c r="L2958" s="33"/>
      <c r="M2958" s="33"/>
      <c r="N2958" s="33"/>
      <c r="O2958" s="33"/>
      <c r="P2958" s="33"/>
      <c r="Q2958" s="33"/>
      <c r="R2958" s="33"/>
      <c r="S2958" s="33"/>
      <c r="T2958" s="33"/>
      <c r="U2958" s="33"/>
      <c r="V2958" s="33"/>
      <c r="W2958" s="33"/>
      <c r="X2958" s="33"/>
      <c r="Y2958" s="33"/>
      <c r="Z2958" s="33"/>
      <c r="AA2958" s="33"/>
      <c r="AB2958" s="33"/>
    </row>
    <row r="2959" spans="1:28" x14ac:dyDescent="0.15">
      <c r="A2959" s="46" t="s">
        <v>5969</v>
      </c>
      <c r="B2959" s="52" t="s">
        <v>7361</v>
      </c>
      <c r="C2959" s="53" t="s">
        <v>5970</v>
      </c>
      <c r="D2959" s="54" t="s">
        <v>10398</v>
      </c>
      <c r="E2959" s="50">
        <f t="shared" ref="E2959:F2989" si="101">VALUE(C2959)</f>
        <v>40.479452049999999</v>
      </c>
      <c r="F2959" s="51">
        <f t="shared" si="101"/>
        <v>4.6355790499999996</v>
      </c>
      <c r="H2959" s="33"/>
      <c r="I2959" s="33"/>
      <c r="J2959" s="33"/>
      <c r="K2959" s="33"/>
      <c r="L2959" s="33"/>
      <c r="M2959" s="33"/>
      <c r="N2959" s="33"/>
      <c r="O2959" s="33"/>
      <c r="P2959" s="33"/>
      <c r="Q2959" s="33"/>
      <c r="R2959" s="33"/>
      <c r="S2959" s="33"/>
      <c r="T2959" s="33"/>
      <c r="U2959" s="33"/>
      <c r="V2959" s="33"/>
      <c r="W2959" s="33"/>
      <c r="X2959" s="33"/>
      <c r="Y2959" s="33"/>
      <c r="Z2959" s="33"/>
      <c r="AA2959" s="33"/>
      <c r="AB2959" s="33"/>
    </row>
    <row r="2960" spans="1:28" x14ac:dyDescent="0.15">
      <c r="A2960" s="46" t="s">
        <v>5971</v>
      </c>
      <c r="B2960" s="52" t="s">
        <v>7361</v>
      </c>
      <c r="C2960" s="53" t="s">
        <v>5972</v>
      </c>
      <c r="D2960" s="54" t="s">
        <v>10399</v>
      </c>
      <c r="E2960" s="50">
        <f t="shared" si="101"/>
        <v>40.493150679999999</v>
      </c>
      <c r="F2960" s="51">
        <f t="shared" si="101"/>
        <v>4.6356335700000004</v>
      </c>
      <c r="H2960" s="33"/>
      <c r="I2960" s="33"/>
      <c r="J2960" s="33"/>
      <c r="K2960" s="33"/>
      <c r="L2960" s="33"/>
      <c r="M2960" s="33"/>
      <c r="N2960" s="33"/>
      <c r="O2960" s="33"/>
      <c r="P2960" s="33"/>
      <c r="Q2960" s="33"/>
      <c r="R2960" s="33"/>
      <c r="S2960" s="33"/>
      <c r="T2960" s="33"/>
      <c r="U2960" s="33"/>
      <c r="V2960" s="33"/>
      <c r="W2960" s="33"/>
      <c r="X2960" s="33"/>
      <c r="Y2960" s="33"/>
      <c r="Z2960" s="33"/>
      <c r="AA2960" s="33"/>
      <c r="AB2960" s="33"/>
    </row>
    <row r="2961" spans="1:28" x14ac:dyDescent="0.15">
      <c r="A2961" s="46" t="s">
        <v>5973</v>
      </c>
      <c r="B2961" s="52" t="s">
        <v>7361</v>
      </c>
      <c r="C2961" s="53" t="s">
        <v>5974</v>
      </c>
      <c r="D2961" s="54" t="s">
        <v>10400</v>
      </c>
      <c r="E2961" s="50">
        <f t="shared" si="101"/>
        <v>40.506849320000001</v>
      </c>
      <c r="F2961" s="51">
        <f t="shared" si="101"/>
        <v>4.6356876700000003</v>
      </c>
      <c r="H2961" s="33"/>
      <c r="I2961" s="33"/>
      <c r="J2961" s="33"/>
      <c r="K2961" s="33"/>
      <c r="L2961" s="33"/>
      <c r="M2961" s="33"/>
      <c r="N2961" s="33"/>
      <c r="O2961" s="33"/>
      <c r="P2961" s="33"/>
      <c r="Q2961" s="33"/>
      <c r="R2961" s="33"/>
      <c r="S2961" s="33"/>
      <c r="T2961" s="33"/>
      <c r="U2961" s="33"/>
      <c r="V2961" s="33"/>
      <c r="W2961" s="33"/>
      <c r="X2961" s="33"/>
      <c r="Y2961" s="33"/>
      <c r="Z2961" s="33"/>
      <c r="AA2961" s="33"/>
      <c r="AB2961" s="33"/>
    </row>
    <row r="2962" spans="1:28" x14ac:dyDescent="0.15">
      <c r="A2962" s="46" t="s">
        <v>5975</v>
      </c>
      <c r="B2962" s="52" t="s">
        <v>7361</v>
      </c>
      <c r="C2962" s="53" t="s">
        <v>5976</v>
      </c>
      <c r="D2962" s="54" t="s">
        <v>10401</v>
      </c>
      <c r="E2962" s="50">
        <f t="shared" si="101"/>
        <v>40.520547950000001</v>
      </c>
      <c r="F2962" s="51">
        <f t="shared" si="101"/>
        <v>4.6357405700000003</v>
      </c>
      <c r="H2962" s="33"/>
      <c r="I2962" s="33"/>
      <c r="J2962" s="33"/>
      <c r="K2962" s="33"/>
      <c r="L2962" s="33"/>
      <c r="M2962" s="33"/>
      <c r="N2962" s="33"/>
      <c r="O2962" s="33"/>
      <c r="P2962" s="33"/>
      <c r="Q2962" s="33"/>
      <c r="R2962" s="33"/>
      <c r="S2962" s="33"/>
      <c r="T2962" s="33"/>
      <c r="U2962" s="33"/>
      <c r="V2962" s="33"/>
      <c r="W2962" s="33"/>
      <c r="X2962" s="33"/>
      <c r="Y2962" s="33"/>
      <c r="Z2962" s="33"/>
      <c r="AA2962" s="33"/>
      <c r="AB2962" s="33"/>
    </row>
    <row r="2963" spans="1:28" x14ac:dyDescent="0.15">
      <c r="A2963" s="46" t="s">
        <v>5977</v>
      </c>
      <c r="B2963" s="52" t="s">
        <v>7361</v>
      </c>
      <c r="C2963" s="53" t="s">
        <v>5978</v>
      </c>
      <c r="D2963" s="54" t="s">
        <v>10402</v>
      </c>
      <c r="E2963" s="50">
        <f t="shared" si="101"/>
        <v>40.534246580000001</v>
      </c>
      <c r="F2963" s="51">
        <f t="shared" si="101"/>
        <v>4.6357921900000001</v>
      </c>
      <c r="H2963" s="33"/>
      <c r="I2963" s="33"/>
      <c r="J2963" s="33"/>
      <c r="K2963" s="33"/>
      <c r="L2963" s="33"/>
      <c r="M2963" s="33"/>
      <c r="N2963" s="33"/>
      <c r="O2963" s="33"/>
      <c r="P2963" s="33"/>
      <c r="Q2963" s="33"/>
      <c r="R2963" s="33"/>
      <c r="S2963" s="33"/>
      <c r="T2963" s="33"/>
      <c r="U2963" s="33"/>
      <c r="V2963" s="33"/>
      <c r="W2963" s="33"/>
      <c r="X2963" s="33"/>
      <c r="Y2963" s="33"/>
      <c r="Z2963" s="33"/>
      <c r="AA2963" s="33"/>
      <c r="AB2963" s="33"/>
    </row>
    <row r="2964" spans="1:28" x14ac:dyDescent="0.15">
      <c r="A2964" s="46" t="s">
        <v>5979</v>
      </c>
      <c r="B2964" s="52" t="s">
        <v>7361</v>
      </c>
      <c r="C2964" s="53" t="s">
        <v>5980</v>
      </c>
      <c r="D2964" s="54" t="s">
        <v>10403</v>
      </c>
      <c r="E2964" s="50">
        <f t="shared" si="101"/>
        <v>40.547945210000002</v>
      </c>
      <c r="F2964" s="51">
        <f t="shared" si="101"/>
        <v>4.6358425900000002</v>
      </c>
      <c r="H2964" s="33"/>
      <c r="I2964" s="33"/>
      <c r="J2964" s="33"/>
      <c r="K2964" s="33"/>
      <c r="L2964" s="33"/>
      <c r="M2964" s="33"/>
      <c r="N2964" s="33"/>
      <c r="O2964" s="33"/>
      <c r="P2964" s="33"/>
      <c r="Q2964" s="33"/>
      <c r="R2964" s="33"/>
      <c r="S2964" s="33"/>
      <c r="T2964" s="33"/>
      <c r="U2964" s="33"/>
      <c r="V2964" s="33"/>
      <c r="W2964" s="33"/>
      <c r="X2964" s="33"/>
      <c r="Y2964" s="33"/>
      <c r="Z2964" s="33"/>
      <c r="AA2964" s="33"/>
      <c r="AB2964" s="33"/>
    </row>
    <row r="2965" spans="1:28" x14ac:dyDescent="0.15">
      <c r="A2965" s="46" t="s">
        <v>5981</v>
      </c>
      <c r="B2965" s="52" t="s">
        <v>7361</v>
      </c>
      <c r="C2965" s="53" t="s">
        <v>5982</v>
      </c>
      <c r="D2965" s="54" t="s">
        <v>10404</v>
      </c>
      <c r="E2965" s="50">
        <f t="shared" si="101"/>
        <v>40.561643840000002</v>
      </c>
      <c r="F2965" s="51">
        <f t="shared" si="101"/>
        <v>4.6358918200000003</v>
      </c>
      <c r="H2965" s="33"/>
      <c r="I2965" s="33"/>
      <c r="J2965" s="33"/>
      <c r="K2965" s="33"/>
      <c r="L2965" s="33"/>
      <c r="M2965" s="33"/>
      <c r="N2965" s="33"/>
      <c r="O2965" s="33"/>
      <c r="P2965" s="33"/>
      <c r="Q2965" s="33"/>
      <c r="R2965" s="33"/>
      <c r="S2965" s="33"/>
      <c r="T2965" s="33"/>
      <c r="U2965" s="33"/>
      <c r="V2965" s="33"/>
      <c r="W2965" s="33"/>
      <c r="X2965" s="33"/>
      <c r="Y2965" s="33"/>
      <c r="Z2965" s="33"/>
      <c r="AA2965" s="33"/>
      <c r="AB2965" s="33"/>
    </row>
    <row r="2966" spans="1:28" x14ac:dyDescent="0.15">
      <c r="A2966" s="46" t="s">
        <v>5983</v>
      </c>
      <c r="B2966" s="52" t="s">
        <v>7361</v>
      </c>
      <c r="C2966" s="53" t="s">
        <v>5984</v>
      </c>
      <c r="D2966" s="54" t="s">
        <v>10405</v>
      </c>
      <c r="E2966" s="50">
        <f t="shared" si="101"/>
        <v>40.575342470000002</v>
      </c>
      <c r="F2966" s="51">
        <f t="shared" si="101"/>
        <v>4.6359399400000001</v>
      </c>
      <c r="H2966" s="33"/>
      <c r="I2966" s="33"/>
      <c r="J2966" s="33"/>
      <c r="K2966" s="33"/>
      <c r="L2966" s="33"/>
      <c r="M2966" s="33"/>
      <c r="N2966" s="33"/>
      <c r="O2966" s="33"/>
      <c r="P2966" s="33"/>
      <c r="Q2966" s="33"/>
      <c r="R2966" s="33"/>
      <c r="S2966" s="33"/>
      <c r="T2966" s="33"/>
      <c r="U2966" s="33"/>
      <c r="V2966" s="33"/>
      <c r="W2966" s="33"/>
      <c r="X2966" s="33"/>
      <c r="Y2966" s="33"/>
      <c r="Z2966" s="33"/>
      <c r="AA2966" s="33"/>
      <c r="AB2966" s="33"/>
    </row>
    <row r="2967" spans="1:28" x14ac:dyDescent="0.15">
      <c r="A2967" s="46" t="s">
        <v>5985</v>
      </c>
      <c r="B2967" s="52" t="s">
        <v>7361</v>
      </c>
      <c r="C2967" s="53" t="s">
        <v>5986</v>
      </c>
      <c r="D2967" s="54" t="s">
        <v>10406</v>
      </c>
      <c r="E2967" s="50">
        <f t="shared" si="101"/>
        <v>40.589041100000003</v>
      </c>
      <c r="F2967" s="51">
        <f t="shared" si="101"/>
        <v>4.63598701</v>
      </c>
      <c r="H2967" s="33"/>
      <c r="I2967" s="33"/>
      <c r="J2967" s="33"/>
      <c r="K2967" s="33"/>
      <c r="L2967" s="33"/>
      <c r="M2967" s="33"/>
      <c r="N2967" s="33"/>
      <c r="O2967" s="33"/>
      <c r="P2967" s="33"/>
      <c r="Q2967" s="33"/>
      <c r="R2967" s="33"/>
      <c r="S2967" s="33"/>
      <c r="T2967" s="33"/>
      <c r="U2967" s="33"/>
      <c r="V2967" s="33"/>
      <c r="W2967" s="33"/>
      <c r="X2967" s="33"/>
      <c r="Y2967" s="33"/>
      <c r="Z2967" s="33"/>
      <c r="AA2967" s="33"/>
      <c r="AB2967" s="33"/>
    </row>
    <row r="2968" spans="1:28" x14ac:dyDescent="0.15">
      <c r="A2968" s="46" t="s">
        <v>5987</v>
      </c>
      <c r="B2968" s="52" t="s">
        <v>7361</v>
      </c>
      <c r="C2968" s="53" t="s">
        <v>5988</v>
      </c>
      <c r="D2968" s="54" t="s">
        <v>10407</v>
      </c>
      <c r="E2968" s="50">
        <f t="shared" si="101"/>
        <v>40.602739730000003</v>
      </c>
      <c r="F2968" s="51">
        <f t="shared" si="101"/>
        <v>4.6360330799999998</v>
      </c>
      <c r="H2968" s="33"/>
      <c r="I2968" s="33"/>
      <c r="J2968" s="33"/>
      <c r="K2968" s="33"/>
      <c r="L2968" s="33"/>
      <c r="M2968" s="33"/>
      <c r="N2968" s="33"/>
      <c r="O2968" s="33"/>
      <c r="P2968" s="33"/>
      <c r="Q2968" s="33"/>
      <c r="R2968" s="33"/>
      <c r="S2968" s="33"/>
      <c r="T2968" s="33"/>
      <c r="U2968" s="33"/>
      <c r="V2968" s="33"/>
      <c r="W2968" s="33"/>
      <c r="X2968" s="33"/>
      <c r="Y2968" s="33"/>
      <c r="Z2968" s="33"/>
      <c r="AA2968" s="33"/>
      <c r="AB2968" s="33"/>
    </row>
    <row r="2969" spans="1:28" x14ac:dyDescent="0.15">
      <c r="A2969" s="46" t="s">
        <v>5989</v>
      </c>
      <c r="B2969" s="52" t="s">
        <v>7361</v>
      </c>
      <c r="C2969" s="53" t="s">
        <v>5990</v>
      </c>
      <c r="D2969" s="54" t="s">
        <v>10408</v>
      </c>
      <c r="E2969" s="50">
        <f t="shared" si="101"/>
        <v>40.616438359999997</v>
      </c>
      <c r="F2969" s="51">
        <f t="shared" si="101"/>
        <v>4.63607821</v>
      </c>
      <c r="H2969" s="33"/>
      <c r="I2969" s="33"/>
      <c r="J2969" s="33"/>
      <c r="K2969" s="33"/>
      <c r="L2969" s="33"/>
      <c r="M2969" s="33"/>
      <c r="N2969" s="33"/>
      <c r="O2969" s="33"/>
      <c r="P2969" s="33"/>
      <c r="Q2969" s="33"/>
      <c r="R2969" s="33"/>
      <c r="S2969" s="33"/>
      <c r="T2969" s="33"/>
      <c r="U2969" s="33"/>
      <c r="V2969" s="33"/>
      <c r="W2969" s="33"/>
      <c r="X2969" s="33"/>
      <c r="Y2969" s="33"/>
      <c r="Z2969" s="33"/>
      <c r="AA2969" s="33"/>
      <c r="AB2969" s="33"/>
    </row>
    <row r="2970" spans="1:28" x14ac:dyDescent="0.15">
      <c r="A2970" s="46" t="s">
        <v>5991</v>
      </c>
      <c r="B2970" s="52" t="s">
        <v>7361</v>
      </c>
      <c r="C2970" s="53" t="s">
        <v>5992</v>
      </c>
      <c r="D2970" s="54" t="s">
        <v>10409</v>
      </c>
      <c r="E2970" s="50">
        <f t="shared" si="101"/>
        <v>40.630136989999997</v>
      </c>
      <c r="F2970" s="51">
        <f t="shared" si="101"/>
        <v>4.6361224500000002</v>
      </c>
      <c r="H2970" s="33"/>
      <c r="I2970" s="33"/>
      <c r="J2970" s="33"/>
      <c r="K2970" s="33"/>
      <c r="L2970" s="33"/>
      <c r="M2970" s="33"/>
      <c r="N2970" s="33"/>
      <c r="O2970" s="33"/>
      <c r="P2970" s="33"/>
      <c r="Q2970" s="33"/>
      <c r="R2970" s="33"/>
      <c r="S2970" s="33"/>
      <c r="T2970" s="33"/>
      <c r="U2970" s="33"/>
      <c r="V2970" s="33"/>
      <c r="W2970" s="33"/>
      <c r="X2970" s="33"/>
      <c r="Y2970" s="33"/>
      <c r="Z2970" s="33"/>
      <c r="AA2970" s="33"/>
      <c r="AB2970" s="33"/>
    </row>
    <row r="2971" spans="1:28" x14ac:dyDescent="0.15">
      <c r="A2971" s="46" t="s">
        <v>5993</v>
      </c>
      <c r="B2971" s="52" t="s">
        <v>7361</v>
      </c>
      <c r="C2971" s="53" t="s">
        <v>5994</v>
      </c>
      <c r="D2971" s="54" t="s">
        <v>10410</v>
      </c>
      <c r="E2971" s="50">
        <f t="shared" si="101"/>
        <v>40.643835619999997</v>
      </c>
      <c r="F2971" s="51">
        <f t="shared" si="101"/>
        <v>4.6361658600000002</v>
      </c>
      <c r="H2971" s="33"/>
      <c r="I2971" s="33"/>
      <c r="J2971" s="33"/>
      <c r="K2971" s="33"/>
      <c r="L2971" s="33"/>
      <c r="M2971" s="33"/>
      <c r="N2971" s="33"/>
      <c r="O2971" s="33"/>
      <c r="P2971" s="33"/>
      <c r="Q2971" s="33"/>
      <c r="R2971" s="33"/>
      <c r="S2971" s="33"/>
      <c r="T2971" s="33"/>
      <c r="U2971" s="33"/>
      <c r="V2971" s="33"/>
      <c r="W2971" s="33"/>
      <c r="X2971" s="33"/>
      <c r="Y2971" s="33"/>
      <c r="Z2971" s="33"/>
      <c r="AA2971" s="33"/>
      <c r="AB2971" s="33"/>
    </row>
    <row r="2972" spans="1:28" x14ac:dyDescent="0.15">
      <c r="A2972" s="46" t="s">
        <v>5995</v>
      </c>
      <c r="B2972" s="52" t="s">
        <v>7361</v>
      </c>
      <c r="C2972" s="53" t="s">
        <v>5996</v>
      </c>
      <c r="D2972" s="54" t="s">
        <v>10411</v>
      </c>
      <c r="E2972" s="50">
        <f t="shared" si="101"/>
        <v>40.657534249999998</v>
      </c>
      <c r="F2972" s="51">
        <f t="shared" si="101"/>
        <v>4.6362084899999996</v>
      </c>
      <c r="H2972" s="33"/>
      <c r="I2972" s="33"/>
      <c r="J2972" s="33"/>
      <c r="K2972" s="33"/>
      <c r="L2972" s="33"/>
      <c r="M2972" s="33"/>
      <c r="N2972" s="33"/>
      <c r="O2972" s="33"/>
      <c r="P2972" s="33"/>
      <c r="Q2972" s="33"/>
      <c r="R2972" s="33"/>
      <c r="S2972" s="33"/>
      <c r="T2972" s="33"/>
      <c r="U2972" s="33"/>
      <c r="V2972" s="33"/>
      <c r="W2972" s="33"/>
      <c r="X2972" s="33"/>
      <c r="Y2972" s="33"/>
      <c r="Z2972" s="33"/>
      <c r="AA2972" s="33"/>
      <c r="AB2972" s="33"/>
    </row>
    <row r="2973" spans="1:28" x14ac:dyDescent="0.15">
      <c r="A2973" s="46" t="s">
        <v>5997</v>
      </c>
      <c r="B2973" s="52" t="s">
        <v>7361</v>
      </c>
      <c r="C2973" s="53" t="s">
        <v>5998</v>
      </c>
      <c r="D2973" s="54" t="s">
        <v>10412</v>
      </c>
      <c r="E2973" s="50">
        <f t="shared" si="101"/>
        <v>40.671232879999998</v>
      </c>
      <c r="F2973" s="51">
        <f t="shared" si="101"/>
        <v>4.6362504099999997</v>
      </c>
      <c r="H2973" s="33"/>
      <c r="I2973" s="33"/>
      <c r="J2973" s="33"/>
      <c r="K2973" s="33"/>
      <c r="L2973" s="33"/>
      <c r="M2973" s="33"/>
      <c r="N2973" s="33"/>
      <c r="O2973" s="33"/>
      <c r="P2973" s="33"/>
      <c r="Q2973" s="33"/>
      <c r="R2973" s="33"/>
      <c r="S2973" s="33"/>
      <c r="T2973" s="33"/>
      <c r="U2973" s="33"/>
      <c r="V2973" s="33"/>
      <c r="W2973" s="33"/>
      <c r="X2973" s="33"/>
      <c r="Y2973" s="33"/>
      <c r="Z2973" s="33"/>
      <c r="AA2973" s="33"/>
      <c r="AB2973" s="33"/>
    </row>
    <row r="2974" spans="1:28" x14ac:dyDescent="0.15">
      <c r="A2974" s="46" t="s">
        <v>5999</v>
      </c>
      <c r="B2974" s="52" t="s">
        <v>7361</v>
      </c>
      <c r="C2974" s="53" t="s">
        <v>6000</v>
      </c>
      <c r="D2974" s="54" t="s">
        <v>10413</v>
      </c>
      <c r="E2974" s="50">
        <f t="shared" si="101"/>
        <v>40.684931509999998</v>
      </c>
      <c r="F2974" s="51">
        <f t="shared" si="101"/>
        <v>4.6362916600000004</v>
      </c>
      <c r="H2974" s="33"/>
      <c r="I2974" s="33"/>
      <c r="J2974" s="33"/>
      <c r="K2974" s="33"/>
      <c r="L2974" s="33"/>
      <c r="M2974" s="33"/>
      <c r="N2974" s="33"/>
      <c r="O2974" s="33"/>
      <c r="P2974" s="33"/>
      <c r="Q2974" s="33"/>
      <c r="R2974" s="33"/>
      <c r="S2974" s="33"/>
      <c r="T2974" s="33"/>
      <c r="U2974" s="33"/>
      <c r="V2974" s="33"/>
      <c r="W2974" s="33"/>
      <c r="X2974" s="33"/>
      <c r="Y2974" s="33"/>
      <c r="Z2974" s="33"/>
      <c r="AA2974" s="33"/>
      <c r="AB2974" s="33"/>
    </row>
    <row r="2975" spans="1:28" x14ac:dyDescent="0.15">
      <c r="A2975" s="46" t="s">
        <v>6001</v>
      </c>
      <c r="B2975" s="52" t="s">
        <v>7361</v>
      </c>
      <c r="C2975" s="53" t="s">
        <v>6002</v>
      </c>
      <c r="D2975" s="54" t="s">
        <v>10414</v>
      </c>
      <c r="E2975" s="50">
        <f t="shared" si="101"/>
        <v>40.698630139999999</v>
      </c>
      <c r="F2975" s="51">
        <f t="shared" si="101"/>
        <v>4.6363323100000002</v>
      </c>
      <c r="H2975" s="33"/>
      <c r="I2975" s="33"/>
      <c r="J2975" s="33"/>
      <c r="K2975" s="33"/>
      <c r="L2975" s="33"/>
      <c r="M2975" s="33"/>
      <c r="N2975" s="33"/>
      <c r="O2975" s="33"/>
      <c r="P2975" s="33"/>
      <c r="Q2975" s="33"/>
      <c r="R2975" s="33"/>
      <c r="S2975" s="33"/>
      <c r="T2975" s="33"/>
      <c r="U2975" s="33"/>
      <c r="V2975" s="33"/>
      <c r="W2975" s="33"/>
      <c r="X2975" s="33"/>
      <c r="Y2975" s="33"/>
      <c r="Z2975" s="33"/>
      <c r="AA2975" s="33"/>
      <c r="AB2975" s="33"/>
    </row>
    <row r="2976" spans="1:28" x14ac:dyDescent="0.15">
      <c r="A2976" s="46" t="s">
        <v>6003</v>
      </c>
      <c r="B2976" s="52" t="s">
        <v>7361</v>
      </c>
      <c r="C2976" s="53" t="s">
        <v>6004</v>
      </c>
      <c r="D2976" s="54" t="s">
        <v>10415</v>
      </c>
      <c r="E2976" s="50">
        <f t="shared" si="101"/>
        <v>40.712328769999999</v>
      </c>
      <c r="F2976" s="51">
        <f t="shared" si="101"/>
        <v>4.6363723999999999</v>
      </c>
      <c r="H2976" s="33"/>
      <c r="I2976" s="33"/>
      <c r="J2976" s="33"/>
      <c r="K2976" s="33"/>
      <c r="L2976" s="33"/>
      <c r="M2976" s="33"/>
      <c r="N2976" s="33"/>
      <c r="O2976" s="33"/>
      <c r="P2976" s="33"/>
      <c r="Q2976" s="33"/>
      <c r="R2976" s="33"/>
      <c r="S2976" s="33"/>
      <c r="T2976" s="33"/>
      <c r="U2976" s="33"/>
      <c r="V2976" s="33"/>
      <c r="W2976" s="33"/>
      <c r="X2976" s="33"/>
      <c r="Y2976" s="33"/>
      <c r="Z2976" s="33"/>
      <c r="AA2976" s="33"/>
      <c r="AB2976" s="33"/>
    </row>
    <row r="2977" spans="1:28" x14ac:dyDescent="0.15">
      <c r="A2977" s="46" t="s">
        <v>6005</v>
      </c>
      <c r="B2977" s="52" t="s">
        <v>7361</v>
      </c>
      <c r="C2977" s="53" t="s">
        <v>6006</v>
      </c>
      <c r="D2977" s="54" t="s">
        <v>10416</v>
      </c>
      <c r="E2977" s="50">
        <f t="shared" si="101"/>
        <v>40.7260274</v>
      </c>
      <c r="F2977" s="51">
        <f t="shared" si="101"/>
        <v>4.636412</v>
      </c>
      <c r="H2977" s="33"/>
      <c r="I2977" s="33"/>
      <c r="J2977" s="33"/>
      <c r="K2977" s="33"/>
      <c r="L2977" s="33"/>
      <c r="M2977" s="33"/>
      <c r="N2977" s="33"/>
      <c r="O2977" s="33"/>
      <c r="P2977" s="33"/>
      <c r="Q2977" s="33"/>
      <c r="R2977" s="33"/>
      <c r="S2977" s="33"/>
      <c r="T2977" s="33"/>
      <c r="U2977" s="33"/>
      <c r="V2977" s="33"/>
      <c r="W2977" s="33"/>
      <c r="X2977" s="33"/>
      <c r="Y2977" s="33"/>
      <c r="Z2977" s="33"/>
      <c r="AA2977" s="33"/>
      <c r="AB2977" s="33"/>
    </row>
    <row r="2978" spans="1:28" x14ac:dyDescent="0.15">
      <c r="A2978" s="46" t="s">
        <v>6007</v>
      </c>
      <c r="B2978" s="52" t="s">
        <v>7361</v>
      </c>
      <c r="C2978" s="53" t="s">
        <v>6008</v>
      </c>
      <c r="D2978" s="54" t="s">
        <v>10417</v>
      </c>
      <c r="E2978" s="50">
        <f t="shared" si="101"/>
        <v>40.73972603</v>
      </c>
      <c r="F2978" s="51">
        <f t="shared" si="101"/>
        <v>4.63645117</v>
      </c>
      <c r="H2978" s="33"/>
      <c r="I2978" s="33"/>
      <c r="J2978" s="33"/>
      <c r="K2978" s="33"/>
      <c r="L2978" s="33"/>
      <c r="M2978" s="33"/>
      <c r="N2978" s="33"/>
      <c r="O2978" s="33"/>
      <c r="P2978" s="33"/>
      <c r="Q2978" s="33"/>
      <c r="R2978" s="33"/>
      <c r="S2978" s="33"/>
      <c r="T2978" s="33"/>
      <c r="U2978" s="33"/>
      <c r="V2978" s="33"/>
      <c r="W2978" s="33"/>
      <c r="X2978" s="33"/>
      <c r="Y2978" s="33"/>
      <c r="Z2978" s="33"/>
      <c r="AA2978" s="33"/>
      <c r="AB2978" s="33"/>
    </row>
    <row r="2979" spans="1:28" x14ac:dyDescent="0.15">
      <c r="A2979" s="46" t="s">
        <v>6009</v>
      </c>
      <c r="B2979" s="52" t="s">
        <v>7361</v>
      </c>
      <c r="C2979" s="53" t="s">
        <v>6010</v>
      </c>
      <c r="D2979" s="54" t="s">
        <v>10418</v>
      </c>
      <c r="E2979" s="50">
        <f t="shared" si="101"/>
        <v>40.75342466</v>
      </c>
      <c r="F2979" s="51">
        <f t="shared" si="101"/>
        <v>4.6364899499999996</v>
      </c>
      <c r="H2979" s="33"/>
      <c r="I2979" s="33"/>
      <c r="J2979" s="33"/>
      <c r="K2979" s="33"/>
      <c r="L2979" s="33"/>
      <c r="M2979" s="33"/>
      <c r="N2979" s="33"/>
      <c r="O2979" s="33"/>
      <c r="P2979" s="33"/>
      <c r="Q2979" s="33"/>
      <c r="R2979" s="33"/>
      <c r="S2979" s="33"/>
      <c r="T2979" s="33"/>
      <c r="U2979" s="33"/>
      <c r="V2979" s="33"/>
      <c r="W2979" s="33"/>
      <c r="X2979" s="33"/>
      <c r="Y2979" s="33"/>
      <c r="Z2979" s="33"/>
      <c r="AA2979" s="33"/>
      <c r="AB2979" s="33"/>
    </row>
    <row r="2980" spans="1:28" x14ac:dyDescent="0.15">
      <c r="A2980" s="46" t="s">
        <v>6011</v>
      </c>
      <c r="B2980" s="52" t="s">
        <v>7361</v>
      </c>
      <c r="C2980" s="53" t="s">
        <v>6012</v>
      </c>
      <c r="D2980" s="54" t="s">
        <v>10419</v>
      </c>
      <c r="E2980" s="50">
        <f t="shared" si="101"/>
        <v>40.767123290000001</v>
      </c>
      <c r="F2980" s="51">
        <f t="shared" si="101"/>
        <v>4.6365284000000004</v>
      </c>
      <c r="H2980" s="33"/>
      <c r="I2980" s="33"/>
      <c r="J2980" s="33"/>
      <c r="K2980" s="33"/>
      <c r="L2980" s="33"/>
      <c r="M2980" s="33"/>
      <c r="N2980" s="33"/>
      <c r="O2980" s="33"/>
      <c r="P2980" s="33"/>
      <c r="Q2980" s="33"/>
      <c r="R2980" s="33"/>
      <c r="S2980" s="33"/>
      <c r="T2980" s="33"/>
      <c r="U2980" s="33"/>
      <c r="V2980" s="33"/>
      <c r="W2980" s="33"/>
      <c r="X2980" s="33"/>
      <c r="Y2980" s="33"/>
      <c r="Z2980" s="33"/>
      <c r="AA2980" s="33"/>
      <c r="AB2980" s="33"/>
    </row>
    <row r="2981" spans="1:28" x14ac:dyDescent="0.15">
      <c r="A2981" s="46" t="s">
        <v>6013</v>
      </c>
      <c r="B2981" s="52" t="s">
        <v>7361</v>
      </c>
      <c r="C2981" s="53" t="s">
        <v>6014</v>
      </c>
      <c r="D2981" s="54" t="s">
        <v>10420</v>
      </c>
      <c r="E2981" s="50">
        <f t="shared" si="101"/>
        <v>40.780821920000001</v>
      </c>
      <c r="F2981" s="51">
        <f t="shared" si="101"/>
        <v>4.6365665800000002</v>
      </c>
      <c r="H2981" s="33"/>
      <c r="I2981" s="33"/>
      <c r="J2981" s="33"/>
      <c r="K2981" s="33"/>
      <c r="L2981" s="33"/>
      <c r="M2981" s="33"/>
      <c r="N2981" s="33"/>
      <c r="O2981" s="33"/>
      <c r="P2981" s="33"/>
      <c r="Q2981" s="33"/>
      <c r="R2981" s="33"/>
      <c r="S2981" s="33"/>
      <c r="T2981" s="33"/>
      <c r="U2981" s="33"/>
      <c r="V2981" s="33"/>
      <c r="W2981" s="33"/>
      <c r="X2981" s="33"/>
      <c r="Y2981" s="33"/>
      <c r="Z2981" s="33"/>
      <c r="AA2981" s="33"/>
      <c r="AB2981" s="33"/>
    </row>
    <row r="2982" spans="1:28" x14ac:dyDescent="0.15">
      <c r="A2982" s="46" t="s">
        <v>6015</v>
      </c>
      <c r="B2982" s="52" t="s">
        <v>7361</v>
      </c>
      <c r="C2982" s="53" t="s">
        <v>6016</v>
      </c>
      <c r="D2982" s="54" t="s">
        <v>10421</v>
      </c>
      <c r="E2982" s="50">
        <f t="shared" si="101"/>
        <v>40.794520550000001</v>
      </c>
      <c r="F2982" s="51">
        <f t="shared" si="101"/>
        <v>4.6366045500000004</v>
      </c>
      <c r="H2982" s="33"/>
      <c r="I2982" s="33"/>
      <c r="J2982" s="33"/>
      <c r="K2982" s="33"/>
      <c r="L2982" s="33"/>
      <c r="M2982" s="33"/>
      <c r="N2982" s="33"/>
      <c r="O2982" s="33"/>
      <c r="P2982" s="33"/>
      <c r="Q2982" s="33"/>
      <c r="R2982" s="33"/>
      <c r="S2982" s="33"/>
      <c r="T2982" s="33"/>
      <c r="U2982" s="33"/>
      <c r="V2982" s="33"/>
      <c r="W2982" s="33"/>
      <c r="X2982" s="33"/>
      <c r="Y2982" s="33"/>
      <c r="Z2982" s="33"/>
      <c r="AA2982" s="33"/>
      <c r="AB2982" s="33"/>
    </row>
    <row r="2983" spans="1:28" x14ac:dyDescent="0.15">
      <c r="A2983" s="46" t="s">
        <v>6017</v>
      </c>
      <c r="B2983" s="52" t="s">
        <v>7361</v>
      </c>
      <c r="C2983" s="53" t="s">
        <v>6018</v>
      </c>
      <c r="D2983" s="54" t="s">
        <v>10422</v>
      </c>
      <c r="E2983" s="50">
        <f t="shared" si="101"/>
        <v>40.808219180000002</v>
      </c>
      <c r="F2983" s="51">
        <f t="shared" si="101"/>
        <v>4.6366423599999997</v>
      </c>
      <c r="H2983" s="33"/>
      <c r="I2983" s="33"/>
      <c r="J2983" s="33"/>
      <c r="K2983" s="33"/>
      <c r="L2983" s="33"/>
      <c r="M2983" s="33"/>
      <c r="N2983" s="33"/>
      <c r="O2983" s="33"/>
      <c r="P2983" s="33"/>
      <c r="Q2983" s="33"/>
      <c r="R2983" s="33"/>
      <c r="S2983" s="33"/>
      <c r="T2983" s="33"/>
      <c r="U2983" s="33"/>
      <c r="V2983" s="33"/>
      <c r="W2983" s="33"/>
      <c r="X2983" s="33"/>
      <c r="Y2983" s="33"/>
      <c r="Z2983" s="33"/>
      <c r="AA2983" s="33"/>
      <c r="AB2983" s="33"/>
    </row>
    <row r="2984" spans="1:28" x14ac:dyDescent="0.15">
      <c r="A2984" s="46" t="s">
        <v>6019</v>
      </c>
      <c r="B2984" s="52" t="s">
        <v>7361</v>
      </c>
      <c r="C2984" s="53" t="s">
        <v>6020</v>
      </c>
      <c r="D2984" s="54" t="s">
        <v>10423</v>
      </c>
      <c r="E2984" s="50">
        <f t="shared" si="101"/>
        <v>40.821917810000002</v>
      </c>
      <c r="F2984" s="51">
        <f t="shared" si="101"/>
        <v>4.6366800699999997</v>
      </c>
      <c r="H2984" s="33"/>
      <c r="I2984" s="33"/>
      <c r="J2984" s="33"/>
      <c r="K2984" s="33"/>
      <c r="L2984" s="33"/>
      <c r="M2984" s="33"/>
      <c r="N2984" s="33"/>
      <c r="O2984" s="33"/>
      <c r="P2984" s="33"/>
      <c r="Q2984" s="33"/>
      <c r="R2984" s="33"/>
      <c r="S2984" s="33"/>
      <c r="T2984" s="33"/>
      <c r="U2984" s="33"/>
      <c r="V2984" s="33"/>
      <c r="W2984" s="33"/>
      <c r="X2984" s="33"/>
      <c r="Y2984" s="33"/>
      <c r="Z2984" s="33"/>
      <c r="AA2984" s="33"/>
      <c r="AB2984" s="33"/>
    </row>
    <row r="2985" spans="1:28" x14ac:dyDescent="0.15">
      <c r="A2985" s="46" t="s">
        <v>6021</v>
      </c>
      <c r="B2985" s="52" t="s">
        <v>7361</v>
      </c>
      <c r="C2985" s="53" t="s">
        <v>6022</v>
      </c>
      <c r="D2985" s="54" t="s">
        <v>10424</v>
      </c>
      <c r="E2985" s="50">
        <f t="shared" si="101"/>
        <v>40.835616440000003</v>
      </c>
      <c r="F2985" s="51">
        <f t="shared" si="101"/>
        <v>4.63671773</v>
      </c>
      <c r="H2985" s="33"/>
      <c r="I2985" s="33"/>
      <c r="J2985" s="33"/>
      <c r="K2985" s="33"/>
      <c r="L2985" s="33"/>
      <c r="M2985" s="33"/>
      <c r="N2985" s="33"/>
      <c r="O2985" s="33"/>
      <c r="P2985" s="33"/>
      <c r="Q2985" s="33"/>
      <c r="R2985" s="33"/>
      <c r="S2985" s="33"/>
      <c r="T2985" s="33"/>
      <c r="U2985" s="33"/>
      <c r="V2985" s="33"/>
      <c r="W2985" s="33"/>
      <c r="X2985" s="33"/>
      <c r="Y2985" s="33"/>
      <c r="Z2985" s="33"/>
      <c r="AA2985" s="33"/>
      <c r="AB2985" s="33"/>
    </row>
    <row r="2986" spans="1:28" x14ac:dyDescent="0.15">
      <c r="A2986" s="46" t="s">
        <v>6023</v>
      </c>
      <c r="B2986" s="52" t="s">
        <v>7361</v>
      </c>
      <c r="C2986" s="53" t="s">
        <v>6024</v>
      </c>
      <c r="D2986" s="54" t="s">
        <v>10425</v>
      </c>
      <c r="E2986" s="50">
        <f t="shared" si="101"/>
        <v>40.849315070000003</v>
      </c>
      <c r="F2986" s="51">
        <f t="shared" si="101"/>
        <v>4.6367554000000002</v>
      </c>
      <c r="H2986" s="33"/>
      <c r="I2986" s="33"/>
      <c r="J2986" s="33"/>
      <c r="K2986" s="33"/>
      <c r="L2986" s="33"/>
      <c r="M2986" s="33"/>
      <c r="N2986" s="33"/>
      <c r="O2986" s="33"/>
      <c r="P2986" s="33"/>
      <c r="Q2986" s="33"/>
      <c r="R2986" s="33"/>
      <c r="S2986" s="33"/>
      <c r="T2986" s="33"/>
      <c r="U2986" s="33"/>
      <c r="V2986" s="33"/>
      <c r="W2986" s="33"/>
      <c r="X2986" s="33"/>
      <c r="Y2986" s="33"/>
      <c r="Z2986" s="33"/>
      <c r="AA2986" s="33"/>
      <c r="AB2986" s="33"/>
    </row>
    <row r="2987" spans="1:28" x14ac:dyDescent="0.15">
      <c r="A2987" s="46" t="s">
        <v>6025</v>
      </c>
      <c r="B2987" s="52" t="s">
        <v>7361</v>
      </c>
      <c r="C2987" s="53" t="s">
        <v>6026</v>
      </c>
      <c r="D2987" s="54" t="s">
        <v>10426</v>
      </c>
      <c r="E2987" s="50">
        <f t="shared" si="101"/>
        <v>40.863013700000003</v>
      </c>
      <c r="F2987" s="51">
        <f t="shared" si="101"/>
        <v>4.63679313</v>
      </c>
      <c r="H2987" s="33"/>
      <c r="I2987" s="33"/>
      <c r="J2987" s="33"/>
      <c r="K2987" s="33"/>
      <c r="L2987" s="33"/>
      <c r="M2987" s="33"/>
      <c r="N2987" s="33"/>
      <c r="O2987" s="33"/>
      <c r="P2987" s="33"/>
      <c r="Q2987" s="33"/>
      <c r="R2987" s="33"/>
      <c r="S2987" s="33"/>
      <c r="T2987" s="33"/>
      <c r="U2987" s="33"/>
      <c r="V2987" s="33"/>
      <c r="W2987" s="33"/>
      <c r="X2987" s="33"/>
      <c r="Y2987" s="33"/>
      <c r="Z2987" s="33"/>
      <c r="AA2987" s="33"/>
      <c r="AB2987" s="33"/>
    </row>
    <row r="2988" spans="1:28" x14ac:dyDescent="0.15">
      <c r="A2988" s="46" t="s">
        <v>6027</v>
      </c>
      <c r="B2988" s="52" t="s">
        <v>7361</v>
      </c>
      <c r="C2988" s="53" t="s">
        <v>6028</v>
      </c>
      <c r="D2988" s="54" t="s">
        <v>10427</v>
      </c>
      <c r="E2988" s="50">
        <f t="shared" si="101"/>
        <v>40.876712329999997</v>
      </c>
      <c r="F2988" s="51">
        <f t="shared" si="101"/>
        <v>4.63683099</v>
      </c>
      <c r="H2988" s="33"/>
      <c r="I2988" s="33"/>
      <c r="J2988" s="33"/>
      <c r="K2988" s="33"/>
      <c r="L2988" s="33"/>
      <c r="M2988" s="33"/>
      <c r="N2988" s="33"/>
      <c r="O2988" s="33"/>
      <c r="P2988" s="33"/>
      <c r="Q2988" s="33"/>
      <c r="R2988" s="33"/>
      <c r="S2988" s="33"/>
      <c r="T2988" s="33"/>
      <c r="U2988" s="33"/>
      <c r="V2988" s="33"/>
      <c r="W2988" s="33"/>
      <c r="X2988" s="33"/>
      <c r="Y2988" s="33"/>
      <c r="Z2988" s="33"/>
      <c r="AA2988" s="33"/>
      <c r="AB2988" s="33"/>
    </row>
    <row r="2989" spans="1:28" x14ac:dyDescent="0.15">
      <c r="A2989" s="46" t="s">
        <v>6029</v>
      </c>
      <c r="B2989" s="52" t="s">
        <v>7361</v>
      </c>
      <c r="C2989" s="53" t="s">
        <v>6030</v>
      </c>
      <c r="D2989" s="54" t="s">
        <v>10428</v>
      </c>
      <c r="E2989" s="50">
        <f t="shared" si="101"/>
        <v>40.890410959999997</v>
      </c>
      <c r="F2989" s="51">
        <f t="shared" si="101"/>
        <v>4.6368690199999998</v>
      </c>
      <c r="H2989" s="33"/>
      <c r="I2989" s="33"/>
      <c r="J2989" s="33"/>
      <c r="K2989" s="33"/>
      <c r="L2989" s="33"/>
      <c r="M2989" s="33"/>
      <c r="N2989" s="33"/>
      <c r="O2989" s="33"/>
      <c r="P2989" s="33"/>
      <c r="Q2989" s="33"/>
      <c r="R2989" s="33"/>
      <c r="S2989" s="33"/>
      <c r="T2989" s="33"/>
      <c r="U2989" s="33"/>
      <c r="V2989" s="33"/>
      <c r="W2989" s="33"/>
      <c r="X2989" s="33"/>
      <c r="Y2989" s="33"/>
      <c r="Z2989" s="33"/>
      <c r="AA2989" s="33"/>
      <c r="AB2989" s="33"/>
    </row>
    <row r="2990" spans="1:28" x14ac:dyDescent="0.15">
      <c r="A2990" s="46" t="s">
        <v>6031</v>
      </c>
      <c r="B2990" s="52" t="s">
        <v>7361</v>
      </c>
      <c r="C2990" s="53" t="s">
        <v>6032</v>
      </c>
      <c r="D2990" s="54" t="s">
        <v>10429</v>
      </c>
      <c r="E2990" s="50">
        <f t="shared" ref="E2990:F3019" si="102">VALUE(C2990)</f>
        <v>40.904109589999997</v>
      </c>
      <c r="F2990" s="51">
        <f t="shared" si="102"/>
        <v>4.6369072899999999</v>
      </c>
      <c r="H2990" s="33"/>
      <c r="I2990" s="33"/>
      <c r="J2990" s="33"/>
      <c r="K2990" s="33"/>
      <c r="L2990" s="33"/>
      <c r="M2990" s="33"/>
      <c r="N2990" s="33"/>
      <c r="O2990" s="33"/>
      <c r="P2990" s="33"/>
      <c r="Q2990" s="33"/>
      <c r="R2990" s="33"/>
      <c r="S2990" s="33"/>
      <c r="T2990" s="33"/>
      <c r="U2990" s="33"/>
      <c r="V2990" s="33"/>
      <c r="W2990" s="33"/>
      <c r="X2990" s="33"/>
      <c r="Y2990" s="33"/>
      <c r="Z2990" s="33"/>
      <c r="AA2990" s="33"/>
      <c r="AB2990" s="33"/>
    </row>
    <row r="2991" spans="1:28" x14ac:dyDescent="0.15">
      <c r="A2991" s="46" t="s">
        <v>6033</v>
      </c>
      <c r="B2991" s="52" t="s">
        <v>7361</v>
      </c>
      <c r="C2991" s="53" t="s">
        <v>6034</v>
      </c>
      <c r="D2991" s="54" t="s">
        <v>10430</v>
      </c>
      <c r="E2991" s="50">
        <f t="shared" si="102"/>
        <v>40.917808219999998</v>
      </c>
      <c r="F2991" s="51">
        <f t="shared" si="102"/>
        <v>4.6369458400000001</v>
      </c>
      <c r="H2991" s="33"/>
      <c r="I2991" s="33"/>
      <c r="J2991" s="33"/>
      <c r="K2991" s="33"/>
      <c r="L2991" s="33"/>
      <c r="M2991" s="33"/>
      <c r="N2991" s="33"/>
      <c r="O2991" s="33"/>
      <c r="P2991" s="33"/>
      <c r="Q2991" s="33"/>
      <c r="R2991" s="33"/>
      <c r="S2991" s="33"/>
      <c r="T2991" s="33"/>
      <c r="U2991" s="33"/>
      <c r="V2991" s="33"/>
      <c r="W2991" s="33"/>
      <c r="X2991" s="33"/>
      <c r="Y2991" s="33"/>
      <c r="Z2991" s="33"/>
      <c r="AA2991" s="33"/>
      <c r="AB2991" s="33"/>
    </row>
    <row r="2992" spans="1:28" x14ac:dyDescent="0.15">
      <c r="A2992" s="46" t="s">
        <v>6035</v>
      </c>
      <c r="B2992" s="52" t="s">
        <v>7361</v>
      </c>
      <c r="C2992" s="53" t="s">
        <v>6036</v>
      </c>
      <c r="D2992" s="54" t="s">
        <v>10431</v>
      </c>
      <c r="E2992" s="50">
        <f t="shared" si="102"/>
        <v>40.931506849999998</v>
      </c>
      <c r="F2992" s="51">
        <f t="shared" si="102"/>
        <v>4.6369847399999999</v>
      </c>
      <c r="H2992" s="33"/>
      <c r="I2992" s="33"/>
      <c r="J2992" s="33"/>
      <c r="K2992" s="33"/>
      <c r="L2992" s="33"/>
      <c r="M2992" s="33"/>
      <c r="N2992" s="33"/>
      <c r="O2992" s="33"/>
      <c r="P2992" s="33"/>
      <c r="Q2992" s="33"/>
      <c r="R2992" s="33"/>
      <c r="S2992" s="33"/>
      <c r="T2992" s="33"/>
      <c r="U2992" s="33"/>
      <c r="V2992" s="33"/>
      <c r="W2992" s="33"/>
      <c r="X2992" s="33"/>
      <c r="Y2992" s="33"/>
      <c r="Z2992" s="33"/>
      <c r="AA2992" s="33"/>
      <c r="AB2992" s="33"/>
    </row>
    <row r="2993" spans="1:28" x14ac:dyDescent="0.15">
      <c r="A2993" s="46" t="s">
        <v>6037</v>
      </c>
      <c r="B2993" s="52" t="s">
        <v>7361</v>
      </c>
      <c r="C2993" s="53" t="s">
        <v>6038</v>
      </c>
      <c r="D2993" s="54" t="s">
        <v>10432</v>
      </c>
      <c r="E2993" s="50">
        <f t="shared" si="102"/>
        <v>40.945205479999998</v>
      </c>
      <c r="F2993" s="51">
        <f t="shared" si="102"/>
        <v>4.63702405</v>
      </c>
      <c r="H2993" s="33"/>
      <c r="I2993" s="33"/>
      <c r="J2993" s="33"/>
      <c r="K2993" s="33"/>
      <c r="L2993" s="33"/>
      <c r="M2993" s="33"/>
      <c r="N2993" s="33"/>
      <c r="O2993" s="33"/>
      <c r="P2993" s="33"/>
      <c r="Q2993" s="33"/>
      <c r="R2993" s="33"/>
      <c r="S2993" s="33"/>
      <c r="T2993" s="33"/>
      <c r="U2993" s="33"/>
      <c r="V2993" s="33"/>
      <c r="W2993" s="33"/>
      <c r="X2993" s="33"/>
      <c r="Y2993" s="33"/>
      <c r="Z2993" s="33"/>
      <c r="AA2993" s="33"/>
      <c r="AB2993" s="33"/>
    </row>
    <row r="2994" spans="1:28" x14ac:dyDescent="0.15">
      <c r="A2994" s="46" t="s">
        <v>6039</v>
      </c>
      <c r="B2994" s="52" t="s">
        <v>7361</v>
      </c>
      <c r="C2994" s="53" t="s">
        <v>6040</v>
      </c>
      <c r="D2994" s="54" t="s">
        <v>10433</v>
      </c>
      <c r="E2994" s="50">
        <f t="shared" si="102"/>
        <v>40.958904109999999</v>
      </c>
      <c r="F2994" s="51">
        <f t="shared" si="102"/>
        <v>4.6370638099999999</v>
      </c>
      <c r="H2994" s="33"/>
      <c r="I2994" s="33"/>
      <c r="J2994" s="33"/>
      <c r="K2994" s="33"/>
      <c r="L2994" s="33"/>
      <c r="M2994" s="33"/>
      <c r="N2994" s="33"/>
      <c r="O2994" s="33"/>
      <c r="P2994" s="33"/>
      <c r="Q2994" s="33"/>
      <c r="R2994" s="33"/>
      <c r="S2994" s="33"/>
      <c r="T2994" s="33"/>
      <c r="U2994" s="33"/>
      <c r="V2994" s="33"/>
      <c r="W2994" s="33"/>
      <c r="X2994" s="33"/>
      <c r="Y2994" s="33"/>
      <c r="Z2994" s="33"/>
      <c r="AA2994" s="33"/>
      <c r="AB2994" s="33"/>
    </row>
    <row r="2995" spans="1:28" x14ac:dyDescent="0.15">
      <c r="A2995" s="46" t="s">
        <v>6041</v>
      </c>
      <c r="B2995" s="52" t="s">
        <v>7361</v>
      </c>
      <c r="C2995" s="53" t="s">
        <v>6042</v>
      </c>
      <c r="D2995" s="54" t="s">
        <v>10434</v>
      </c>
      <c r="E2995" s="50">
        <f t="shared" si="102"/>
        <v>40.972602739999999</v>
      </c>
      <c r="F2995" s="51">
        <f t="shared" si="102"/>
        <v>4.6371040800000003</v>
      </c>
      <c r="H2995" s="33"/>
      <c r="I2995" s="33"/>
      <c r="J2995" s="33"/>
      <c r="K2995" s="33"/>
      <c r="L2995" s="33"/>
      <c r="M2995" s="33"/>
      <c r="N2995" s="33"/>
      <c r="O2995" s="33"/>
      <c r="P2995" s="33"/>
      <c r="Q2995" s="33"/>
      <c r="R2995" s="33"/>
      <c r="S2995" s="33"/>
      <c r="T2995" s="33"/>
      <c r="U2995" s="33"/>
      <c r="V2995" s="33"/>
      <c r="W2995" s="33"/>
      <c r="X2995" s="33"/>
      <c r="Y2995" s="33"/>
      <c r="Z2995" s="33"/>
      <c r="AA2995" s="33"/>
      <c r="AB2995" s="33"/>
    </row>
    <row r="2996" spans="1:28" x14ac:dyDescent="0.15">
      <c r="A2996" s="46" t="s">
        <v>6043</v>
      </c>
      <c r="B2996" s="52" t="s">
        <v>7361</v>
      </c>
      <c r="C2996" s="53" t="s">
        <v>6044</v>
      </c>
      <c r="D2996" s="54" t="s">
        <v>10435</v>
      </c>
      <c r="E2996" s="50">
        <f t="shared" si="102"/>
        <v>40.98630137</v>
      </c>
      <c r="F2996" s="51">
        <f t="shared" si="102"/>
        <v>4.6371449199999999</v>
      </c>
      <c r="H2996" s="33"/>
      <c r="I2996" s="33"/>
      <c r="J2996" s="33"/>
      <c r="K2996" s="33"/>
      <c r="L2996" s="33"/>
      <c r="M2996" s="33"/>
      <c r="N2996" s="33"/>
      <c r="O2996" s="33"/>
      <c r="P2996" s="33"/>
      <c r="Q2996" s="33"/>
      <c r="R2996" s="33"/>
      <c r="S2996" s="33"/>
      <c r="T2996" s="33"/>
      <c r="U2996" s="33"/>
      <c r="V2996" s="33"/>
      <c r="W2996" s="33"/>
      <c r="X2996" s="33"/>
      <c r="Y2996" s="33"/>
      <c r="Z2996" s="33"/>
      <c r="AA2996" s="33"/>
      <c r="AB2996" s="33"/>
    </row>
    <row r="2997" spans="1:28" x14ac:dyDescent="0.15">
      <c r="A2997" s="46" t="s">
        <v>6045</v>
      </c>
      <c r="B2997" s="52" t="s">
        <v>7361</v>
      </c>
      <c r="C2997" s="53" t="s">
        <v>6046</v>
      </c>
      <c r="D2997" s="54" t="s">
        <v>10436</v>
      </c>
      <c r="E2997" s="50">
        <f t="shared" si="102"/>
        <v>41</v>
      </c>
      <c r="F2997" s="51">
        <f t="shared" si="102"/>
        <v>4.6371863900000001</v>
      </c>
      <c r="H2997" s="33"/>
      <c r="I2997" s="33"/>
      <c r="J2997" s="33"/>
      <c r="K2997" s="33"/>
      <c r="L2997" s="33"/>
      <c r="M2997" s="33"/>
      <c r="N2997" s="33"/>
      <c r="O2997" s="33"/>
      <c r="P2997" s="33"/>
      <c r="Q2997" s="33"/>
      <c r="R2997" s="33"/>
      <c r="S2997" s="33"/>
      <c r="T2997" s="33"/>
      <c r="U2997" s="33"/>
      <c r="V2997" s="33"/>
      <c r="W2997" s="33"/>
      <c r="X2997" s="33"/>
      <c r="Y2997" s="33"/>
      <c r="Z2997" s="33"/>
      <c r="AA2997" s="33"/>
      <c r="AB2997" s="33"/>
    </row>
    <row r="2998" spans="1:28" x14ac:dyDescent="0.15">
      <c r="A2998" s="46" t="s">
        <v>6047</v>
      </c>
      <c r="B2998" s="52" t="s">
        <v>7361</v>
      </c>
      <c r="C2998" s="53" t="s">
        <v>6048</v>
      </c>
      <c r="D2998" s="54" t="s">
        <v>10437</v>
      </c>
      <c r="E2998" s="50">
        <f t="shared" si="102"/>
        <v>41.01369863</v>
      </c>
      <c r="F2998" s="51">
        <f t="shared" si="102"/>
        <v>4.6372275600000004</v>
      </c>
      <c r="H2998" s="33"/>
      <c r="I2998" s="33"/>
      <c r="J2998" s="33"/>
      <c r="K2998" s="33"/>
      <c r="L2998" s="33"/>
      <c r="M2998" s="33"/>
      <c r="N2998" s="33"/>
      <c r="O2998" s="33"/>
      <c r="P2998" s="33"/>
      <c r="Q2998" s="33"/>
      <c r="R2998" s="33"/>
      <c r="S2998" s="33"/>
      <c r="T2998" s="33"/>
      <c r="U2998" s="33"/>
      <c r="V2998" s="33"/>
      <c r="W2998" s="33"/>
      <c r="X2998" s="33"/>
      <c r="Y2998" s="33"/>
      <c r="Z2998" s="33"/>
      <c r="AA2998" s="33"/>
      <c r="AB2998" s="33"/>
    </row>
    <row r="2999" spans="1:28" x14ac:dyDescent="0.15">
      <c r="A2999" s="46" t="s">
        <v>6049</v>
      </c>
      <c r="B2999" s="52" t="s">
        <v>7361</v>
      </c>
      <c r="C2999" s="53" t="s">
        <v>6050</v>
      </c>
      <c r="D2999" s="54" t="s">
        <v>10438</v>
      </c>
      <c r="E2999" s="50">
        <f t="shared" si="102"/>
        <v>41.027397260000001</v>
      </c>
      <c r="F2999" s="51">
        <f t="shared" si="102"/>
        <v>4.63726752</v>
      </c>
      <c r="H2999" s="33"/>
      <c r="I2999" s="33"/>
      <c r="J2999" s="33"/>
      <c r="K2999" s="33"/>
      <c r="L2999" s="33"/>
      <c r="M2999" s="33"/>
      <c r="N2999" s="33"/>
      <c r="O2999" s="33"/>
      <c r="P2999" s="33"/>
      <c r="Q2999" s="33"/>
      <c r="R2999" s="33"/>
      <c r="S2999" s="33"/>
      <c r="T2999" s="33"/>
      <c r="U2999" s="33"/>
      <c r="V2999" s="33"/>
      <c r="W2999" s="33"/>
      <c r="X2999" s="33"/>
      <c r="Y2999" s="33"/>
      <c r="Z2999" s="33"/>
      <c r="AA2999" s="33"/>
      <c r="AB2999" s="33"/>
    </row>
    <row r="3000" spans="1:28" x14ac:dyDescent="0.15">
      <c r="A3000" s="46" t="s">
        <v>6051</v>
      </c>
      <c r="B3000" s="52" t="s">
        <v>7361</v>
      </c>
      <c r="C3000" s="53" t="s">
        <v>6052</v>
      </c>
      <c r="D3000" s="54" t="s">
        <v>10439</v>
      </c>
      <c r="E3000" s="50">
        <f t="shared" si="102"/>
        <v>41.041095890000001</v>
      </c>
      <c r="F3000" s="51">
        <f t="shared" si="102"/>
        <v>4.6373063099999996</v>
      </c>
      <c r="H3000" s="33"/>
      <c r="I3000" s="33"/>
      <c r="J3000" s="33"/>
      <c r="K3000" s="33"/>
      <c r="L3000" s="33"/>
      <c r="M3000" s="33"/>
      <c r="N3000" s="33"/>
      <c r="O3000" s="33"/>
      <c r="P3000" s="33"/>
      <c r="Q3000" s="33"/>
      <c r="R3000" s="33"/>
      <c r="S3000" s="33"/>
      <c r="T3000" s="33"/>
      <c r="U3000" s="33"/>
      <c r="V3000" s="33"/>
      <c r="W3000" s="33"/>
      <c r="X3000" s="33"/>
      <c r="Y3000" s="33"/>
      <c r="Z3000" s="33"/>
      <c r="AA3000" s="33"/>
      <c r="AB3000" s="33"/>
    </row>
    <row r="3001" spans="1:28" x14ac:dyDescent="0.15">
      <c r="A3001" s="46" t="s">
        <v>6053</v>
      </c>
      <c r="B3001" s="52" t="s">
        <v>7361</v>
      </c>
      <c r="C3001" s="53" t="s">
        <v>6054</v>
      </c>
      <c r="D3001" s="54" t="s">
        <v>10440</v>
      </c>
      <c r="E3001" s="50">
        <f t="shared" si="102"/>
        <v>41.054794520000002</v>
      </c>
      <c r="F3001" s="51">
        <f t="shared" si="102"/>
        <v>4.6373439799999998</v>
      </c>
      <c r="H3001" s="33"/>
      <c r="I3001" s="33"/>
      <c r="J3001" s="33"/>
      <c r="K3001" s="33"/>
      <c r="L3001" s="33"/>
      <c r="M3001" s="33"/>
      <c r="N3001" s="33"/>
      <c r="O3001" s="33"/>
      <c r="P3001" s="33"/>
      <c r="Q3001" s="33"/>
      <c r="R3001" s="33"/>
      <c r="S3001" s="33"/>
      <c r="T3001" s="33"/>
      <c r="U3001" s="33"/>
      <c r="V3001" s="33"/>
      <c r="W3001" s="33"/>
      <c r="X3001" s="33"/>
      <c r="Y3001" s="33"/>
      <c r="Z3001" s="33"/>
      <c r="AA3001" s="33"/>
      <c r="AB3001" s="33"/>
    </row>
    <row r="3002" spans="1:28" x14ac:dyDescent="0.15">
      <c r="A3002" s="46" t="s">
        <v>6055</v>
      </c>
      <c r="B3002" s="52" t="s">
        <v>7361</v>
      </c>
      <c r="C3002" s="53" t="s">
        <v>6056</v>
      </c>
      <c r="D3002" s="54" t="s">
        <v>10441</v>
      </c>
      <c r="E3002" s="50">
        <f t="shared" si="102"/>
        <v>41.068493150000002</v>
      </c>
      <c r="F3002" s="51">
        <f t="shared" si="102"/>
        <v>4.6373806000000002</v>
      </c>
      <c r="H3002" s="33"/>
      <c r="I3002" s="33"/>
      <c r="J3002" s="33"/>
      <c r="K3002" s="33"/>
      <c r="L3002" s="33"/>
      <c r="M3002" s="33"/>
      <c r="N3002" s="33"/>
      <c r="O3002" s="33"/>
      <c r="P3002" s="33"/>
      <c r="Q3002" s="33"/>
      <c r="R3002" s="33"/>
      <c r="S3002" s="33"/>
      <c r="T3002" s="33"/>
      <c r="U3002" s="33"/>
      <c r="V3002" s="33"/>
      <c r="W3002" s="33"/>
      <c r="X3002" s="33"/>
      <c r="Y3002" s="33"/>
      <c r="Z3002" s="33"/>
      <c r="AA3002" s="33"/>
      <c r="AB3002" s="33"/>
    </row>
    <row r="3003" spans="1:28" x14ac:dyDescent="0.15">
      <c r="A3003" s="46" t="s">
        <v>6057</v>
      </c>
      <c r="B3003" s="52" t="s">
        <v>7361</v>
      </c>
      <c r="C3003" s="53" t="s">
        <v>6058</v>
      </c>
      <c r="D3003" s="54" t="s">
        <v>10442</v>
      </c>
      <c r="E3003" s="50">
        <f t="shared" si="102"/>
        <v>41.082191780000002</v>
      </c>
      <c r="F3003" s="51">
        <f t="shared" si="102"/>
        <v>4.6374161999999997</v>
      </c>
      <c r="H3003" s="33"/>
      <c r="I3003" s="33"/>
      <c r="J3003" s="33"/>
      <c r="K3003" s="33"/>
      <c r="L3003" s="33"/>
      <c r="M3003" s="33"/>
      <c r="N3003" s="33"/>
      <c r="O3003" s="33"/>
      <c r="P3003" s="33"/>
      <c r="Q3003" s="33"/>
      <c r="R3003" s="33"/>
      <c r="S3003" s="33"/>
      <c r="T3003" s="33"/>
      <c r="U3003" s="33"/>
      <c r="V3003" s="33"/>
      <c r="W3003" s="33"/>
      <c r="X3003" s="33"/>
      <c r="Y3003" s="33"/>
      <c r="Z3003" s="33"/>
      <c r="AA3003" s="33"/>
      <c r="AB3003" s="33"/>
    </row>
    <row r="3004" spans="1:28" x14ac:dyDescent="0.15">
      <c r="A3004" s="46" t="s">
        <v>6059</v>
      </c>
      <c r="B3004" s="52" t="s">
        <v>7361</v>
      </c>
      <c r="C3004" s="53" t="s">
        <v>6060</v>
      </c>
      <c r="D3004" s="54" t="s">
        <v>10443</v>
      </c>
      <c r="E3004" s="50">
        <f t="shared" si="102"/>
        <v>41.095890410000003</v>
      </c>
      <c r="F3004" s="51">
        <f t="shared" si="102"/>
        <v>4.6374508499999996</v>
      </c>
      <c r="H3004" s="33"/>
      <c r="I3004" s="33"/>
      <c r="J3004" s="33"/>
      <c r="K3004" s="33"/>
      <c r="L3004" s="33"/>
      <c r="M3004" s="33"/>
      <c r="N3004" s="33"/>
      <c r="O3004" s="33"/>
      <c r="P3004" s="33"/>
      <c r="Q3004" s="33"/>
      <c r="R3004" s="33"/>
      <c r="S3004" s="33"/>
      <c r="T3004" s="33"/>
      <c r="U3004" s="33"/>
      <c r="V3004" s="33"/>
      <c r="W3004" s="33"/>
      <c r="X3004" s="33"/>
      <c r="Y3004" s="33"/>
      <c r="Z3004" s="33"/>
      <c r="AA3004" s="33"/>
      <c r="AB3004" s="33"/>
    </row>
    <row r="3005" spans="1:28" x14ac:dyDescent="0.15">
      <c r="A3005" s="46" t="s">
        <v>6061</v>
      </c>
      <c r="B3005" s="52" t="s">
        <v>7361</v>
      </c>
      <c r="C3005" s="53" t="s">
        <v>6062</v>
      </c>
      <c r="D3005" s="54" t="s">
        <v>10444</v>
      </c>
      <c r="E3005" s="50">
        <f t="shared" si="102"/>
        <v>41.109589040000003</v>
      </c>
      <c r="F3005" s="51">
        <f t="shared" si="102"/>
        <v>4.6374845899999997</v>
      </c>
      <c r="H3005" s="33"/>
      <c r="I3005" s="33"/>
      <c r="J3005" s="33"/>
      <c r="K3005" s="33"/>
      <c r="L3005" s="33"/>
      <c r="M3005" s="33"/>
      <c r="N3005" s="33"/>
      <c r="O3005" s="33"/>
      <c r="P3005" s="33"/>
      <c r="Q3005" s="33"/>
      <c r="R3005" s="33"/>
      <c r="S3005" s="33"/>
      <c r="T3005" s="33"/>
      <c r="U3005" s="33"/>
      <c r="V3005" s="33"/>
      <c r="W3005" s="33"/>
      <c r="X3005" s="33"/>
      <c r="Y3005" s="33"/>
      <c r="Z3005" s="33"/>
      <c r="AA3005" s="33"/>
      <c r="AB3005" s="33"/>
    </row>
    <row r="3006" spans="1:28" x14ac:dyDescent="0.15">
      <c r="A3006" s="46" t="s">
        <v>6063</v>
      </c>
      <c r="B3006" s="52" t="s">
        <v>7361</v>
      </c>
      <c r="C3006" s="53" t="s">
        <v>6064</v>
      </c>
      <c r="D3006" s="54" t="s">
        <v>10445</v>
      </c>
      <c r="E3006" s="50">
        <f t="shared" si="102"/>
        <v>41.123287670000003</v>
      </c>
      <c r="F3006" s="51">
        <f t="shared" si="102"/>
        <v>4.6375174799999996</v>
      </c>
      <c r="H3006" s="33"/>
      <c r="I3006" s="33"/>
      <c r="J3006" s="33"/>
      <c r="K3006" s="33"/>
      <c r="L3006" s="33"/>
      <c r="M3006" s="33"/>
      <c r="N3006" s="33"/>
      <c r="O3006" s="33"/>
      <c r="P3006" s="33"/>
      <c r="Q3006" s="33"/>
      <c r="R3006" s="33"/>
      <c r="S3006" s="33"/>
      <c r="T3006" s="33"/>
      <c r="U3006" s="33"/>
      <c r="V3006" s="33"/>
      <c r="W3006" s="33"/>
      <c r="X3006" s="33"/>
      <c r="Y3006" s="33"/>
      <c r="Z3006" s="33"/>
      <c r="AA3006" s="33"/>
      <c r="AB3006" s="33"/>
    </row>
    <row r="3007" spans="1:28" x14ac:dyDescent="0.15">
      <c r="A3007" s="46" t="s">
        <v>6065</v>
      </c>
      <c r="B3007" s="52" t="s">
        <v>7361</v>
      </c>
      <c r="C3007" s="53" t="s">
        <v>6066</v>
      </c>
      <c r="D3007" s="54" t="s">
        <v>10446</v>
      </c>
      <c r="E3007" s="50">
        <f t="shared" si="102"/>
        <v>41.136986299999997</v>
      </c>
      <c r="F3007" s="51">
        <f t="shared" si="102"/>
        <v>4.63754957</v>
      </c>
      <c r="H3007" s="33"/>
      <c r="I3007" s="33"/>
      <c r="J3007" s="33"/>
      <c r="K3007" s="33"/>
      <c r="L3007" s="33"/>
      <c r="M3007" s="33"/>
      <c r="N3007" s="33"/>
      <c r="O3007" s="33"/>
      <c r="P3007" s="33"/>
      <c r="Q3007" s="33"/>
      <c r="R3007" s="33"/>
      <c r="S3007" s="33"/>
      <c r="T3007" s="33"/>
      <c r="U3007" s="33"/>
      <c r="V3007" s="33"/>
      <c r="W3007" s="33"/>
      <c r="X3007" s="33"/>
      <c r="Y3007" s="33"/>
      <c r="Z3007" s="33"/>
      <c r="AA3007" s="33"/>
      <c r="AB3007" s="33"/>
    </row>
    <row r="3008" spans="1:28" x14ac:dyDescent="0.15">
      <c r="A3008" s="46" t="s">
        <v>6067</v>
      </c>
      <c r="B3008" s="52" t="s">
        <v>7361</v>
      </c>
      <c r="C3008" s="53" t="s">
        <v>6068</v>
      </c>
      <c r="D3008" s="54" t="s">
        <v>10447</v>
      </c>
      <c r="E3008" s="50">
        <f t="shared" si="102"/>
        <v>41.150684929999997</v>
      </c>
      <c r="F3008" s="51">
        <f t="shared" si="102"/>
        <v>4.6375809099999996</v>
      </c>
      <c r="H3008" s="33"/>
      <c r="I3008" s="33"/>
      <c r="J3008" s="33"/>
      <c r="K3008" s="33"/>
      <c r="L3008" s="33"/>
      <c r="M3008" s="33"/>
      <c r="N3008" s="33"/>
      <c r="O3008" s="33"/>
      <c r="P3008" s="33"/>
      <c r="Q3008" s="33"/>
      <c r="R3008" s="33"/>
      <c r="S3008" s="33"/>
      <c r="T3008" s="33"/>
      <c r="U3008" s="33"/>
      <c r="V3008" s="33"/>
      <c r="W3008" s="33"/>
      <c r="X3008" s="33"/>
      <c r="Y3008" s="33"/>
      <c r="Z3008" s="33"/>
      <c r="AA3008" s="33"/>
      <c r="AB3008" s="33"/>
    </row>
    <row r="3009" spans="1:28" x14ac:dyDescent="0.15">
      <c r="A3009" s="46" t="s">
        <v>6069</v>
      </c>
      <c r="B3009" s="52" t="s">
        <v>7361</v>
      </c>
      <c r="C3009" s="53" t="s">
        <v>6070</v>
      </c>
      <c r="D3009" s="54" t="s">
        <v>10448</v>
      </c>
      <c r="E3009" s="50">
        <f t="shared" si="102"/>
        <v>41.164383559999997</v>
      </c>
      <c r="F3009" s="51">
        <f t="shared" si="102"/>
        <v>4.6376115599999999</v>
      </c>
      <c r="H3009" s="33"/>
      <c r="I3009" s="33"/>
      <c r="J3009" s="33"/>
      <c r="K3009" s="33"/>
      <c r="L3009" s="33"/>
      <c r="M3009" s="33"/>
      <c r="N3009" s="33"/>
      <c r="O3009" s="33"/>
      <c r="P3009" s="33"/>
      <c r="Q3009" s="33"/>
      <c r="R3009" s="33"/>
      <c r="S3009" s="33"/>
      <c r="T3009" s="33"/>
      <c r="U3009" s="33"/>
      <c r="V3009" s="33"/>
      <c r="W3009" s="33"/>
      <c r="X3009" s="33"/>
      <c r="Y3009" s="33"/>
      <c r="Z3009" s="33"/>
      <c r="AA3009" s="33"/>
      <c r="AB3009" s="33"/>
    </row>
    <row r="3010" spans="1:28" x14ac:dyDescent="0.15">
      <c r="A3010" s="46" t="s">
        <v>6071</v>
      </c>
      <c r="B3010" s="52" t="s">
        <v>7361</v>
      </c>
      <c r="C3010" s="53" t="s">
        <v>6072</v>
      </c>
      <c r="D3010" s="54" t="s">
        <v>10449</v>
      </c>
      <c r="E3010" s="50">
        <f t="shared" si="102"/>
        <v>41.178082189999998</v>
      </c>
      <c r="F3010" s="51">
        <f t="shared" si="102"/>
        <v>4.6376415599999996</v>
      </c>
      <c r="H3010" s="33"/>
      <c r="I3010" s="33"/>
      <c r="J3010" s="33"/>
      <c r="K3010" s="33"/>
      <c r="L3010" s="33"/>
      <c r="M3010" s="33"/>
      <c r="N3010" s="33"/>
      <c r="O3010" s="33"/>
      <c r="P3010" s="33"/>
      <c r="Q3010" s="33"/>
      <c r="R3010" s="33"/>
      <c r="S3010" s="33"/>
      <c r="T3010" s="33"/>
      <c r="U3010" s="33"/>
      <c r="V3010" s="33"/>
      <c r="W3010" s="33"/>
      <c r="X3010" s="33"/>
      <c r="Y3010" s="33"/>
      <c r="Z3010" s="33"/>
      <c r="AA3010" s="33"/>
      <c r="AB3010" s="33"/>
    </row>
    <row r="3011" spans="1:28" x14ac:dyDescent="0.15">
      <c r="A3011" s="46" t="s">
        <v>6073</v>
      </c>
      <c r="B3011" s="52" t="s">
        <v>7361</v>
      </c>
      <c r="C3011" s="53" t="s">
        <v>6074</v>
      </c>
      <c r="D3011" s="54" t="s">
        <v>10450</v>
      </c>
      <c r="E3011" s="50">
        <f t="shared" si="102"/>
        <v>41.191780819999998</v>
      </c>
      <c r="F3011" s="51">
        <f t="shared" si="102"/>
        <v>4.6376709700000003</v>
      </c>
      <c r="H3011" s="33"/>
      <c r="I3011" s="33"/>
      <c r="J3011" s="33"/>
      <c r="K3011" s="33"/>
      <c r="L3011" s="33"/>
      <c r="M3011" s="33"/>
      <c r="N3011" s="33"/>
      <c r="O3011" s="33"/>
      <c r="P3011" s="33"/>
      <c r="Q3011" s="33"/>
      <c r="R3011" s="33"/>
      <c r="S3011" s="33"/>
      <c r="T3011" s="33"/>
      <c r="U3011" s="33"/>
      <c r="V3011" s="33"/>
      <c r="W3011" s="33"/>
      <c r="X3011" s="33"/>
      <c r="Y3011" s="33"/>
      <c r="Z3011" s="33"/>
      <c r="AA3011" s="33"/>
      <c r="AB3011" s="33"/>
    </row>
    <row r="3012" spans="1:28" x14ac:dyDescent="0.15">
      <c r="A3012" s="46" t="s">
        <v>6075</v>
      </c>
      <c r="B3012" s="52" t="s">
        <v>7361</v>
      </c>
      <c r="C3012" s="53" t="s">
        <v>6076</v>
      </c>
      <c r="D3012" s="54" t="s">
        <v>10451</v>
      </c>
      <c r="E3012" s="50">
        <f t="shared" si="102"/>
        <v>41.205479449999999</v>
      </c>
      <c r="F3012" s="51">
        <f t="shared" si="102"/>
        <v>4.6376998399999998</v>
      </c>
      <c r="H3012" s="33"/>
      <c r="I3012" s="33"/>
      <c r="J3012" s="33"/>
      <c r="K3012" s="33"/>
      <c r="L3012" s="33"/>
      <c r="M3012" s="33"/>
      <c r="N3012" s="33"/>
      <c r="O3012" s="33"/>
      <c r="P3012" s="33"/>
      <c r="Q3012" s="33"/>
      <c r="R3012" s="33"/>
      <c r="S3012" s="33"/>
      <c r="T3012" s="33"/>
      <c r="U3012" s="33"/>
      <c r="V3012" s="33"/>
      <c r="W3012" s="33"/>
      <c r="X3012" s="33"/>
      <c r="Y3012" s="33"/>
      <c r="Z3012" s="33"/>
      <c r="AA3012" s="33"/>
      <c r="AB3012" s="33"/>
    </row>
    <row r="3013" spans="1:28" x14ac:dyDescent="0.15">
      <c r="A3013" s="46" t="s">
        <v>6077</v>
      </c>
      <c r="B3013" s="52" t="s">
        <v>7361</v>
      </c>
      <c r="C3013" s="53" t="s">
        <v>6078</v>
      </c>
      <c r="D3013" s="54" t="s">
        <v>10452</v>
      </c>
      <c r="E3013" s="50">
        <f t="shared" si="102"/>
        <v>41.219178079999999</v>
      </c>
      <c r="F3013" s="51">
        <f t="shared" si="102"/>
        <v>4.6377282199999996</v>
      </c>
      <c r="H3013" s="33"/>
      <c r="I3013" s="33"/>
      <c r="J3013" s="33"/>
      <c r="K3013" s="33"/>
      <c r="L3013" s="33"/>
      <c r="M3013" s="33"/>
      <c r="N3013" s="33"/>
      <c r="O3013" s="33"/>
      <c r="P3013" s="33"/>
      <c r="Q3013" s="33"/>
      <c r="R3013" s="33"/>
      <c r="S3013" s="33"/>
      <c r="T3013" s="33"/>
      <c r="U3013" s="33"/>
      <c r="V3013" s="33"/>
      <c r="W3013" s="33"/>
      <c r="X3013" s="33"/>
      <c r="Y3013" s="33"/>
      <c r="Z3013" s="33"/>
      <c r="AA3013" s="33"/>
      <c r="AB3013" s="33"/>
    </row>
    <row r="3014" spans="1:28" x14ac:dyDescent="0.15">
      <c r="A3014" s="46" t="s">
        <v>6079</v>
      </c>
      <c r="B3014" s="52" t="s">
        <v>7361</v>
      </c>
      <c r="C3014" s="53" t="s">
        <v>6080</v>
      </c>
      <c r="D3014" s="54" t="s">
        <v>10453</v>
      </c>
      <c r="E3014" s="50">
        <f t="shared" si="102"/>
        <v>41.232876709999999</v>
      </c>
      <c r="F3014" s="51">
        <f t="shared" si="102"/>
        <v>4.6377561700000003</v>
      </c>
      <c r="H3014" s="33"/>
      <c r="I3014" s="33"/>
      <c r="J3014" s="33"/>
      <c r="K3014" s="33"/>
      <c r="L3014" s="33"/>
      <c r="M3014" s="33"/>
      <c r="N3014" s="33"/>
      <c r="O3014" s="33"/>
      <c r="P3014" s="33"/>
      <c r="Q3014" s="33"/>
      <c r="R3014" s="33"/>
      <c r="S3014" s="33"/>
      <c r="T3014" s="33"/>
      <c r="U3014" s="33"/>
      <c r="V3014" s="33"/>
      <c r="W3014" s="33"/>
      <c r="X3014" s="33"/>
      <c r="Y3014" s="33"/>
      <c r="Z3014" s="33"/>
      <c r="AA3014" s="33"/>
      <c r="AB3014" s="33"/>
    </row>
    <row r="3015" spans="1:28" x14ac:dyDescent="0.15">
      <c r="A3015" s="46" t="s">
        <v>6081</v>
      </c>
      <c r="B3015" s="52" t="s">
        <v>7361</v>
      </c>
      <c r="C3015" s="53" t="s">
        <v>6082</v>
      </c>
      <c r="D3015" s="54" t="s">
        <v>10454</v>
      </c>
      <c r="E3015" s="50">
        <f t="shared" si="102"/>
        <v>41.24657534</v>
      </c>
      <c r="F3015" s="51">
        <f t="shared" si="102"/>
        <v>4.6377837399999997</v>
      </c>
      <c r="H3015" s="33"/>
      <c r="I3015" s="33"/>
      <c r="J3015" s="33"/>
      <c r="K3015" s="33"/>
      <c r="L3015" s="33"/>
      <c r="M3015" s="33"/>
      <c r="N3015" s="33"/>
      <c r="O3015" s="33"/>
      <c r="P3015" s="33"/>
      <c r="Q3015" s="33"/>
      <c r="R3015" s="33"/>
      <c r="S3015" s="33"/>
      <c r="T3015" s="33"/>
      <c r="U3015" s="33"/>
      <c r="V3015" s="33"/>
      <c r="W3015" s="33"/>
      <c r="X3015" s="33"/>
      <c r="Y3015" s="33"/>
      <c r="Z3015" s="33"/>
      <c r="AA3015" s="33"/>
      <c r="AB3015" s="33"/>
    </row>
    <row r="3016" spans="1:28" x14ac:dyDescent="0.15">
      <c r="A3016" s="46" t="s">
        <v>6083</v>
      </c>
      <c r="B3016" s="52" t="s">
        <v>7361</v>
      </c>
      <c r="C3016" s="53" t="s">
        <v>6084</v>
      </c>
      <c r="D3016" s="54" t="s">
        <v>10455</v>
      </c>
      <c r="E3016" s="50">
        <f t="shared" si="102"/>
        <v>41.26027397</v>
      </c>
      <c r="F3016" s="51">
        <f t="shared" si="102"/>
        <v>4.6378109700000003</v>
      </c>
      <c r="H3016" s="33"/>
      <c r="I3016" s="33"/>
      <c r="J3016" s="33"/>
      <c r="K3016" s="33"/>
      <c r="L3016" s="33"/>
      <c r="M3016" s="33"/>
      <c r="N3016" s="33"/>
      <c r="O3016" s="33"/>
      <c r="P3016" s="33"/>
      <c r="Q3016" s="33"/>
      <c r="R3016" s="33"/>
      <c r="S3016" s="33"/>
      <c r="T3016" s="33"/>
      <c r="U3016" s="33"/>
      <c r="V3016" s="33"/>
      <c r="W3016" s="33"/>
      <c r="X3016" s="33"/>
      <c r="Y3016" s="33"/>
      <c r="Z3016" s="33"/>
      <c r="AA3016" s="33"/>
      <c r="AB3016" s="33"/>
    </row>
    <row r="3017" spans="1:28" x14ac:dyDescent="0.15">
      <c r="A3017" s="46" t="s">
        <v>6085</v>
      </c>
      <c r="B3017" s="52" t="s">
        <v>7361</v>
      </c>
      <c r="C3017" s="53" t="s">
        <v>6086</v>
      </c>
      <c r="D3017" s="54" t="s">
        <v>10456</v>
      </c>
      <c r="E3017" s="50">
        <f t="shared" si="102"/>
        <v>41.2739726</v>
      </c>
      <c r="F3017" s="51">
        <f t="shared" si="102"/>
        <v>4.6378379299999999</v>
      </c>
      <c r="H3017" s="33"/>
      <c r="I3017" s="33"/>
      <c r="J3017" s="33"/>
      <c r="K3017" s="33"/>
      <c r="L3017" s="33"/>
      <c r="M3017" s="33"/>
      <c r="N3017" s="33"/>
      <c r="O3017" s="33"/>
      <c r="P3017" s="33"/>
      <c r="Q3017" s="33"/>
      <c r="R3017" s="33"/>
      <c r="S3017" s="33"/>
      <c r="T3017" s="33"/>
      <c r="U3017" s="33"/>
      <c r="V3017" s="33"/>
      <c r="W3017" s="33"/>
      <c r="X3017" s="33"/>
      <c r="Y3017" s="33"/>
      <c r="Z3017" s="33"/>
      <c r="AA3017" s="33"/>
      <c r="AB3017" s="33"/>
    </row>
    <row r="3018" spans="1:28" x14ac:dyDescent="0.15">
      <c r="A3018" s="46" t="s">
        <v>6087</v>
      </c>
      <c r="B3018" s="52" t="s">
        <v>7361</v>
      </c>
      <c r="C3018" s="53" t="s">
        <v>6088</v>
      </c>
      <c r="D3018" s="54" t="s">
        <v>10457</v>
      </c>
      <c r="E3018" s="50">
        <f t="shared" si="102"/>
        <v>41.287671230000001</v>
      </c>
      <c r="F3018" s="51">
        <f t="shared" si="102"/>
        <v>4.63786466</v>
      </c>
      <c r="H3018" s="33"/>
      <c r="I3018" s="33"/>
      <c r="J3018" s="33"/>
      <c r="K3018" s="33"/>
      <c r="L3018" s="33"/>
      <c r="M3018" s="33"/>
      <c r="N3018" s="33"/>
      <c r="O3018" s="33"/>
      <c r="P3018" s="33"/>
      <c r="Q3018" s="33"/>
      <c r="R3018" s="33"/>
      <c r="S3018" s="33"/>
      <c r="T3018" s="33"/>
      <c r="U3018" s="33"/>
      <c r="V3018" s="33"/>
      <c r="W3018" s="33"/>
      <c r="X3018" s="33"/>
      <c r="Y3018" s="33"/>
      <c r="Z3018" s="33"/>
      <c r="AA3018" s="33"/>
      <c r="AB3018" s="33"/>
    </row>
    <row r="3019" spans="1:28" x14ac:dyDescent="0.15">
      <c r="A3019" s="46" t="s">
        <v>6089</v>
      </c>
      <c r="B3019" s="52" t="s">
        <v>7361</v>
      </c>
      <c r="C3019" s="53" t="s">
        <v>6090</v>
      </c>
      <c r="D3019" s="54" t="s">
        <v>10458</v>
      </c>
      <c r="E3019" s="50">
        <f t="shared" si="102"/>
        <v>41.301369860000001</v>
      </c>
      <c r="F3019" s="51">
        <f t="shared" si="102"/>
        <v>4.6378912100000003</v>
      </c>
      <c r="H3019" s="33"/>
      <c r="I3019" s="33"/>
      <c r="J3019" s="33"/>
      <c r="K3019" s="33"/>
      <c r="L3019" s="33"/>
      <c r="M3019" s="33"/>
      <c r="N3019" s="33"/>
      <c r="O3019" s="33"/>
      <c r="P3019" s="33"/>
      <c r="Q3019" s="33"/>
      <c r="R3019" s="33"/>
      <c r="S3019" s="33"/>
      <c r="T3019" s="33"/>
      <c r="U3019" s="33"/>
      <c r="V3019" s="33"/>
      <c r="W3019" s="33"/>
      <c r="X3019" s="33"/>
      <c r="Y3019" s="33"/>
      <c r="Z3019" s="33"/>
      <c r="AA3019" s="33"/>
      <c r="AB3019" s="33"/>
    </row>
    <row r="3020" spans="1:28" x14ac:dyDescent="0.15">
      <c r="A3020" s="46" t="s">
        <v>6091</v>
      </c>
      <c r="B3020" s="52" t="s">
        <v>7361</v>
      </c>
      <c r="C3020" s="53" t="s">
        <v>6092</v>
      </c>
      <c r="D3020" s="54" t="s">
        <v>10459</v>
      </c>
      <c r="E3020" s="50">
        <f t="shared" ref="E3020:F3050" si="103">VALUE(C3020)</f>
        <v>41.315068490000002</v>
      </c>
      <c r="F3020" s="51">
        <f t="shared" si="103"/>
        <v>4.6379176500000003</v>
      </c>
      <c r="H3020" s="33"/>
      <c r="I3020" s="33"/>
      <c r="J3020" s="33"/>
      <c r="K3020" s="33"/>
      <c r="L3020" s="33"/>
      <c r="M3020" s="33"/>
      <c r="N3020" s="33"/>
      <c r="O3020" s="33"/>
      <c r="P3020" s="33"/>
      <c r="Q3020" s="33"/>
      <c r="R3020" s="33"/>
      <c r="S3020" s="33"/>
      <c r="T3020" s="33"/>
      <c r="U3020" s="33"/>
      <c r="V3020" s="33"/>
      <c r="W3020" s="33"/>
      <c r="X3020" s="33"/>
      <c r="Y3020" s="33"/>
      <c r="Z3020" s="33"/>
      <c r="AA3020" s="33"/>
      <c r="AB3020" s="33"/>
    </row>
    <row r="3021" spans="1:28" x14ac:dyDescent="0.15">
      <c r="A3021" s="46" t="s">
        <v>6093</v>
      </c>
      <c r="B3021" s="52" t="s">
        <v>7361</v>
      </c>
      <c r="C3021" s="53" t="s">
        <v>6094</v>
      </c>
      <c r="D3021" s="54" t="s">
        <v>10460</v>
      </c>
      <c r="E3021" s="50">
        <f t="shared" si="103"/>
        <v>41.328767120000002</v>
      </c>
      <c r="F3021" s="51">
        <f t="shared" si="103"/>
        <v>4.63794401</v>
      </c>
      <c r="H3021" s="33"/>
      <c r="I3021" s="33"/>
      <c r="J3021" s="33"/>
      <c r="K3021" s="33"/>
      <c r="L3021" s="33"/>
      <c r="M3021" s="33"/>
      <c r="N3021" s="33"/>
      <c r="O3021" s="33"/>
      <c r="P3021" s="33"/>
      <c r="Q3021" s="33"/>
      <c r="R3021" s="33"/>
      <c r="S3021" s="33"/>
      <c r="T3021" s="33"/>
      <c r="U3021" s="33"/>
      <c r="V3021" s="33"/>
      <c r="W3021" s="33"/>
      <c r="X3021" s="33"/>
      <c r="Y3021" s="33"/>
      <c r="Z3021" s="33"/>
      <c r="AA3021" s="33"/>
      <c r="AB3021" s="33"/>
    </row>
    <row r="3022" spans="1:28" x14ac:dyDescent="0.15">
      <c r="A3022" s="46" t="s">
        <v>6095</v>
      </c>
      <c r="B3022" s="52" t="s">
        <v>7361</v>
      </c>
      <c r="C3022" s="53" t="s">
        <v>6096</v>
      </c>
      <c r="D3022" s="54" t="s">
        <v>10461</v>
      </c>
      <c r="E3022" s="50">
        <f t="shared" si="103"/>
        <v>41.342465750000002</v>
      </c>
      <c r="F3022" s="51">
        <f t="shared" si="103"/>
        <v>4.6379703599999997</v>
      </c>
      <c r="H3022" s="33"/>
      <c r="I3022" s="33"/>
      <c r="J3022" s="33"/>
      <c r="K3022" s="33"/>
      <c r="L3022" s="33"/>
      <c r="M3022" s="33"/>
      <c r="N3022" s="33"/>
      <c r="O3022" s="33"/>
      <c r="P3022" s="33"/>
      <c r="Q3022" s="33"/>
      <c r="R3022" s="33"/>
      <c r="S3022" s="33"/>
      <c r="T3022" s="33"/>
      <c r="U3022" s="33"/>
      <c r="V3022" s="33"/>
      <c r="W3022" s="33"/>
      <c r="X3022" s="33"/>
      <c r="Y3022" s="33"/>
      <c r="Z3022" s="33"/>
      <c r="AA3022" s="33"/>
      <c r="AB3022" s="33"/>
    </row>
    <row r="3023" spans="1:28" x14ac:dyDescent="0.15">
      <c r="A3023" s="46" t="s">
        <v>6097</v>
      </c>
      <c r="B3023" s="52" t="s">
        <v>7361</v>
      </c>
      <c r="C3023" s="53" t="s">
        <v>6098</v>
      </c>
      <c r="D3023" s="54" t="s">
        <v>10462</v>
      </c>
      <c r="E3023" s="50">
        <f t="shared" si="103"/>
        <v>41.356164380000003</v>
      </c>
      <c r="F3023" s="51">
        <f t="shared" si="103"/>
        <v>4.6379967400000002</v>
      </c>
      <c r="H3023" s="33"/>
      <c r="I3023" s="33"/>
      <c r="J3023" s="33"/>
      <c r="K3023" s="33"/>
      <c r="L3023" s="33"/>
      <c r="M3023" s="33"/>
      <c r="N3023" s="33"/>
      <c r="O3023" s="33"/>
      <c r="P3023" s="33"/>
      <c r="Q3023" s="33"/>
      <c r="R3023" s="33"/>
      <c r="S3023" s="33"/>
      <c r="T3023" s="33"/>
      <c r="U3023" s="33"/>
      <c r="V3023" s="33"/>
      <c r="W3023" s="33"/>
      <c r="X3023" s="33"/>
      <c r="Y3023" s="33"/>
      <c r="Z3023" s="33"/>
      <c r="AA3023" s="33"/>
      <c r="AB3023" s="33"/>
    </row>
    <row r="3024" spans="1:28" x14ac:dyDescent="0.15">
      <c r="A3024" s="46" t="s">
        <v>6099</v>
      </c>
      <c r="B3024" s="52" t="s">
        <v>7361</v>
      </c>
      <c r="C3024" s="53" t="s">
        <v>6100</v>
      </c>
      <c r="D3024" s="54" t="s">
        <v>10463</v>
      </c>
      <c r="E3024" s="50">
        <f t="shared" si="103"/>
        <v>41.369863010000003</v>
      </c>
      <c r="F3024" s="51">
        <f t="shared" si="103"/>
        <v>4.6380232100000001</v>
      </c>
      <c r="H3024" s="33"/>
      <c r="I3024" s="33"/>
      <c r="J3024" s="33"/>
      <c r="K3024" s="33"/>
      <c r="L3024" s="33"/>
      <c r="M3024" s="33"/>
      <c r="N3024" s="33"/>
      <c r="O3024" s="33"/>
      <c r="P3024" s="33"/>
      <c r="Q3024" s="33"/>
      <c r="R3024" s="33"/>
      <c r="S3024" s="33"/>
      <c r="T3024" s="33"/>
      <c r="U3024" s="33"/>
      <c r="V3024" s="33"/>
      <c r="W3024" s="33"/>
      <c r="X3024" s="33"/>
      <c r="Y3024" s="33"/>
      <c r="Z3024" s="33"/>
      <c r="AA3024" s="33"/>
      <c r="AB3024" s="33"/>
    </row>
    <row r="3025" spans="1:28" x14ac:dyDescent="0.15">
      <c r="A3025" s="46" t="s">
        <v>6101</v>
      </c>
      <c r="B3025" s="52" t="s">
        <v>7361</v>
      </c>
      <c r="C3025" s="53" t="s">
        <v>6102</v>
      </c>
      <c r="D3025" s="54" t="s">
        <v>10464</v>
      </c>
      <c r="E3025" s="50">
        <f t="shared" si="103"/>
        <v>41.383561640000003</v>
      </c>
      <c r="F3025" s="51">
        <f t="shared" si="103"/>
        <v>4.63804982</v>
      </c>
      <c r="H3025" s="33"/>
      <c r="I3025" s="33"/>
      <c r="J3025" s="33"/>
      <c r="K3025" s="33"/>
      <c r="L3025" s="33"/>
      <c r="M3025" s="33"/>
      <c r="N3025" s="33"/>
      <c r="O3025" s="33"/>
      <c r="P3025" s="33"/>
      <c r="Q3025" s="33"/>
      <c r="R3025" s="33"/>
      <c r="S3025" s="33"/>
      <c r="T3025" s="33"/>
      <c r="U3025" s="33"/>
      <c r="V3025" s="33"/>
      <c r="W3025" s="33"/>
      <c r="X3025" s="33"/>
      <c r="Y3025" s="33"/>
      <c r="Z3025" s="33"/>
      <c r="AA3025" s="33"/>
      <c r="AB3025" s="33"/>
    </row>
    <row r="3026" spans="1:28" x14ac:dyDescent="0.15">
      <c r="A3026" s="46" t="s">
        <v>6103</v>
      </c>
      <c r="B3026" s="52" t="s">
        <v>7361</v>
      </c>
      <c r="C3026" s="53" t="s">
        <v>6104</v>
      </c>
      <c r="D3026" s="54" t="s">
        <v>10465</v>
      </c>
      <c r="E3026" s="50">
        <f t="shared" si="103"/>
        <v>41.397260269999997</v>
      </c>
      <c r="F3026" s="51">
        <f t="shared" si="103"/>
        <v>4.6380766199999997</v>
      </c>
      <c r="H3026" s="33"/>
      <c r="I3026" s="33"/>
      <c r="J3026" s="33"/>
      <c r="K3026" s="33"/>
      <c r="L3026" s="33"/>
      <c r="M3026" s="33"/>
      <c r="N3026" s="33"/>
      <c r="O3026" s="33"/>
      <c r="P3026" s="33"/>
      <c r="Q3026" s="33"/>
      <c r="R3026" s="33"/>
      <c r="S3026" s="33"/>
      <c r="T3026" s="33"/>
      <c r="U3026" s="33"/>
      <c r="V3026" s="33"/>
      <c r="W3026" s="33"/>
      <c r="X3026" s="33"/>
      <c r="Y3026" s="33"/>
      <c r="Z3026" s="33"/>
      <c r="AA3026" s="33"/>
      <c r="AB3026" s="33"/>
    </row>
    <row r="3027" spans="1:28" x14ac:dyDescent="0.15">
      <c r="A3027" s="46" t="s">
        <v>6105</v>
      </c>
      <c r="B3027" s="52" t="s">
        <v>7361</v>
      </c>
      <c r="C3027" s="53" t="s">
        <v>6106</v>
      </c>
      <c r="D3027" s="54" t="s">
        <v>10466</v>
      </c>
      <c r="E3027" s="50">
        <f t="shared" si="103"/>
        <v>41.410958899999997</v>
      </c>
      <c r="F3027" s="51">
        <f t="shared" si="103"/>
        <v>4.6381036599999996</v>
      </c>
      <c r="H3027" s="33"/>
      <c r="I3027" s="33"/>
      <c r="J3027" s="33"/>
      <c r="K3027" s="33"/>
      <c r="L3027" s="33"/>
      <c r="M3027" s="33"/>
      <c r="N3027" s="33"/>
      <c r="O3027" s="33"/>
      <c r="P3027" s="33"/>
      <c r="Q3027" s="33"/>
      <c r="R3027" s="33"/>
      <c r="S3027" s="33"/>
      <c r="T3027" s="33"/>
      <c r="U3027" s="33"/>
      <c r="V3027" s="33"/>
      <c r="W3027" s="33"/>
      <c r="X3027" s="33"/>
      <c r="Y3027" s="33"/>
      <c r="Z3027" s="33"/>
      <c r="AA3027" s="33"/>
      <c r="AB3027" s="33"/>
    </row>
    <row r="3028" spans="1:28" x14ac:dyDescent="0.15">
      <c r="A3028" s="46" t="s">
        <v>6107</v>
      </c>
      <c r="B3028" s="52" t="s">
        <v>7361</v>
      </c>
      <c r="C3028" s="53" t="s">
        <v>6108</v>
      </c>
      <c r="D3028" s="54" t="s">
        <v>10467</v>
      </c>
      <c r="E3028" s="50">
        <f t="shared" si="103"/>
        <v>41.424657529999998</v>
      </c>
      <c r="F3028" s="51">
        <f t="shared" si="103"/>
        <v>4.6381309999999996</v>
      </c>
      <c r="H3028" s="33"/>
      <c r="I3028" s="33"/>
      <c r="J3028" s="33"/>
      <c r="K3028" s="33"/>
      <c r="L3028" s="33"/>
      <c r="M3028" s="33"/>
      <c r="N3028" s="33"/>
      <c r="O3028" s="33"/>
      <c r="P3028" s="33"/>
      <c r="Q3028" s="33"/>
      <c r="R3028" s="33"/>
      <c r="S3028" s="33"/>
      <c r="T3028" s="33"/>
      <c r="U3028" s="33"/>
      <c r="V3028" s="33"/>
      <c r="W3028" s="33"/>
      <c r="X3028" s="33"/>
      <c r="Y3028" s="33"/>
      <c r="Z3028" s="33"/>
      <c r="AA3028" s="33"/>
      <c r="AB3028" s="33"/>
    </row>
    <row r="3029" spans="1:28" x14ac:dyDescent="0.15">
      <c r="A3029" s="46" t="s">
        <v>6109</v>
      </c>
      <c r="B3029" s="52" t="s">
        <v>7361</v>
      </c>
      <c r="C3029" s="53" t="s">
        <v>6110</v>
      </c>
      <c r="D3029" s="54" t="s">
        <v>10468</v>
      </c>
      <c r="E3029" s="50">
        <f t="shared" si="103"/>
        <v>41.438356159999998</v>
      </c>
      <c r="F3029" s="51">
        <f t="shared" si="103"/>
        <v>4.63815869</v>
      </c>
      <c r="H3029" s="33"/>
      <c r="I3029" s="33"/>
      <c r="J3029" s="33"/>
      <c r="K3029" s="33"/>
      <c r="L3029" s="33"/>
      <c r="M3029" s="33"/>
      <c r="N3029" s="33"/>
      <c r="O3029" s="33"/>
      <c r="P3029" s="33"/>
      <c r="Q3029" s="33"/>
      <c r="R3029" s="33"/>
      <c r="S3029" s="33"/>
      <c r="T3029" s="33"/>
      <c r="U3029" s="33"/>
      <c r="V3029" s="33"/>
      <c r="W3029" s="33"/>
      <c r="X3029" s="33"/>
      <c r="Y3029" s="33"/>
      <c r="Z3029" s="33"/>
      <c r="AA3029" s="33"/>
      <c r="AB3029" s="33"/>
    </row>
    <row r="3030" spans="1:28" x14ac:dyDescent="0.15">
      <c r="A3030" s="46" t="s">
        <v>6111</v>
      </c>
      <c r="B3030" s="52" t="s">
        <v>7361</v>
      </c>
      <c r="C3030" s="53" t="s">
        <v>6112</v>
      </c>
      <c r="D3030" s="54" t="s">
        <v>10469</v>
      </c>
      <c r="E3030" s="50">
        <f t="shared" si="103"/>
        <v>41.452054789999998</v>
      </c>
      <c r="F3030" s="51">
        <f t="shared" si="103"/>
        <v>4.6381867799999998</v>
      </c>
      <c r="H3030" s="33"/>
      <c r="I3030" s="33"/>
      <c r="J3030" s="33"/>
      <c r="K3030" s="33"/>
      <c r="L3030" s="33"/>
      <c r="M3030" s="33"/>
      <c r="N3030" s="33"/>
      <c r="O3030" s="33"/>
      <c r="P3030" s="33"/>
      <c r="Q3030" s="33"/>
      <c r="R3030" s="33"/>
      <c r="S3030" s="33"/>
      <c r="T3030" s="33"/>
      <c r="U3030" s="33"/>
      <c r="V3030" s="33"/>
      <c r="W3030" s="33"/>
      <c r="X3030" s="33"/>
      <c r="Y3030" s="33"/>
      <c r="Z3030" s="33"/>
      <c r="AA3030" s="33"/>
      <c r="AB3030" s="33"/>
    </row>
    <row r="3031" spans="1:28" x14ac:dyDescent="0.15">
      <c r="A3031" s="46" t="s">
        <v>6113</v>
      </c>
      <c r="B3031" s="52" t="s">
        <v>7361</v>
      </c>
      <c r="C3031" s="53" t="s">
        <v>6114</v>
      </c>
      <c r="D3031" s="54" t="s">
        <v>10470</v>
      </c>
      <c r="E3031" s="50">
        <f t="shared" si="103"/>
        <v>41.465753419999999</v>
      </c>
      <c r="F3031" s="51">
        <f t="shared" si="103"/>
        <v>4.6382153199999996</v>
      </c>
      <c r="H3031" s="33"/>
      <c r="I3031" s="33"/>
      <c r="J3031" s="33"/>
      <c r="K3031" s="33"/>
      <c r="L3031" s="33"/>
      <c r="M3031" s="33"/>
      <c r="N3031" s="33"/>
      <c r="O3031" s="33"/>
      <c r="P3031" s="33"/>
      <c r="Q3031" s="33"/>
      <c r="R3031" s="33"/>
      <c r="S3031" s="33"/>
      <c r="T3031" s="33"/>
      <c r="U3031" s="33"/>
      <c r="V3031" s="33"/>
      <c r="W3031" s="33"/>
      <c r="X3031" s="33"/>
      <c r="Y3031" s="33"/>
      <c r="Z3031" s="33"/>
      <c r="AA3031" s="33"/>
      <c r="AB3031" s="33"/>
    </row>
    <row r="3032" spans="1:28" x14ac:dyDescent="0.15">
      <c r="A3032" s="46" t="s">
        <v>6115</v>
      </c>
      <c r="B3032" s="52" t="s">
        <v>7361</v>
      </c>
      <c r="C3032" s="53" t="s">
        <v>6116</v>
      </c>
      <c r="D3032" s="54" t="s">
        <v>10471</v>
      </c>
      <c r="E3032" s="50">
        <f t="shared" si="103"/>
        <v>41.479452049999999</v>
      </c>
      <c r="F3032" s="51">
        <f t="shared" si="103"/>
        <v>4.6382443599999998</v>
      </c>
      <c r="H3032" s="33"/>
      <c r="I3032" s="33"/>
      <c r="J3032" s="33"/>
      <c r="K3032" s="33"/>
      <c r="L3032" s="33"/>
      <c r="M3032" s="33"/>
      <c r="N3032" s="33"/>
      <c r="O3032" s="33"/>
      <c r="P3032" s="33"/>
      <c r="Q3032" s="33"/>
      <c r="R3032" s="33"/>
      <c r="S3032" s="33"/>
      <c r="T3032" s="33"/>
      <c r="U3032" s="33"/>
      <c r="V3032" s="33"/>
      <c r="W3032" s="33"/>
      <c r="X3032" s="33"/>
      <c r="Y3032" s="33"/>
      <c r="Z3032" s="33"/>
      <c r="AA3032" s="33"/>
      <c r="AB3032" s="33"/>
    </row>
    <row r="3033" spans="1:28" x14ac:dyDescent="0.15">
      <c r="A3033" s="46" t="s">
        <v>6117</v>
      </c>
      <c r="B3033" s="52" t="s">
        <v>7361</v>
      </c>
      <c r="C3033" s="53" t="s">
        <v>6118</v>
      </c>
      <c r="D3033" s="54" t="s">
        <v>10472</v>
      </c>
      <c r="E3033" s="50">
        <f t="shared" si="103"/>
        <v>41.493150679999999</v>
      </c>
      <c r="F3033" s="51">
        <f t="shared" si="103"/>
        <v>4.6382739600000003</v>
      </c>
      <c r="H3033" s="33"/>
      <c r="I3033" s="33"/>
      <c r="J3033" s="33"/>
      <c r="K3033" s="33"/>
      <c r="L3033" s="33"/>
      <c r="M3033" s="33"/>
      <c r="N3033" s="33"/>
      <c r="O3033" s="33"/>
      <c r="P3033" s="33"/>
      <c r="Q3033" s="33"/>
      <c r="R3033" s="33"/>
      <c r="S3033" s="33"/>
      <c r="T3033" s="33"/>
      <c r="U3033" s="33"/>
      <c r="V3033" s="33"/>
      <c r="W3033" s="33"/>
      <c r="X3033" s="33"/>
      <c r="Y3033" s="33"/>
      <c r="Z3033" s="33"/>
      <c r="AA3033" s="33"/>
      <c r="AB3033" s="33"/>
    </row>
    <row r="3034" spans="1:28" x14ac:dyDescent="0.15">
      <c r="A3034" s="46" t="s">
        <v>6119</v>
      </c>
      <c r="B3034" s="52" t="s">
        <v>7361</v>
      </c>
      <c r="C3034" s="53" t="s">
        <v>6120</v>
      </c>
      <c r="D3034" s="54" t="s">
        <v>10473</v>
      </c>
      <c r="E3034" s="50">
        <f t="shared" si="103"/>
        <v>41.506849320000001</v>
      </c>
      <c r="F3034" s="51">
        <f t="shared" si="103"/>
        <v>4.6383039500000001</v>
      </c>
      <c r="H3034" s="33"/>
      <c r="I3034" s="33"/>
      <c r="J3034" s="33"/>
      <c r="K3034" s="33"/>
      <c r="L3034" s="33"/>
      <c r="M3034" s="33"/>
      <c r="N3034" s="33"/>
      <c r="O3034" s="33"/>
      <c r="P3034" s="33"/>
      <c r="Q3034" s="33"/>
      <c r="R3034" s="33"/>
      <c r="S3034" s="33"/>
      <c r="T3034" s="33"/>
      <c r="U3034" s="33"/>
      <c r="V3034" s="33"/>
      <c r="W3034" s="33"/>
      <c r="X3034" s="33"/>
      <c r="Y3034" s="33"/>
      <c r="Z3034" s="33"/>
      <c r="AA3034" s="33"/>
      <c r="AB3034" s="33"/>
    </row>
    <row r="3035" spans="1:28" x14ac:dyDescent="0.15">
      <c r="A3035" s="46" t="s">
        <v>6121</v>
      </c>
      <c r="B3035" s="52" t="s">
        <v>7361</v>
      </c>
      <c r="C3035" s="53" t="s">
        <v>6122</v>
      </c>
      <c r="D3035" s="54" t="s">
        <v>10474</v>
      </c>
      <c r="E3035" s="50">
        <f t="shared" si="103"/>
        <v>41.520547950000001</v>
      </c>
      <c r="F3035" s="51">
        <f t="shared" si="103"/>
        <v>4.6383330100000002</v>
      </c>
      <c r="H3035" s="33"/>
      <c r="I3035" s="33"/>
      <c r="J3035" s="33"/>
      <c r="K3035" s="33"/>
      <c r="L3035" s="33"/>
      <c r="M3035" s="33"/>
      <c r="N3035" s="33"/>
      <c r="O3035" s="33"/>
      <c r="P3035" s="33"/>
      <c r="Q3035" s="33"/>
      <c r="R3035" s="33"/>
      <c r="S3035" s="33"/>
      <c r="T3035" s="33"/>
      <c r="U3035" s="33"/>
      <c r="V3035" s="33"/>
      <c r="W3035" s="33"/>
      <c r="X3035" s="33"/>
      <c r="Y3035" s="33"/>
      <c r="Z3035" s="33"/>
      <c r="AA3035" s="33"/>
      <c r="AB3035" s="33"/>
    </row>
    <row r="3036" spans="1:28" x14ac:dyDescent="0.15">
      <c r="A3036" s="46" t="s">
        <v>6123</v>
      </c>
      <c r="B3036" s="52" t="s">
        <v>7361</v>
      </c>
      <c r="C3036" s="53" t="s">
        <v>6124</v>
      </c>
      <c r="D3036" s="54" t="s">
        <v>10475</v>
      </c>
      <c r="E3036" s="50">
        <f t="shared" si="103"/>
        <v>41.534246580000001</v>
      </c>
      <c r="F3036" s="51">
        <f t="shared" si="103"/>
        <v>4.6383609699999999</v>
      </c>
      <c r="H3036" s="33"/>
      <c r="I3036" s="33"/>
      <c r="J3036" s="33"/>
      <c r="K3036" s="33"/>
      <c r="L3036" s="33"/>
      <c r="M3036" s="33"/>
      <c r="N3036" s="33"/>
      <c r="O3036" s="33"/>
      <c r="P3036" s="33"/>
      <c r="Q3036" s="33"/>
      <c r="R3036" s="33"/>
      <c r="S3036" s="33"/>
      <c r="T3036" s="33"/>
      <c r="U3036" s="33"/>
      <c r="V3036" s="33"/>
      <c r="W3036" s="33"/>
      <c r="X3036" s="33"/>
      <c r="Y3036" s="33"/>
      <c r="Z3036" s="33"/>
      <c r="AA3036" s="33"/>
      <c r="AB3036" s="33"/>
    </row>
    <row r="3037" spans="1:28" x14ac:dyDescent="0.15">
      <c r="A3037" s="46" t="s">
        <v>6125</v>
      </c>
      <c r="B3037" s="52" t="s">
        <v>7361</v>
      </c>
      <c r="C3037" s="53" t="s">
        <v>6126</v>
      </c>
      <c r="D3037" s="54" t="s">
        <v>10476</v>
      </c>
      <c r="E3037" s="50">
        <f t="shared" si="103"/>
        <v>41.547945210000002</v>
      </c>
      <c r="F3037" s="51">
        <f t="shared" si="103"/>
        <v>4.6383878799999998</v>
      </c>
      <c r="H3037" s="33"/>
      <c r="I3037" s="33"/>
      <c r="J3037" s="33"/>
      <c r="K3037" s="33"/>
      <c r="L3037" s="33"/>
      <c r="M3037" s="33"/>
      <c r="N3037" s="33"/>
      <c r="O3037" s="33"/>
      <c r="P3037" s="33"/>
      <c r="Q3037" s="33"/>
      <c r="R3037" s="33"/>
      <c r="S3037" s="33"/>
      <c r="T3037" s="33"/>
      <c r="U3037" s="33"/>
      <c r="V3037" s="33"/>
      <c r="W3037" s="33"/>
      <c r="X3037" s="33"/>
      <c r="Y3037" s="33"/>
      <c r="Z3037" s="33"/>
      <c r="AA3037" s="33"/>
      <c r="AB3037" s="33"/>
    </row>
    <row r="3038" spans="1:28" x14ac:dyDescent="0.15">
      <c r="A3038" s="46" t="s">
        <v>6127</v>
      </c>
      <c r="B3038" s="52" t="s">
        <v>7361</v>
      </c>
      <c r="C3038" s="53" t="s">
        <v>6128</v>
      </c>
      <c r="D3038" s="54" t="s">
        <v>10477</v>
      </c>
      <c r="E3038" s="50">
        <f t="shared" si="103"/>
        <v>41.561643840000002</v>
      </c>
      <c r="F3038" s="51">
        <f t="shared" si="103"/>
        <v>4.6384137799999996</v>
      </c>
      <c r="H3038" s="33"/>
      <c r="I3038" s="33"/>
      <c r="J3038" s="33"/>
      <c r="K3038" s="33"/>
      <c r="L3038" s="33"/>
      <c r="M3038" s="33"/>
      <c r="N3038" s="33"/>
      <c r="O3038" s="33"/>
      <c r="P3038" s="33"/>
      <c r="Q3038" s="33"/>
      <c r="R3038" s="33"/>
      <c r="S3038" s="33"/>
      <c r="T3038" s="33"/>
      <c r="U3038" s="33"/>
      <c r="V3038" s="33"/>
      <c r="W3038" s="33"/>
      <c r="X3038" s="33"/>
      <c r="Y3038" s="33"/>
      <c r="Z3038" s="33"/>
      <c r="AA3038" s="33"/>
      <c r="AB3038" s="33"/>
    </row>
    <row r="3039" spans="1:28" x14ac:dyDescent="0.15">
      <c r="A3039" s="46" t="s">
        <v>6129</v>
      </c>
      <c r="B3039" s="52" t="s">
        <v>7361</v>
      </c>
      <c r="C3039" s="53" t="s">
        <v>6130</v>
      </c>
      <c r="D3039" s="54" t="s">
        <v>10478</v>
      </c>
      <c r="E3039" s="50">
        <f t="shared" si="103"/>
        <v>41.575342470000002</v>
      </c>
      <c r="F3039" s="51">
        <f t="shared" si="103"/>
        <v>4.6384387199999999</v>
      </c>
      <c r="H3039" s="33"/>
      <c r="I3039" s="33"/>
      <c r="J3039" s="33"/>
      <c r="K3039" s="33"/>
      <c r="L3039" s="33"/>
      <c r="M3039" s="33"/>
      <c r="N3039" s="33"/>
      <c r="O3039" s="33"/>
      <c r="P3039" s="33"/>
      <c r="Q3039" s="33"/>
      <c r="R3039" s="33"/>
      <c r="S3039" s="33"/>
      <c r="T3039" s="33"/>
      <c r="U3039" s="33"/>
      <c r="V3039" s="33"/>
      <c r="W3039" s="33"/>
      <c r="X3039" s="33"/>
      <c r="Y3039" s="33"/>
      <c r="Z3039" s="33"/>
      <c r="AA3039" s="33"/>
      <c r="AB3039" s="33"/>
    </row>
    <row r="3040" spans="1:28" x14ac:dyDescent="0.15">
      <c r="A3040" s="46" t="s">
        <v>6131</v>
      </c>
      <c r="B3040" s="52" t="s">
        <v>7361</v>
      </c>
      <c r="C3040" s="53" t="s">
        <v>6132</v>
      </c>
      <c r="D3040" s="54" t="s">
        <v>10479</v>
      </c>
      <c r="E3040" s="50">
        <f t="shared" si="103"/>
        <v>41.589041100000003</v>
      </c>
      <c r="F3040" s="51">
        <f t="shared" si="103"/>
        <v>4.6384627600000004</v>
      </c>
      <c r="H3040" s="33"/>
      <c r="I3040" s="33"/>
      <c r="J3040" s="33"/>
      <c r="K3040" s="33"/>
      <c r="L3040" s="33"/>
      <c r="M3040" s="33"/>
      <c r="N3040" s="33"/>
      <c r="O3040" s="33"/>
      <c r="P3040" s="33"/>
      <c r="Q3040" s="33"/>
      <c r="R3040" s="33"/>
      <c r="S3040" s="33"/>
      <c r="T3040" s="33"/>
      <c r="U3040" s="33"/>
      <c r="V3040" s="33"/>
      <c r="W3040" s="33"/>
      <c r="X3040" s="33"/>
      <c r="Y3040" s="33"/>
      <c r="Z3040" s="33"/>
      <c r="AA3040" s="33"/>
      <c r="AB3040" s="33"/>
    </row>
    <row r="3041" spans="1:28" x14ac:dyDescent="0.15">
      <c r="A3041" s="46" t="s">
        <v>6133</v>
      </c>
      <c r="B3041" s="52" t="s">
        <v>7361</v>
      </c>
      <c r="C3041" s="53" t="s">
        <v>6134</v>
      </c>
      <c r="D3041" s="54" t="s">
        <v>10480</v>
      </c>
      <c r="E3041" s="50">
        <f t="shared" si="103"/>
        <v>41.602739730000003</v>
      </c>
      <c r="F3041" s="51">
        <f t="shared" si="103"/>
        <v>4.6384859399999998</v>
      </c>
      <c r="H3041" s="33"/>
      <c r="I3041" s="33"/>
      <c r="J3041" s="33"/>
      <c r="K3041" s="33"/>
      <c r="L3041" s="33"/>
      <c r="M3041" s="33"/>
      <c r="N3041" s="33"/>
      <c r="O3041" s="33"/>
      <c r="P3041" s="33"/>
      <c r="Q3041" s="33"/>
      <c r="R3041" s="33"/>
      <c r="S3041" s="33"/>
      <c r="T3041" s="33"/>
      <c r="U3041" s="33"/>
      <c r="V3041" s="33"/>
      <c r="W3041" s="33"/>
      <c r="X3041" s="33"/>
      <c r="Y3041" s="33"/>
      <c r="Z3041" s="33"/>
      <c r="AA3041" s="33"/>
      <c r="AB3041" s="33"/>
    </row>
    <row r="3042" spans="1:28" x14ac:dyDescent="0.15">
      <c r="A3042" s="46" t="s">
        <v>6135</v>
      </c>
      <c r="B3042" s="52" t="s">
        <v>7361</v>
      </c>
      <c r="C3042" s="53" t="s">
        <v>6136</v>
      </c>
      <c r="D3042" s="54" t="s">
        <v>10481</v>
      </c>
      <c r="E3042" s="50">
        <f t="shared" si="103"/>
        <v>41.616438359999997</v>
      </c>
      <c r="F3042" s="51">
        <f t="shared" si="103"/>
        <v>4.6385083099999997</v>
      </c>
      <c r="H3042" s="33"/>
      <c r="I3042" s="33"/>
      <c r="J3042" s="33"/>
      <c r="K3042" s="33"/>
      <c r="L3042" s="33"/>
      <c r="M3042" s="33"/>
      <c r="N3042" s="33"/>
      <c r="O3042" s="33"/>
      <c r="P3042" s="33"/>
      <c r="Q3042" s="33"/>
      <c r="R3042" s="33"/>
      <c r="S3042" s="33"/>
      <c r="T3042" s="33"/>
      <c r="U3042" s="33"/>
      <c r="V3042" s="33"/>
      <c r="W3042" s="33"/>
      <c r="X3042" s="33"/>
      <c r="Y3042" s="33"/>
      <c r="Z3042" s="33"/>
      <c r="AA3042" s="33"/>
      <c r="AB3042" s="33"/>
    </row>
    <row r="3043" spans="1:28" x14ac:dyDescent="0.15">
      <c r="A3043" s="46" t="s">
        <v>6137</v>
      </c>
      <c r="B3043" s="52" t="s">
        <v>7361</v>
      </c>
      <c r="C3043" s="53" t="s">
        <v>6138</v>
      </c>
      <c r="D3043" s="54" t="s">
        <v>10482</v>
      </c>
      <c r="E3043" s="50">
        <f t="shared" si="103"/>
        <v>41.630136989999997</v>
      </c>
      <c r="F3043" s="51">
        <f t="shared" si="103"/>
        <v>4.6385299099999999</v>
      </c>
      <c r="H3043" s="33"/>
      <c r="I3043" s="33"/>
      <c r="J3043" s="33"/>
      <c r="K3043" s="33"/>
      <c r="L3043" s="33"/>
      <c r="M3043" s="33"/>
      <c r="N3043" s="33"/>
      <c r="O3043" s="33"/>
      <c r="P3043" s="33"/>
      <c r="Q3043" s="33"/>
      <c r="R3043" s="33"/>
      <c r="S3043" s="33"/>
      <c r="T3043" s="33"/>
      <c r="U3043" s="33"/>
      <c r="V3043" s="33"/>
      <c r="W3043" s="33"/>
      <c r="X3043" s="33"/>
      <c r="Y3043" s="33"/>
      <c r="Z3043" s="33"/>
      <c r="AA3043" s="33"/>
      <c r="AB3043" s="33"/>
    </row>
    <row r="3044" spans="1:28" x14ac:dyDescent="0.15">
      <c r="A3044" s="46" t="s">
        <v>6139</v>
      </c>
      <c r="B3044" s="52" t="s">
        <v>7361</v>
      </c>
      <c r="C3044" s="53" t="s">
        <v>6140</v>
      </c>
      <c r="D3044" s="54" t="s">
        <v>10483</v>
      </c>
      <c r="E3044" s="50">
        <f t="shared" si="103"/>
        <v>41.643835619999997</v>
      </c>
      <c r="F3044" s="51">
        <f t="shared" si="103"/>
        <v>4.6385508</v>
      </c>
      <c r="H3044" s="33"/>
      <c r="I3044" s="33"/>
      <c r="J3044" s="33"/>
      <c r="K3044" s="33"/>
      <c r="L3044" s="33"/>
      <c r="M3044" s="33"/>
      <c r="N3044" s="33"/>
      <c r="O3044" s="33"/>
      <c r="P3044" s="33"/>
      <c r="Q3044" s="33"/>
      <c r="R3044" s="33"/>
      <c r="S3044" s="33"/>
      <c r="T3044" s="33"/>
      <c r="U3044" s="33"/>
      <c r="V3044" s="33"/>
      <c r="W3044" s="33"/>
      <c r="X3044" s="33"/>
      <c r="Y3044" s="33"/>
      <c r="Z3044" s="33"/>
      <c r="AA3044" s="33"/>
      <c r="AB3044" s="33"/>
    </row>
    <row r="3045" spans="1:28" x14ac:dyDescent="0.15">
      <c r="A3045" s="46" t="s">
        <v>6141</v>
      </c>
      <c r="B3045" s="52" t="s">
        <v>7361</v>
      </c>
      <c r="C3045" s="53" t="s">
        <v>6142</v>
      </c>
      <c r="D3045" s="54" t="s">
        <v>10484</v>
      </c>
      <c r="E3045" s="50">
        <f t="shared" si="103"/>
        <v>41.657534249999998</v>
      </c>
      <c r="F3045" s="51">
        <f t="shared" si="103"/>
        <v>4.6385710199999997</v>
      </c>
      <c r="H3045" s="33"/>
      <c r="I3045" s="33"/>
      <c r="J3045" s="33"/>
      <c r="K3045" s="33"/>
      <c r="L3045" s="33"/>
      <c r="M3045" s="33"/>
      <c r="N3045" s="33"/>
      <c r="O3045" s="33"/>
      <c r="P3045" s="33"/>
      <c r="Q3045" s="33"/>
      <c r="R3045" s="33"/>
      <c r="S3045" s="33"/>
      <c r="T3045" s="33"/>
      <c r="U3045" s="33"/>
      <c r="V3045" s="33"/>
      <c r="W3045" s="33"/>
      <c r="X3045" s="33"/>
      <c r="Y3045" s="33"/>
      <c r="Z3045" s="33"/>
      <c r="AA3045" s="33"/>
      <c r="AB3045" s="33"/>
    </row>
    <row r="3046" spans="1:28" x14ac:dyDescent="0.15">
      <c r="A3046" s="46" t="s">
        <v>6143</v>
      </c>
      <c r="B3046" s="52" t="s">
        <v>7361</v>
      </c>
      <c r="C3046" s="53" t="s">
        <v>6144</v>
      </c>
      <c r="D3046" s="54" t="s">
        <v>10485</v>
      </c>
      <c r="E3046" s="50">
        <f t="shared" si="103"/>
        <v>41.671232879999998</v>
      </c>
      <c r="F3046" s="51">
        <f t="shared" si="103"/>
        <v>4.6385906200000004</v>
      </c>
      <c r="H3046" s="33"/>
      <c r="I3046" s="33"/>
      <c r="J3046" s="33"/>
      <c r="K3046" s="33"/>
      <c r="L3046" s="33"/>
      <c r="M3046" s="33"/>
      <c r="N3046" s="33"/>
      <c r="O3046" s="33"/>
      <c r="P3046" s="33"/>
      <c r="Q3046" s="33"/>
      <c r="R3046" s="33"/>
      <c r="S3046" s="33"/>
      <c r="T3046" s="33"/>
      <c r="U3046" s="33"/>
      <c r="V3046" s="33"/>
      <c r="W3046" s="33"/>
      <c r="X3046" s="33"/>
      <c r="Y3046" s="33"/>
      <c r="Z3046" s="33"/>
      <c r="AA3046" s="33"/>
      <c r="AB3046" s="33"/>
    </row>
    <row r="3047" spans="1:28" x14ac:dyDescent="0.15">
      <c r="A3047" s="46" t="s">
        <v>6145</v>
      </c>
      <c r="B3047" s="52" t="s">
        <v>7361</v>
      </c>
      <c r="C3047" s="53" t="s">
        <v>6146</v>
      </c>
      <c r="D3047" s="54" t="s">
        <v>10486</v>
      </c>
      <c r="E3047" s="50">
        <f t="shared" si="103"/>
        <v>41.684931509999998</v>
      </c>
      <c r="F3047" s="51">
        <f t="shared" si="103"/>
        <v>4.6386096500000003</v>
      </c>
      <c r="H3047" s="33"/>
      <c r="I3047" s="33"/>
      <c r="J3047" s="33"/>
      <c r="K3047" s="33"/>
      <c r="L3047" s="33"/>
      <c r="M3047" s="33"/>
      <c r="N3047" s="33"/>
      <c r="O3047" s="33"/>
      <c r="P3047" s="33"/>
      <c r="Q3047" s="33"/>
      <c r="R3047" s="33"/>
      <c r="S3047" s="33"/>
      <c r="T3047" s="33"/>
      <c r="U3047" s="33"/>
      <c r="V3047" s="33"/>
      <c r="W3047" s="33"/>
      <c r="X3047" s="33"/>
      <c r="Y3047" s="33"/>
      <c r="Z3047" s="33"/>
      <c r="AA3047" s="33"/>
      <c r="AB3047" s="33"/>
    </row>
    <row r="3048" spans="1:28" x14ac:dyDescent="0.15">
      <c r="A3048" s="46" t="s">
        <v>6147</v>
      </c>
      <c r="B3048" s="52" t="s">
        <v>7361</v>
      </c>
      <c r="C3048" s="53" t="s">
        <v>6148</v>
      </c>
      <c r="D3048" s="54" t="s">
        <v>10487</v>
      </c>
      <c r="E3048" s="50">
        <f t="shared" si="103"/>
        <v>41.698630139999999</v>
      </c>
      <c r="F3048" s="51">
        <f t="shared" si="103"/>
        <v>4.6386281599999997</v>
      </c>
      <c r="H3048" s="33"/>
      <c r="I3048" s="33"/>
      <c r="J3048" s="33"/>
      <c r="K3048" s="33"/>
      <c r="L3048" s="33"/>
      <c r="M3048" s="33"/>
      <c r="N3048" s="33"/>
      <c r="O3048" s="33"/>
      <c r="P3048" s="33"/>
      <c r="Q3048" s="33"/>
      <c r="R3048" s="33"/>
      <c r="S3048" s="33"/>
      <c r="T3048" s="33"/>
      <c r="U3048" s="33"/>
      <c r="V3048" s="33"/>
      <c r="W3048" s="33"/>
      <c r="X3048" s="33"/>
      <c r="Y3048" s="33"/>
      <c r="Z3048" s="33"/>
      <c r="AA3048" s="33"/>
      <c r="AB3048" s="33"/>
    </row>
    <row r="3049" spans="1:28" x14ac:dyDescent="0.15">
      <c r="A3049" s="46" t="s">
        <v>6149</v>
      </c>
      <c r="B3049" s="52" t="s">
        <v>7361</v>
      </c>
      <c r="C3049" s="53" t="s">
        <v>6150</v>
      </c>
      <c r="D3049" s="54" t="s">
        <v>10488</v>
      </c>
      <c r="E3049" s="50">
        <f t="shared" si="103"/>
        <v>41.712328769999999</v>
      </c>
      <c r="F3049" s="51">
        <f t="shared" si="103"/>
        <v>4.6386462000000002</v>
      </c>
      <c r="H3049" s="33"/>
      <c r="I3049" s="33"/>
      <c r="J3049" s="33"/>
      <c r="K3049" s="33"/>
      <c r="L3049" s="33"/>
      <c r="M3049" s="33"/>
      <c r="N3049" s="33"/>
      <c r="O3049" s="33"/>
      <c r="P3049" s="33"/>
      <c r="Q3049" s="33"/>
      <c r="R3049" s="33"/>
      <c r="S3049" s="33"/>
      <c r="T3049" s="33"/>
      <c r="U3049" s="33"/>
      <c r="V3049" s="33"/>
      <c r="W3049" s="33"/>
      <c r="X3049" s="33"/>
      <c r="Y3049" s="33"/>
      <c r="Z3049" s="33"/>
      <c r="AA3049" s="33"/>
      <c r="AB3049" s="33"/>
    </row>
    <row r="3050" spans="1:28" x14ac:dyDescent="0.15">
      <c r="A3050" s="46" t="s">
        <v>6151</v>
      </c>
      <c r="B3050" s="52" t="s">
        <v>7361</v>
      </c>
      <c r="C3050" s="53" t="s">
        <v>6152</v>
      </c>
      <c r="D3050" s="54" t="s">
        <v>10489</v>
      </c>
      <c r="E3050" s="50">
        <f t="shared" si="103"/>
        <v>41.7260274</v>
      </c>
      <c r="F3050" s="51">
        <f t="shared" si="103"/>
        <v>4.6386637999999998</v>
      </c>
      <c r="H3050" s="33"/>
      <c r="I3050" s="33"/>
      <c r="J3050" s="33"/>
      <c r="K3050" s="33"/>
      <c r="L3050" s="33"/>
      <c r="M3050" s="33"/>
      <c r="N3050" s="33"/>
      <c r="O3050" s="33"/>
      <c r="P3050" s="33"/>
      <c r="Q3050" s="33"/>
      <c r="R3050" s="33"/>
      <c r="S3050" s="33"/>
      <c r="T3050" s="33"/>
      <c r="U3050" s="33"/>
      <c r="V3050" s="33"/>
      <c r="W3050" s="33"/>
      <c r="X3050" s="33"/>
      <c r="Y3050" s="33"/>
      <c r="Z3050" s="33"/>
      <c r="AA3050" s="33"/>
      <c r="AB3050" s="33"/>
    </row>
    <row r="3051" spans="1:28" x14ac:dyDescent="0.15">
      <c r="A3051" s="46" t="s">
        <v>6153</v>
      </c>
      <c r="B3051" s="52" t="s">
        <v>7361</v>
      </c>
      <c r="C3051" s="53" t="s">
        <v>6154</v>
      </c>
      <c r="D3051" s="54" t="s">
        <v>10490</v>
      </c>
      <c r="E3051" s="50">
        <f t="shared" ref="E3051:F3080" si="104">VALUE(C3051)</f>
        <v>41.73972603</v>
      </c>
      <c r="F3051" s="51">
        <f t="shared" si="104"/>
        <v>4.6386810299999999</v>
      </c>
      <c r="H3051" s="33"/>
      <c r="I3051" s="33"/>
      <c r="J3051" s="33"/>
      <c r="K3051" s="33"/>
      <c r="L3051" s="33"/>
      <c r="M3051" s="33"/>
      <c r="N3051" s="33"/>
      <c r="O3051" s="33"/>
      <c r="P3051" s="33"/>
      <c r="Q3051" s="33"/>
      <c r="R3051" s="33"/>
      <c r="S3051" s="33"/>
      <c r="T3051" s="33"/>
      <c r="U3051" s="33"/>
      <c r="V3051" s="33"/>
      <c r="W3051" s="33"/>
      <c r="X3051" s="33"/>
      <c r="Y3051" s="33"/>
      <c r="Z3051" s="33"/>
      <c r="AA3051" s="33"/>
      <c r="AB3051" s="33"/>
    </row>
    <row r="3052" spans="1:28" x14ac:dyDescent="0.15">
      <c r="A3052" s="46" t="s">
        <v>6155</v>
      </c>
      <c r="B3052" s="52" t="s">
        <v>7361</v>
      </c>
      <c r="C3052" s="53" t="s">
        <v>6156</v>
      </c>
      <c r="D3052" s="54" t="s">
        <v>10491</v>
      </c>
      <c r="E3052" s="50">
        <f t="shared" si="104"/>
        <v>41.75342466</v>
      </c>
      <c r="F3052" s="51">
        <f t="shared" si="104"/>
        <v>4.6386979400000001</v>
      </c>
      <c r="H3052" s="33"/>
      <c r="I3052" s="33"/>
      <c r="J3052" s="33"/>
      <c r="K3052" s="33"/>
      <c r="L3052" s="33"/>
      <c r="M3052" s="33"/>
      <c r="N3052" s="33"/>
      <c r="O3052" s="33"/>
      <c r="P3052" s="33"/>
      <c r="Q3052" s="33"/>
      <c r="R3052" s="33"/>
      <c r="S3052" s="33"/>
      <c r="T3052" s="33"/>
      <c r="U3052" s="33"/>
      <c r="V3052" s="33"/>
      <c r="W3052" s="33"/>
      <c r="X3052" s="33"/>
      <c r="Y3052" s="33"/>
      <c r="Z3052" s="33"/>
      <c r="AA3052" s="33"/>
      <c r="AB3052" s="33"/>
    </row>
    <row r="3053" spans="1:28" x14ac:dyDescent="0.15">
      <c r="A3053" s="46" t="s">
        <v>6157</v>
      </c>
      <c r="B3053" s="52" t="s">
        <v>7361</v>
      </c>
      <c r="C3053" s="53" t="s">
        <v>6158</v>
      </c>
      <c r="D3053" s="54" t="s">
        <v>10492</v>
      </c>
      <c r="E3053" s="50">
        <f t="shared" si="104"/>
        <v>41.767123290000001</v>
      </c>
      <c r="F3053" s="51">
        <f t="shared" si="104"/>
        <v>4.6387145600000004</v>
      </c>
      <c r="H3053" s="33"/>
      <c r="I3053" s="33"/>
      <c r="J3053" s="33"/>
      <c r="K3053" s="33"/>
      <c r="L3053" s="33"/>
      <c r="M3053" s="33"/>
      <c r="N3053" s="33"/>
      <c r="O3053" s="33"/>
      <c r="P3053" s="33"/>
      <c r="Q3053" s="33"/>
      <c r="R3053" s="33"/>
      <c r="S3053" s="33"/>
      <c r="T3053" s="33"/>
      <c r="U3053" s="33"/>
      <c r="V3053" s="33"/>
      <c r="W3053" s="33"/>
      <c r="X3053" s="33"/>
      <c r="Y3053" s="33"/>
      <c r="Z3053" s="33"/>
      <c r="AA3053" s="33"/>
      <c r="AB3053" s="33"/>
    </row>
    <row r="3054" spans="1:28" x14ac:dyDescent="0.15">
      <c r="A3054" s="46" t="s">
        <v>6159</v>
      </c>
      <c r="B3054" s="52" t="s">
        <v>7361</v>
      </c>
      <c r="C3054" s="53" t="s">
        <v>6160</v>
      </c>
      <c r="D3054" s="54" t="s">
        <v>10493</v>
      </c>
      <c r="E3054" s="50">
        <f t="shared" si="104"/>
        <v>41.780821920000001</v>
      </c>
      <c r="F3054" s="51">
        <f t="shared" si="104"/>
        <v>4.6387309400000003</v>
      </c>
      <c r="H3054" s="33"/>
      <c r="I3054" s="33"/>
      <c r="J3054" s="33"/>
      <c r="K3054" s="33"/>
      <c r="L3054" s="33"/>
      <c r="M3054" s="33"/>
      <c r="N3054" s="33"/>
      <c r="O3054" s="33"/>
      <c r="P3054" s="33"/>
      <c r="Q3054" s="33"/>
      <c r="R3054" s="33"/>
      <c r="S3054" s="33"/>
      <c r="T3054" s="33"/>
      <c r="U3054" s="33"/>
      <c r="V3054" s="33"/>
      <c r="W3054" s="33"/>
      <c r="X3054" s="33"/>
      <c r="Y3054" s="33"/>
      <c r="Z3054" s="33"/>
      <c r="AA3054" s="33"/>
      <c r="AB3054" s="33"/>
    </row>
    <row r="3055" spans="1:28" x14ac:dyDescent="0.15">
      <c r="A3055" s="46" t="s">
        <v>6161</v>
      </c>
      <c r="B3055" s="52" t="s">
        <v>7361</v>
      </c>
      <c r="C3055" s="53" t="s">
        <v>6162</v>
      </c>
      <c r="D3055" s="54" t="s">
        <v>10494</v>
      </c>
      <c r="E3055" s="50">
        <f t="shared" si="104"/>
        <v>41.794520550000001</v>
      </c>
      <c r="F3055" s="51">
        <f t="shared" si="104"/>
        <v>4.6387471500000004</v>
      </c>
      <c r="H3055" s="33"/>
      <c r="I3055" s="33"/>
      <c r="J3055" s="33"/>
      <c r="K3055" s="33"/>
      <c r="L3055" s="33"/>
      <c r="M3055" s="33"/>
      <c r="N3055" s="33"/>
      <c r="O3055" s="33"/>
      <c r="P3055" s="33"/>
      <c r="Q3055" s="33"/>
      <c r="R3055" s="33"/>
      <c r="S3055" s="33"/>
      <c r="T3055" s="33"/>
      <c r="U3055" s="33"/>
      <c r="V3055" s="33"/>
      <c r="W3055" s="33"/>
      <c r="X3055" s="33"/>
      <c r="Y3055" s="33"/>
      <c r="Z3055" s="33"/>
      <c r="AA3055" s="33"/>
      <c r="AB3055" s="33"/>
    </row>
    <row r="3056" spans="1:28" x14ac:dyDescent="0.15">
      <c r="A3056" s="46" t="s">
        <v>6163</v>
      </c>
      <c r="B3056" s="52" t="s">
        <v>7361</v>
      </c>
      <c r="C3056" s="53" t="s">
        <v>6164</v>
      </c>
      <c r="D3056" s="54" t="s">
        <v>10495</v>
      </c>
      <c r="E3056" s="50">
        <f t="shared" si="104"/>
        <v>41.808219180000002</v>
      </c>
      <c r="F3056" s="51">
        <f t="shared" si="104"/>
        <v>4.6387632099999996</v>
      </c>
      <c r="H3056" s="33"/>
      <c r="I3056" s="33"/>
      <c r="J3056" s="33"/>
      <c r="K3056" s="33"/>
      <c r="L3056" s="33"/>
      <c r="M3056" s="33"/>
      <c r="N3056" s="33"/>
      <c r="O3056" s="33"/>
      <c r="P3056" s="33"/>
      <c r="Q3056" s="33"/>
      <c r="R3056" s="33"/>
      <c r="S3056" s="33"/>
      <c r="T3056" s="33"/>
      <c r="U3056" s="33"/>
      <c r="V3056" s="33"/>
      <c r="W3056" s="33"/>
      <c r="X3056" s="33"/>
      <c r="Y3056" s="33"/>
      <c r="Z3056" s="33"/>
      <c r="AA3056" s="33"/>
      <c r="AB3056" s="33"/>
    </row>
    <row r="3057" spans="1:28" x14ac:dyDescent="0.15">
      <c r="A3057" s="46" t="s">
        <v>6165</v>
      </c>
      <c r="B3057" s="52" t="s">
        <v>7361</v>
      </c>
      <c r="C3057" s="53" t="s">
        <v>6166</v>
      </c>
      <c r="D3057" s="54" t="s">
        <v>10496</v>
      </c>
      <c r="E3057" s="50">
        <f t="shared" si="104"/>
        <v>41.821917810000002</v>
      </c>
      <c r="F3057" s="51">
        <f t="shared" si="104"/>
        <v>4.6387791900000002</v>
      </c>
      <c r="H3057" s="33"/>
      <c r="I3057" s="33"/>
      <c r="J3057" s="33"/>
      <c r="K3057" s="33"/>
      <c r="L3057" s="33"/>
      <c r="M3057" s="33"/>
      <c r="N3057" s="33"/>
      <c r="O3057" s="33"/>
      <c r="P3057" s="33"/>
      <c r="Q3057" s="33"/>
      <c r="R3057" s="33"/>
      <c r="S3057" s="33"/>
      <c r="T3057" s="33"/>
      <c r="U3057" s="33"/>
      <c r="V3057" s="33"/>
      <c r="W3057" s="33"/>
      <c r="X3057" s="33"/>
      <c r="Y3057" s="33"/>
      <c r="Z3057" s="33"/>
      <c r="AA3057" s="33"/>
      <c r="AB3057" s="33"/>
    </row>
    <row r="3058" spans="1:28" x14ac:dyDescent="0.15">
      <c r="A3058" s="46" t="s">
        <v>6167</v>
      </c>
      <c r="B3058" s="52" t="s">
        <v>7361</v>
      </c>
      <c r="C3058" s="53" t="s">
        <v>6168</v>
      </c>
      <c r="D3058" s="54" t="s">
        <v>10497</v>
      </c>
      <c r="E3058" s="50">
        <f t="shared" si="104"/>
        <v>41.835616440000003</v>
      </c>
      <c r="F3058" s="51">
        <f t="shared" si="104"/>
        <v>4.6387951300000001</v>
      </c>
      <c r="H3058" s="33"/>
      <c r="I3058" s="33"/>
      <c r="J3058" s="33"/>
      <c r="K3058" s="33"/>
      <c r="L3058" s="33"/>
      <c r="M3058" s="33"/>
      <c r="N3058" s="33"/>
      <c r="O3058" s="33"/>
      <c r="P3058" s="33"/>
      <c r="Q3058" s="33"/>
      <c r="R3058" s="33"/>
      <c r="S3058" s="33"/>
      <c r="T3058" s="33"/>
      <c r="U3058" s="33"/>
      <c r="V3058" s="33"/>
      <c r="W3058" s="33"/>
      <c r="X3058" s="33"/>
      <c r="Y3058" s="33"/>
      <c r="Z3058" s="33"/>
      <c r="AA3058" s="33"/>
      <c r="AB3058" s="33"/>
    </row>
    <row r="3059" spans="1:28" x14ac:dyDescent="0.15">
      <c r="A3059" s="46" t="s">
        <v>6169</v>
      </c>
      <c r="B3059" s="52" t="s">
        <v>7361</v>
      </c>
      <c r="C3059" s="53" t="s">
        <v>6170</v>
      </c>
      <c r="D3059" s="54" t="s">
        <v>10498</v>
      </c>
      <c r="E3059" s="50">
        <f t="shared" si="104"/>
        <v>41.849315070000003</v>
      </c>
      <c r="F3059" s="51">
        <f t="shared" si="104"/>
        <v>4.63881107</v>
      </c>
      <c r="H3059" s="33"/>
      <c r="I3059" s="33"/>
      <c r="J3059" s="33"/>
      <c r="K3059" s="33"/>
      <c r="L3059" s="33"/>
      <c r="M3059" s="33"/>
      <c r="N3059" s="33"/>
      <c r="O3059" s="33"/>
      <c r="P3059" s="33"/>
      <c r="Q3059" s="33"/>
      <c r="R3059" s="33"/>
      <c r="S3059" s="33"/>
      <c r="T3059" s="33"/>
      <c r="U3059" s="33"/>
      <c r="V3059" s="33"/>
      <c r="W3059" s="33"/>
      <c r="X3059" s="33"/>
      <c r="Y3059" s="33"/>
      <c r="Z3059" s="33"/>
      <c r="AA3059" s="33"/>
      <c r="AB3059" s="33"/>
    </row>
    <row r="3060" spans="1:28" x14ac:dyDescent="0.15">
      <c r="A3060" s="46" t="s">
        <v>6171</v>
      </c>
      <c r="B3060" s="52" t="s">
        <v>7361</v>
      </c>
      <c r="C3060" s="53" t="s">
        <v>6172</v>
      </c>
      <c r="D3060" s="54" t="s">
        <v>10499</v>
      </c>
      <c r="E3060" s="50">
        <f t="shared" si="104"/>
        <v>41.863013700000003</v>
      </c>
      <c r="F3060" s="51">
        <f t="shared" si="104"/>
        <v>4.6388270699999996</v>
      </c>
      <c r="H3060" s="33"/>
      <c r="I3060" s="33"/>
      <c r="J3060" s="33"/>
      <c r="K3060" s="33"/>
      <c r="L3060" s="33"/>
      <c r="M3060" s="33"/>
      <c r="N3060" s="33"/>
      <c r="O3060" s="33"/>
      <c r="P3060" s="33"/>
      <c r="Q3060" s="33"/>
      <c r="R3060" s="33"/>
      <c r="S3060" s="33"/>
      <c r="T3060" s="33"/>
      <c r="U3060" s="33"/>
      <c r="V3060" s="33"/>
      <c r="W3060" s="33"/>
      <c r="X3060" s="33"/>
      <c r="Y3060" s="33"/>
      <c r="Z3060" s="33"/>
      <c r="AA3060" s="33"/>
      <c r="AB3060" s="33"/>
    </row>
    <row r="3061" spans="1:28" x14ac:dyDescent="0.15">
      <c r="A3061" s="46" t="s">
        <v>6173</v>
      </c>
      <c r="B3061" s="52" t="s">
        <v>7361</v>
      </c>
      <c r="C3061" s="53" t="s">
        <v>6174</v>
      </c>
      <c r="D3061" s="54" t="s">
        <v>10500</v>
      </c>
      <c r="E3061" s="50">
        <f t="shared" si="104"/>
        <v>41.876712329999997</v>
      </c>
      <c r="F3061" s="51">
        <f t="shared" si="104"/>
        <v>4.6388431800000003</v>
      </c>
      <c r="H3061" s="33"/>
      <c r="I3061" s="33"/>
      <c r="J3061" s="33"/>
      <c r="K3061" s="33"/>
      <c r="L3061" s="33"/>
      <c r="M3061" s="33"/>
      <c r="N3061" s="33"/>
      <c r="O3061" s="33"/>
      <c r="P3061" s="33"/>
      <c r="Q3061" s="33"/>
      <c r="R3061" s="33"/>
      <c r="S3061" s="33"/>
      <c r="T3061" s="33"/>
      <c r="U3061" s="33"/>
      <c r="V3061" s="33"/>
      <c r="W3061" s="33"/>
      <c r="X3061" s="33"/>
      <c r="Y3061" s="33"/>
      <c r="Z3061" s="33"/>
      <c r="AA3061" s="33"/>
      <c r="AB3061" s="33"/>
    </row>
    <row r="3062" spans="1:28" x14ac:dyDescent="0.15">
      <c r="A3062" s="46" t="s">
        <v>6175</v>
      </c>
      <c r="B3062" s="52" t="s">
        <v>7361</v>
      </c>
      <c r="C3062" s="53" t="s">
        <v>6176</v>
      </c>
      <c r="D3062" s="54" t="s">
        <v>10501</v>
      </c>
      <c r="E3062" s="50">
        <f t="shared" si="104"/>
        <v>41.890410959999997</v>
      </c>
      <c r="F3062" s="51">
        <f t="shared" si="104"/>
        <v>4.6388594400000001</v>
      </c>
      <c r="H3062" s="33"/>
      <c r="I3062" s="33"/>
      <c r="J3062" s="33"/>
      <c r="K3062" s="33"/>
      <c r="L3062" s="33"/>
      <c r="M3062" s="33"/>
      <c r="N3062" s="33"/>
      <c r="O3062" s="33"/>
      <c r="P3062" s="33"/>
      <c r="Q3062" s="33"/>
      <c r="R3062" s="33"/>
      <c r="S3062" s="33"/>
      <c r="T3062" s="33"/>
      <c r="U3062" s="33"/>
      <c r="V3062" s="33"/>
      <c r="W3062" s="33"/>
      <c r="X3062" s="33"/>
      <c r="Y3062" s="33"/>
      <c r="Z3062" s="33"/>
      <c r="AA3062" s="33"/>
      <c r="AB3062" s="33"/>
    </row>
    <row r="3063" spans="1:28" x14ac:dyDescent="0.15">
      <c r="A3063" s="46" t="s">
        <v>6177</v>
      </c>
      <c r="B3063" s="52" t="s">
        <v>7361</v>
      </c>
      <c r="C3063" s="53" t="s">
        <v>6178</v>
      </c>
      <c r="D3063" s="54" t="s">
        <v>10502</v>
      </c>
      <c r="E3063" s="50">
        <f t="shared" si="104"/>
        <v>41.904109589999997</v>
      </c>
      <c r="F3063" s="51">
        <f t="shared" si="104"/>
        <v>4.6388759000000004</v>
      </c>
      <c r="H3063" s="33"/>
      <c r="I3063" s="33"/>
      <c r="J3063" s="33"/>
      <c r="K3063" s="33"/>
      <c r="L3063" s="33"/>
      <c r="M3063" s="33"/>
      <c r="N3063" s="33"/>
      <c r="O3063" s="33"/>
      <c r="P3063" s="33"/>
      <c r="Q3063" s="33"/>
      <c r="R3063" s="33"/>
      <c r="S3063" s="33"/>
      <c r="T3063" s="33"/>
      <c r="U3063" s="33"/>
      <c r="V3063" s="33"/>
      <c r="W3063" s="33"/>
      <c r="X3063" s="33"/>
      <c r="Y3063" s="33"/>
      <c r="Z3063" s="33"/>
      <c r="AA3063" s="33"/>
      <c r="AB3063" s="33"/>
    </row>
    <row r="3064" spans="1:28" x14ac:dyDescent="0.15">
      <c r="A3064" s="46" t="s">
        <v>6179</v>
      </c>
      <c r="B3064" s="52" t="s">
        <v>7361</v>
      </c>
      <c r="C3064" s="53" t="s">
        <v>6180</v>
      </c>
      <c r="D3064" s="54" t="s">
        <v>10503</v>
      </c>
      <c r="E3064" s="50">
        <f t="shared" si="104"/>
        <v>41.917808219999998</v>
      </c>
      <c r="F3064" s="51">
        <f t="shared" si="104"/>
        <v>4.6388926100000001</v>
      </c>
      <c r="H3064" s="33"/>
      <c r="I3064" s="33"/>
      <c r="J3064" s="33"/>
      <c r="K3064" s="33"/>
      <c r="L3064" s="33"/>
      <c r="M3064" s="33"/>
      <c r="N3064" s="33"/>
      <c r="O3064" s="33"/>
      <c r="P3064" s="33"/>
      <c r="Q3064" s="33"/>
      <c r="R3064" s="33"/>
      <c r="S3064" s="33"/>
      <c r="T3064" s="33"/>
      <c r="U3064" s="33"/>
      <c r="V3064" s="33"/>
      <c r="W3064" s="33"/>
      <c r="X3064" s="33"/>
      <c r="Y3064" s="33"/>
      <c r="Z3064" s="33"/>
      <c r="AA3064" s="33"/>
      <c r="AB3064" s="33"/>
    </row>
    <row r="3065" spans="1:28" x14ac:dyDescent="0.15">
      <c r="A3065" s="46" t="s">
        <v>6181</v>
      </c>
      <c r="B3065" s="52" t="s">
        <v>7361</v>
      </c>
      <c r="C3065" s="53" t="s">
        <v>6182</v>
      </c>
      <c r="D3065" s="54" t="s">
        <v>10504</v>
      </c>
      <c r="E3065" s="50">
        <f t="shared" si="104"/>
        <v>41.931506849999998</v>
      </c>
      <c r="F3065" s="51">
        <f t="shared" si="104"/>
        <v>4.6389096099999998</v>
      </c>
      <c r="H3065" s="33"/>
      <c r="I3065" s="33"/>
      <c r="J3065" s="33"/>
      <c r="K3065" s="33"/>
      <c r="L3065" s="33"/>
      <c r="M3065" s="33"/>
      <c r="N3065" s="33"/>
      <c r="O3065" s="33"/>
      <c r="P3065" s="33"/>
      <c r="Q3065" s="33"/>
      <c r="R3065" s="33"/>
      <c r="S3065" s="33"/>
      <c r="T3065" s="33"/>
      <c r="U3065" s="33"/>
      <c r="V3065" s="33"/>
      <c r="W3065" s="33"/>
      <c r="X3065" s="33"/>
      <c r="Y3065" s="33"/>
      <c r="Z3065" s="33"/>
      <c r="AA3065" s="33"/>
      <c r="AB3065" s="33"/>
    </row>
    <row r="3066" spans="1:28" x14ac:dyDescent="0.15">
      <c r="A3066" s="46" t="s">
        <v>6183</v>
      </c>
      <c r="B3066" s="52" t="s">
        <v>7361</v>
      </c>
      <c r="C3066" s="53" t="s">
        <v>6184</v>
      </c>
      <c r="D3066" s="54" t="s">
        <v>10505</v>
      </c>
      <c r="E3066" s="50">
        <f t="shared" si="104"/>
        <v>41.945205479999998</v>
      </c>
      <c r="F3066" s="51">
        <f t="shared" si="104"/>
        <v>4.63892696</v>
      </c>
      <c r="H3066" s="33"/>
      <c r="I3066" s="33"/>
      <c r="J3066" s="33"/>
      <c r="K3066" s="33"/>
      <c r="L3066" s="33"/>
      <c r="M3066" s="33"/>
      <c r="N3066" s="33"/>
      <c r="O3066" s="33"/>
      <c r="P3066" s="33"/>
      <c r="Q3066" s="33"/>
      <c r="R3066" s="33"/>
      <c r="S3066" s="33"/>
      <c r="T3066" s="33"/>
      <c r="U3066" s="33"/>
      <c r="V3066" s="33"/>
      <c r="W3066" s="33"/>
      <c r="X3066" s="33"/>
      <c r="Y3066" s="33"/>
      <c r="Z3066" s="33"/>
      <c r="AA3066" s="33"/>
      <c r="AB3066" s="33"/>
    </row>
    <row r="3067" spans="1:28" x14ac:dyDescent="0.15">
      <c r="A3067" s="46" t="s">
        <v>6185</v>
      </c>
      <c r="B3067" s="52" t="s">
        <v>7361</v>
      </c>
      <c r="C3067" s="53" t="s">
        <v>6186</v>
      </c>
      <c r="D3067" s="54" t="s">
        <v>10506</v>
      </c>
      <c r="E3067" s="50">
        <f t="shared" si="104"/>
        <v>41.958904109999999</v>
      </c>
      <c r="F3067" s="51">
        <f t="shared" si="104"/>
        <v>4.6389447099999996</v>
      </c>
      <c r="H3067" s="33"/>
      <c r="I3067" s="33"/>
      <c r="J3067" s="33"/>
      <c r="K3067" s="33"/>
      <c r="L3067" s="33"/>
      <c r="M3067" s="33"/>
      <c r="N3067" s="33"/>
      <c r="O3067" s="33"/>
      <c r="P3067" s="33"/>
      <c r="Q3067" s="33"/>
      <c r="R3067" s="33"/>
      <c r="S3067" s="33"/>
      <c r="T3067" s="33"/>
      <c r="U3067" s="33"/>
      <c r="V3067" s="33"/>
      <c r="W3067" s="33"/>
      <c r="X3067" s="33"/>
      <c r="Y3067" s="33"/>
      <c r="Z3067" s="33"/>
      <c r="AA3067" s="33"/>
      <c r="AB3067" s="33"/>
    </row>
    <row r="3068" spans="1:28" x14ac:dyDescent="0.15">
      <c r="A3068" s="46" t="s">
        <v>6187</v>
      </c>
      <c r="B3068" s="52" t="s">
        <v>7361</v>
      </c>
      <c r="C3068" s="53" t="s">
        <v>6188</v>
      </c>
      <c r="D3068" s="54" t="s">
        <v>10507</v>
      </c>
      <c r="E3068" s="50">
        <f t="shared" si="104"/>
        <v>41.972602739999999</v>
      </c>
      <c r="F3068" s="51">
        <f t="shared" si="104"/>
        <v>4.6389629000000001</v>
      </c>
      <c r="H3068" s="33"/>
      <c r="I3068" s="33"/>
      <c r="J3068" s="33"/>
      <c r="K3068" s="33"/>
      <c r="L3068" s="33"/>
      <c r="M3068" s="33"/>
      <c r="N3068" s="33"/>
      <c r="O3068" s="33"/>
      <c r="P3068" s="33"/>
      <c r="Q3068" s="33"/>
      <c r="R3068" s="33"/>
      <c r="S3068" s="33"/>
      <c r="T3068" s="33"/>
      <c r="U3068" s="33"/>
      <c r="V3068" s="33"/>
      <c r="W3068" s="33"/>
      <c r="X3068" s="33"/>
      <c r="Y3068" s="33"/>
      <c r="Z3068" s="33"/>
      <c r="AA3068" s="33"/>
      <c r="AB3068" s="33"/>
    </row>
    <row r="3069" spans="1:28" x14ac:dyDescent="0.15">
      <c r="A3069" s="46" t="s">
        <v>6189</v>
      </c>
      <c r="B3069" s="52" t="s">
        <v>7361</v>
      </c>
      <c r="C3069" s="53" t="s">
        <v>6190</v>
      </c>
      <c r="D3069" s="54" t="s">
        <v>10508</v>
      </c>
      <c r="E3069" s="50">
        <f t="shared" si="104"/>
        <v>41.98630137</v>
      </c>
      <c r="F3069" s="51">
        <f t="shared" si="104"/>
        <v>4.6389815700000003</v>
      </c>
      <c r="H3069" s="33"/>
      <c r="I3069" s="33"/>
      <c r="J3069" s="33"/>
      <c r="K3069" s="33"/>
      <c r="L3069" s="33"/>
      <c r="M3069" s="33"/>
      <c r="N3069" s="33"/>
      <c r="O3069" s="33"/>
      <c r="P3069" s="33"/>
      <c r="Q3069" s="33"/>
      <c r="R3069" s="33"/>
      <c r="S3069" s="33"/>
      <c r="T3069" s="33"/>
      <c r="U3069" s="33"/>
      <c r="V3069" s="33"/>
      <c r="W3069" s="33"/>
      <c r="X3069" s="33"/>
      <c r="Y3069" s="33"/>
      <c r="Z3069" s="33"/>
      <c r="AA3069" s="33"/>
      <c r="AB3069" s="33"/>
    </row>
    <row r="3070" spans="1:28" x14ac:dyDescent="0.15">
      <c r="A3070" s="46" t="s">
        <v>6191</v>
      </c>
      <c r="B3070" s="52" t="s">
        <v>7361</v>
      </c>
      <c r="C3070" s="53" t="s">
        <v>6192</v>
      </c>
      <c r="D3070" s="54" t="s">
        <v>10509</v>
      </c>
      <c r="E3070" s="50">
        <f t="shared" si="104"/>
        <v>42</v>
      </c>
      <c r="F3070" s="51">
        <f t="shared" si="104"/>
        <v>4.6390007899999999</v>
      </c>
      <c r="H3070" s="33"/>
      <c r="I3070" s="33"/>
      <c r="J3070" s="33"/>
      <c r="K3070" s="33"/>
      <c r="L3070" s="33"/>
      <c r="M3070" s="33"/>
      <c r="N3070" s="33"/>
      <c r="O3070" s="33"/>
      <c r="P3070" s="33"/>
      <c r="Q3070" s="33"/>
      <c r="R3070" s="33"/>
      <c r="S3070" s="33"/>
      <c r="T3070" s="33"/>
      <c r="U3070" s="33"/>
      <c r="V3070" s="33"/>
      <c r="W3070" s="33"/>
      <c r="X3070" s="33"/>
      <c r="Y3070" s="33"/>
      <c r="Z3070" s="33"/>
      <c r="AA3070" s="33"/>
      <c r="AB3070" s="33"/>
    </row>
    <row r="3071" spans="1:28" x14ac:dyDescent="0.15">
      <c r="A3071" s="46" t="s">
        <v>6193</v>
      </c>
      <c r="B3071" s="52" t="s">
        <v>7361</v>
      </c>
      <c r="C3071" s="53" t="s">
        <v>6194</v>
      </c>
      <c r="D3071" s="54" t="s">
        <v>10510</v>
      </c>
      <c r="E3071" s="50">
        <f t="shared" si="104"/>
        <v>42.01369863</v>
      </c>
      <c r="F3071" s="51">
        <f t="shared" si="104"/>
        <v>4.6390199499999998</v>
      </c>
      <c r="H3071" s="33"/>
      <c r="I3071" s="33"/>
      <c r="J3071" s="33"/>
      <c r="K3071" s="33"/>
      <c r="L3071" s="33"/>
      <c r="M3071" s="33"/>
      <c r="N3071" s="33"/>
      <c r="O3071" s="33"/>
      <c r="P3071" s="33"/>
      <c r="Q3071" s="33"/>
      <c r="R3071" s="33"/>
      <c r="S3071" s="33"/>
      <c r="T3071" s="33"/>
      <c r="U3071" s="33"/>
      <c r="V3071" s="33"/>
      <c r="W3071" s="33"/>
      <c r="X3071" s="33"/>
      <c r="Y3071" s="33"/>
      <c r="Z3071" s="33"/>
      <c r="AA3071" s="33"/>
      <c r="AB3071" s="33"/>
    </row>
    <row r="3072" spans="1:28" x14ac:dyDescent="0.15">
      <c r="A3072" s="46" t="s">
        <v>6195</v>
      </c>
      <c r="B3072" s="52" t="s">
        <v>7361</v>
      </c>
      <c r="C3072" s="53" t="s">
        <v>6196</v>
      </c>
      <c r="D3072" s="54" t="s">
        <v>10511</v>
      </c>
      <c r="E3072" s="50">
        <f t="shared" si="104"/>
        <v>42.027397260000001</v>
      </c>
      <c r="F3072" s="51">
        <f t="shared" si="104"/>
        <v>4.6390384300000003</v>
      </c>
      <c r="H3072" s="33"/>
      <c r="I3072" s="33"/>
      <c r="J3072" s="33"/>
      <c r="K3072" s="33"/>
      <c r="L3072" s="33"/>
      <c r="M3072" s="33"/>
      <c r="N3072" s="33"/>
      <c r="O3072" s="33"/>
      <c r="P3072" s="33"/>
      <c r="Q3072" s="33"/>
      <c r="R3072" s="33"/>
      <c r="S3072" s="33"/>
      <c r="T3072" s="33"/>
      <c r="U3072" s="33"/>
      <c r="V3072" s="33"/>
      <c r="W3072" s="33"/>
      <c r="X3072" s="33"/>
      <c r="Y3072" s="33"/>
      <c r="Z3072" s="33"/>
      <c r="AA3072" s="33"/>
      <c r="AB3072" s="33"/>
    </row>
    <row r="3073" spans="1:28" x14ac:dyDescent="0.15">
      <c r="A3073" s="46" t="s">
        <v>6197</v>
      </c>
      <c r="B3073" s="52" t="s">
        <v>7361</v>
      </c>
      <c r="C3073" s="53" t="s">
        <v>6198</v>
      </c>
      <c r="D3073" s="54" t="s">
        <v>10512</v>
      </c>
      <c r="E3073" s="50">
        <f t="shared" si="104"/>
        <v>42.041095890000001</v>
      </c>
      <c r="F3073" s="51">
        <f t="shared" si="104"/>
        <v>4.6390562500000003</v>
      </c>
      <c r="H3073" s="33"/>
      <c r="I3073" s="33"/>
      <c r="J3073" s="33"/>
      <c r="K3073" s="33"/>
      <c r="L3073" s="33"/>
      <c r="M3073" s="33"/>
      <c r="N3073" s="33"/>
      <c r="O3073" s="33"/>
      <c r="P3073" s="33"/>
      <c r="Q3073" s="33"/>
      <c r="R3073" s="33"/>
      <c r="S3073" s="33"/>
      <c r="T3073" s="33"/>
      <c r="U3073" s="33"/>
      <c r="V3073" s="33"/>
      <c r="W3073" s="33"/>
      <c r="X3073" s="33"/>
      <c r="Y3073" s="33"/>
      <c r="Z3073" s="33"/>
      <c r="AA3073" s="33"/>
      <c r="AB3073" s="33"/>
    </row>
    <row r="3074" spans="1:28" x14ac:dyDescent="0.15">
      <c r="A3074" s="46" t="s">
        <v>6199</v>
      </c>
      <c r="B3074" s="52" t="s">
        <v>7361</v>
      </c>
      <c r="C3074" s="53" t="s">
        <v>6200</v>
      </c>
      <c r="D3074" s="54" t="s">
        <v>10513</v>
      </c>
      <c r="E3074" s="50">
        <f t="shared" si="104"/>
        <v>42.054794520000002</v>
      </c>
      <c r="F3074" s="51">
        <f t="shared" si="104"/>
        <v>4.6390734199999999</v>
      </c>
      <c r="H3074" s="33"/>
      <c r="I3074" s="33"/>
      <c r="J3074" s="33"/>
      <c r="K3074" s="33"/>
      <c r="L3074" s="33"/>
      <c r="M3074" s="33"/>
      <c r="N3074" s="33"/>
      <c r="O3074" s="33"/>
      <c r="P3074" s="33"/>
      <c r="Q3074" s="33"/>
      <c r="R3074" s="33"/>
      <c r="S3074" s="33"/>
      <c r="T3074" s="33"/>
      <c r="U3074" s="33"/>
      <c r="V3074" s="33"/>
      <c r="W3074" s="33"/>
      <c r="X3074" s="33"/>
      <c r="Y3074" s="33"/>
      <c r="Z3074" s="33"/>
      <c r="AA3074" s="33"/>
      <c r="AB3074" s="33"/>
    </row>
    <row r="3075" spans="1:28" x14ac:dyDescent="0.15">
      <c r="A3075" s="46" t="s">
        <v>6201</v>
      </c>
      <c r="B3075" s="52" t="s">
        <v>7361</v>
      </c>
      <c r="C3075" s="53" t="s">
        <v>6202</v>
      </c>
      <c r="D3075" s="54" t="s">
        <v>10514</v>
      </c>
      <c r="E3075" s="50">
        <f t="shared" si="104"/>
        <v>42.068493150000002</v>
      </c>
      <c r="F3075" s="51">
        <f t="shared" si="104"/>
        <v>4.6390899599999997</v>
      </c>
      <c r="H3075" s="33"/>
      <c r="I3075" s="33"/>
      <c r="J3075" s="33"/>
      <c r="K3075" s="33"/>
      <c r="L3075" s="33"/>
      <c r="M3075" s="33"/>
      <c r="N3075" s="33"/>
      <c r="O3075" s="33"/>
      <c r="P3075" s="33"/>
      <c r="Q3075" s="33"/>
      <c r="R3075" s="33"/>
      <c r="S3075" s="33"/>
      <c r="T3075" s="33"/>
      <c r="U3075" s="33"/>
      <c r="V3075" s="33"/>
      <c r="W3075" s="33"/>
      <c r="X3075" s="33"/>
      <c r="Y3075" s="33"/>
      <c r="Z3075" s="33"/>
      <c r="AA3075" s="33"/>
      <c r="AB3075" s="33"/>
    </row>
    <row r="3076" spans="1:28" x14ac:dyDescent="0.15">
      <c r="A3076" s="46" t="s">
        <v>6203</v>
      </c>
      <c r="B3076" s="52" t="s">
        <v>7361</v>
      </c>
      <c r="C3076" s="53" t="s">
        <v>6204</v>
      </c>
      <c r="D3076" s="54" t="s">
        <v>10515</v>
      </c>
      <c r="E3076" s="50">
        <f t="shared" si="104"/>
        <v>42.082191780000002</v>
      </c>
      <c r="F3076" s="51">
        <f t="shared" si="104"/>
        <v>4.6391058599999999</v>
      </c>
      <c r="H3076" s="33"/>
      <c r="I3076" s="33"/>
      <c r="J3076" s="33"/>
      <c r="K3076" s="33"/>
      <c r="L3076" s="33"/>
      <c r="M3076" s="33"/>
      <c r="N3076" s="33"/>
      <c r="O3076" s="33"/>
      <c r="P3076" s="33"/>
      <c r="Q3076" s="33"/>
      <c r="R3076" s="33"/>
      <c r="S3076" s="33"/>
      <c r="T3076" s="33"/>
      <c r="U3076" s="33"/>
      <c r="V3076" s="33"/>
      <c r="W3076" s="33"/>
      <c r="X3076" s="33"/>
      <c r="Y3076" s="33"/>
      <c r="Z3076" s="33"/>
      <c r="AA3076" s="33"/>
      <c r="AB3076" s="33"/>
    </row>
    <row r="3077" spans="1:28" x14ac:dyDescent="0.15">
      <c r="A3077" s="46" t="s">
        <v>6205</v>
      </c>
      <c r="B3077" s="52" t="s">
        <v>7361</v>
      </c>
      <c r="C3077" s="53" t="s">
        <v>6206</v>
      </c>
      <c r="D3077" s="54" t="s">
        <v>10516</v>
      </c>
      <c r="E3077" s="50">
        <f t="shared" si="104"/>
        <v>42.095890410000003</v>
      </c>
      <c r="F3077" s="51">
        <f t="shared" si="104"/>
        <v>4.6391211600000002</v>
      </c>
      <c r="H3077" s="33"/>
      <c r="I3077" s="33"/>
      <c r="J3077" s="33"/>
      <c r="K3077" s="33"/>
      <c r="L3077" s="33"/>
      <c r="M3077" s="33"/>
      <c r="N3077" s="33"/>
      <c r="O3077" s="33"/>
      <c r="P3077" s="33"/>
      <c r="Q3077" s="33"/>
      <c r="R3077" s="33"/>
      <c r="S3077" s="33"/>
      <c r="T3077" s="33"/>
      <c r="U3077" s="33"/>
      <c r="V3077" s="33"/>
      <c r="W3077" s="33"/>
      <c r="X3077" s="33"/>
      <c r="Y3077" s="33"/>
      <c r="Z3077" s="33"/>
      <c r="AA3077" s="33"/>
      <c r="AB3077" s="33"/>
    </row>
    <row r="3078" spans="1:28" x14ac:dyDescent="0.15">
      <c r="A3078" s="46" t="s">
        <v>6207</v>
      </c>
      <c r="B3078" s="52" t="s">
        <v>7361</v>
      </c>
      <c r="C3078" s="53" t="s">
        <v>6208</v>
      </c>
      <c r="D3078" s="54" t="s">
        <v>10517</v>
      </c>
      <c r="E3078" s="50">
        <f t="shared" si="104"/>
        <v>42.109589040000003</v>
      </c>
      <c r="F3078" s="51">
        <f t="shared" si="104"/>
        <v>4.6391358499999997</v>
      </c>
      <c r="H3078" s="33"/>
      <c r="I3078" s="33"/>
      <c r="J3078" s="33"/>
      <c r="K3078" s="33"/>
      <c r="L3078" s="33"/>
      <c r="M3078" s="33"/>
      <c r="N3078" s="33"/>
      <c r="O3078" s="33"/>
      <c r="P3078" s="33"/>
      <c r="Q3078" s="33"/>
      <c r="R3078" s="33"/>
      <c r="S3078" s="33"/>
      <c r="T3078" s="33"/>
      <c r="U3078" s="33"/>
      <c r="V3078" s="33"/>
      <c r="W3078" s="33"/>
      <c r="X3078" s="33"/>
      <c r="Y3078" s="33"/>
      <c r="Z3078" s="33"/>
      <c r="AA3078" s="33"/>
      <c r="AB3078" s="33"/>
    </row>
    <row r="3079" spans="1:28" x14ac:dyDescent="0.15">
      <c r="A3079" s="46" t="s">
        <v>6209</v>
      </c>
      <c r="B3079" s="52" t="s">
        <v>7361</v>
      </c>
      <c r="C3079" s="53" t="s">
        <v>6210</v>
      </c>
      <c r="D3079" s="54" t="s">
        <v>10518</v>
      </c>
      <c r="E3079" s="50">
        <f t="shared" si="104"/>
        <v>42.123287670000003</v>
      </c>
      <c r="F3079" s="51">
        <f t="shared" si="104"/>
        <v>4.6391499600000001</v>
      </c>
      <c r="H3079" s="33"/>
      <c r="I3079" s="33"/>
      <c r="J3079" s="33"/>
      <c r="K3079" s="33"/>
      <c r="L3079" s="33"/>
      <c r="M3079" s="33"/>
      <c r="N3079" s="33"/>
      <c r="O3079" s="33"/>
      <c r="P3079" s="33"/>
      <c r="Q3079" s="33"/>
      <c r="R3079" s="33"/>
      <c r="S3079" s="33"/>
      <c r="T3079" s="33"/>
      <c r="U3079" s="33"/>
      <c r="V3079" s="33"/>
      <c r="W3079" s="33"/>
      <c r="X3079" s="33"/>
      <c r="Y3079" s="33"/>
      <c r="Z3079" s="33"/>
      <c r="AA3079" s="33"/>
      <c r="AB3079" s="33"/>
    </row>
    <row r="3080" spans="1:28" x14ac:dyDescent="0.15">
      <c r="A3080" s="46" t="s">
        <v>6211</v>
      </c>
      <c r="B3080" s="52" t="s">
        <v>7361</v>
      </c>
      <c r="C3080" s="53" t="s">
        <v>6212</v>
      </c>
      <c r="D3080" s="54" t="s">
        <v>10519</v>
      </c>
      <c r="E3080" s="50">
        <f t="shared" si="104"/>
        <v>42.136986299999997</v>
      </c>
      <c r="F3080" s="51">
        <f t="shared" si="104"/>
        <v>4.6391634799999997</v>
      </c>
      <c r="H3080" s="33"/>
      <c r="I3080" s="33"/>
      <c r="J3080" s="33"/>
      <c r="K3080" s="33"/>
      <c r="L3080" s="33"/>
      <c r="M3080" s="33"/>
      <c r="N3080" s="33"/>
      <c r="O3080" s="33"/>
      <c r="P3080" s="33"/>
      <c r="Q3080" s="33"/>
      <c r="R3080" s="33"/>
      <c r="S3080" s="33"/>
      <c r="T3080" s="33"/>
      <c r="U3080" s="33"/>
      <c r="V3080" s="33"/>
      <c r="W3080" s="33"/>
      <c r="X3080" s="33"/>
      <c r="Y3080" s="33"/>
      <c r="Z3080" s="33"/>
      <c r="AA3080" s="33"/>
      <c r="AB3080" s="33"/>
    </row>
    <row r="3081" spans="1:28" x14ac:dyDescent="0.15">
      <c r="A3081" s="46" t="s">
        <v>6213</v>
      </c>
      <c r="B3081" s="52" t="s">
        <v>7361</v>
      </c>
      <c r="C3081" s="53" t="s">
        <v>6214</v>
      </c>
      <c r="D3081" s="54" t="s">
        <v>10520</v>
      </c>
      <c r="E3081" s="50">
        <f t="shared" ref="E3081:F3111" si="105">VALUE(C3081)</f>
        <v>42.150684929999997</v>
      </c>
      <c r="F3081" s="51">
        <f t="shared" si="105"/>
        <v>4.6391764499999999</v>
      </c>
      <c r="H3081" s="33"/>
      <c r="I3081" s="33"/>
      <c r="J3081" s="33"/>
      <c r="K3081" s="33"/>
      <c r="L3081" s="33"/>
      <c r="M3081" s="33"/>
      <c r="N3081" s="33"/>
      <c r="O3081" s="33"/>
      <c r="P3081" s="33"/>
      <c r="Q3081" s="33"/>
      <c r="R3081" s="33"/>
      <c r="S3081" s="33"/>
      <c r="T3081" s="33"/>
      <c r="U3081" s="33"/>
      <c r="V3081" s="33"/>
      <c r="W3081" s="33"/>
      <c r="X3081" s="33"/>
      <c r="Y3081" s="33"/>
      <c r="Z3081" s="33"/>
      <c r="AA3081" s="33"/>
      <c r="AB3081" s="33"/>
    </row>
    <row r="3082" spans="1:28" x14ac:dyDescent="0.15">
      <c r="A3082" s="46" t="s">
        <v>6215</v>
      </c>
      <c r="B3082" s="52" t="s">
        <v>7361</v>
      </c>
      <c r="C3082" s="53" t="s">
        <v>6216</v>
      </c>
      <c r="D3082" s="54" t="s">
        <v>10521</v>
      </c>
      <c r="E3082" s="50">
        <f t="shared" si="105"/>
        <v>42.164383559999997</v>
      </c>
      <c r="F3082" s="51">
        <f t="shared" si="105"/>
        <v>4.6391888699999999</v>
      </c>
      <c r="H3082" s="33"/>
      <c r="I3082" s="33"/>
      <c r="J3082" s="33"/>
      <c r="K3082" s="33"/>
      <c r="L3082" s="33"/>
      <c r="M3082" s="33"/>
      <c r="N3082" s="33"/>
      <c r="O3082" s="33"/>
      <c r="P3082" s="33"/>
      <c r="Q3082" s="33"/>
      <c r="R3082" s="33"/>
      <c r="S3082" s="33"/>
      <c r="T3082" s="33"/>
      <c r="U3082" s="33"/>
      <c r="V3082" s="33"/>
      <c r="W3082" s="33"/>
      <c r="X3082" s="33"/>
      <c r="Y3082" s="33"/>
      <c r="Z3082" s="33"/>
      <c r="AA3082" s="33"/>
      <c r="AB3082" s="33"/>
    </row>
    <row r="3083" spans="1:28" x14ac:dyDescent="0.15">
      <c r="A3083" s="46" t="s">
        <v>6217</v>
      </c>
      <c r="B3083" s="52" t="s">
        <v>7361</v>
      </c>
      <c r="C3083" s="53" t="s">
        <v>6218</v>
      </c>
      <c r="D3083" s="54" t="s">
        <v>10522</v>
      </c>
      <c r="E3083" s="50">
        <f t="shared" si="105"/>
        <v>42.178082189999998</v>
      </c>
      <c r="F3083" s="51">
        <f t="shared" si="105"/>
        <v>4.6392007499999997</v>
      </c>
      <c r="H3083" s="33"/>
      <c r="I3083" s="33"/>
      <c r="J3083" s="33"/>
      <c r="K3083" s="33"/>
      <c r="L3083" s="33"/>
      <c r="M3083" s="33"/>
      <c r="N3083" s="33"/>
      <c r="O3083" s="33"/>
      <c r="P3083" s="33"/>
      <c r="Q3083" s="33"/>
      <c r="R3083" s="33"/>
      <c r="S3083" s="33"/>
      <c r="T3083" s="33"/>
      <c r="U3083" s="33"/>
      <c r="V3083" s="33"/>
      <c r="W3083" s="33"/>
      <c r="X3083" s="33"/>
      <c r="Y3083" s="33"/>
      <c r="Z3083" s="33"/>
      <c r="AA3083" s="33"/>
      <c r="AB3083" s="33"/>
    </row>
    <row r="3084" spans="1:28" x14ac:dyDescent="0.15">
      <c r="A3084" s="46" t="s">
        <v>6219</v>
      </c>
      <c r="B3084" s="52" t="s">
        <v>7361</v>
      </c>
      <c r="C3084" s="53" t="s">
        <v>6220</v>
      </c>
      <c r="D3084" s="54" t="s">
        <v>10523</v>
      </c>
      <c r="E3084" s="50">
        <f t="shared" si="105"/>
        <v>42.191780819999998</v>
      </c>
      <c r="F3084" s="51">
        <f t="shared" si="105"/>
        <v>4.6392120999999999</v>
      </c>
      <c r="H3084" s="33"/>
      <c r="I3084" s="33"/>
      <c r="J3084" s="33"/>
      <c r="K3084" s="33"/>
      <c r="L3084" s="33"/>
      <c r="M3084" s="33"/>
      <c r="N3084" s="33"/>
      <c r="O3084" s="33"/>
      <c r="P3084" s="33"/>
      <c r="Q3084" s="33"/>
      <c r="R3084" s="33"/>
      <c r="S3084" s="33"/>
      <c r="T3084" s="33"/>
      <c r="U3084" s="33"/>
      <c r="V3084" s="33"/>
      <c r="W3084" s="33"/>
      <c r="X3084" s="33"/>
      <c r="Y3084" s="33"/>
      <c r="Z3084" s="33"/>
      <c r="AA3084" s="33"/>
      <c r="AB3084" s="33"/>
    </row>
    <row r="3085" spans="1:28" x14ac:dyDescent="0.15">
      <c r="A3085" s="46" t="s">
        <v>6221</v>
      </c>
      <c r="B3085" s="52" t="s">
        <v>7361</v>
      </c>
      <c r="C3085" s="53" t="s">
        <v>6222</v>
      </c>
      <c r="D3085" s="54" t="s">
        <v>10524</v>
      </c>
      <c r="E3085" s="50">
        <f t="shared" si="105"/>
        <v>42.205479449999999</v>
      </c>
      <c r="F3085" s="51">
        <f t="shared" si="105"/>
        <v>4.6392229399999998</v>
      </c>
      <c r="H3085" s="33"/>
      <c r="I3085" s="33"/>
      <c r="J3085" s="33"/>
      <c r="K3085" s="33"/>
      <c r="L3085" s="33"/>
      <c r="M3085" s="33"/>
      <c r="N3085" s="33"/>
      <c r="O3085" s="33"/>
      <c r="P3085" s="33"/>
      <c r="Q3085" s="33"/>
      <c r="R3085" s="33"/>
      <c r="S3085" s="33"/>
      <c r="T3085" s="33"/>
      <c r="U3085" s="33"/>
      <c r="V3085" s="33"/>
      <c r="W3085" s="33"/>
      <c r="X3085" s="33"/>
      <c r="Y3085" s="33"/>
      <c r="Z3085" s="33"/>
      <c r="AA3085" s="33"/>
      <c r="AB3085" s="33"/>
    </row>
    <row r="3086" spans="1:28" x14ac:dyDescent="0.15">
      <c r="A3086" s="46" t="s">
        <v>6223</v>
      </c>
      <c r="B3086" s="52" t="s">
        <v>7361</v>
      </c>
      <c r="C3086" s="53" t="s">
        <v>6224</v>
      </c>
      <c r="D3086" s="54" t="s">
        <v>10525</v>
      </c>
      <c r="E3086" s="50">
        <f t="shared" si="105"/>
        <v>42.219178079999999</v>
      </c>
      <c r="F3086" s="51">
        <f t="shared" si="105"/>
        <v>4.63923328</v>
      </c>
      <c r="H3086" s="33"/>
      <c r="I3086" s="33"/>
      <c r="J3086" s="33"/>
      <c r="K3086" s="33"/>
      <c r="L3086" s="33"/>
      <c r="M3086" s="33"/>
      <c r="N3086" s="33"/>
      <c r="O3086" s="33"/>
      <c r="P3086" s="33"/>
      <c r="Q3086" s="33"/>
      <c r="R3086" s="33"/>
      <c r="S3086" s="33"/>
      <c r="T3086" s="33"/>
      <c r="U3086" s="33"/>
      <c r="V3086" s="33"/>
      <c r="W3086" s="33"/>
      <c r="X3086" s="33"/>
      <c r="Y3086" s="33"/>
      <c r="Z3086" s="33"/>
      <c r="AA3086" s="33"/>
      <c r="AB3086" s="33"/>
    </row>
    <row r="3087" spans="1:28" x14ac:dyDescent="0.15">
      <c r="A3087" s="46" t="s">
        <v>6225</v>
      </c>
      <c r="B3087" s="52" t="s">
        <v>7361</v>
      </c>
      <c r="C3087" s="53" t="s">
        <v>6226</v>
      </c>
      <c r="D3087" s="54" t="s">
        <v>10526</v>
      </c>
      <c r="E3087" s="50">
        <f t="shared" si="105"/>
        <v>42.232876709999999</v>
      </c>
      <c r="F3087" s="51">
        <f t="shared" si="105"/>
        <v>4.6392431299999997</v>
      </c>
      <c r="H3087" s="33"/>
      <c r="I3087" s="33"/>
      <c r="J3087" s="33"/>
      <c r="K3087" s="33"/>
      <c r="L3087" s="33"/>
      <c r="M3087" s="33"/>
      <c r="N3087" s="33"/>
      <c r="O3087" s="33"/>
      <c r="P3087" s="33"/>
      <c r="Q3087" s="33"/>
      <c r="R3087" s="33"/>
      <c r="S3087" s="33"/>
      <c r="T3087" s="33"/>
      <c r="U3087" s="33"/>
      <c r="V3087" s="33"/>
      <c r="W3087" s="33"/>
      <c r="X3087" s="33"/>
      <c r="Y3087" s="33"/>
      <c r="Z3087" s="33"/>
      <c r="AA3087" s="33"/>
      <c r="AB3087" s="33"/>
    </row>
    <row r="3088" spans="1:28" x14ac:dyDescent="0.15">
      <c r="A3088" s="46" t="s">
        <v>6227</v>
      </c>
      <c r="B3088" s="52" t="s">
        <v>7361</v>
      </c>
      <c r="C3088" s="53" t="s">
        <v>6228</v>
      </c>
      <c r="D3088" s="54" t="s">
        <v>10527</v>
      </c>
      <c r="E3088" s="50">
        <f t="shared" si="105"/>
        <v>42.24657534</v>
      </c>
      <c r="F3088" s="51">
        <f t="shared" si="105"/>
        <v>4.6392524999999996</v>
      </c>
      <c r="H3088" s="33"/>
      <c r="I3088" s="33"/>
      <c r="J3088" s="33"/>
      <c r="K3088" s="33"/>
      <c r="L3088" s="33"/>
      <c r="M3088" s="33"/>
      <c r="N3088" s="33"/>
      <c r="O3088" s="33"/>
      <c r="P3088" s="33"/>
      <c r="Q3088" s="33"/>
      <c r="R3088" s="33"/>
      <c r="S3088" s="33"/>
      <c r="T3088" s="33"/>
      <c r="U3088" s="33"/>
      <c r="V3088" s="33"/>
      <c r="W3088" s="33"/>
      <c r="X3088" s="33"/>
      <c r="Y3088" s="33"/>
      <c r="Z3088" s="33"/>
      <c r="AA3088" s="33"/>
      <c r="AB3088" s="33"/>
    </row>
    <row r="3089" spans="1:28" x14ac:dyDescent="0.15">
      <c r="A3089" s="46" t="s">
        <v>6229</v>
      </c>
      <c r="B3089" s="52" t="s">
        <v>7361</v>
      </c>
      <c r="C3089" s="53" t="s">
        <v>6230</v>
      </c>
      <c r="D3089" s="54" t="s">
        <v>10528</v>
      </c>
      <c r="E3089" s="50">
        <f t="shared" si="105"/>
        <v>42.26027397</v>
      </c>
      <c r="F3089" s="51">
        <f t="shared" si="105"/>
        <v>4.6392614200000004</v>
      </c>
      <c r="H3089" s="33"/>
      <c r="I3089" s="33"/>
      <c r="J3089" s="33"/>
      <c r="K3089" s="33"/>
      <c r="L3089" s="33"/>
      <c r="M3089" s="33"/>
      <c r="N3089" s="33"/>
      <c r="O3089" s="33"/>
      <c r="P3089" s="33"/>
      <c r="Q3089" s="33"/>
      <c r="R3089" s="33"/>
      <c r="S3089" s="33"/>
      <c r="T3089" s="33"/>
      <c r="U3089" s="33"/>
      <c r="V3089" s="33"/>
      <c r="W3089" s="33"/>
      <c r="X3089" s="33"/>
      <c r="Y3089" s="33"/>
      <c r="Z3089" s="33"/>
      <c r="AA3089" s="33"/>
      <c r="AB3089" s="33"/>
    </row>
    <row r="3090" spans="1:28" x14ac:dyDescent="0.15">
      <c r="A3090" s="46" t="s">
        <v>6231</v>
      </c>
      <c r="B3090" s="52" t="s">
        <v>7361</v>
      </c>
      <c r="C3090" s="53" t="s">
        <v>6232</v>
      </c>
      <c r="D3090" s="54" t="s">
        <v>10529</v>
      </c>
      <c r="E3090" s="50">
        <f t="shared" si="105"/>
        <v>42.2739726</v>
      </c>
      <c r="F3090" s="51">
        <f t="shared" si="105"/>
        <v>4.6392698799999996</v>
      </c>
      <c r="H3090" s="33"/>
      <c r="I3090" s="33"/>
      <c r="J3090" s="33"/>
      <c r="K3090" s="33"/>
      <c r="L3090" s="33"/>
      <c r="M3090" s="33"/>
      <c r="N3090" s="33"/>
      <c r="O3090" s="33"/>
      <c r="P3090" s="33"/>
      <c r="Q3090" s="33"/>
      <c r="R3090" s="33"/>
      <c r="S3090" s="33"/>
      <c r="T3090" s="33"/>
      <c r="U3090" s="33"/>
      <c r="V3090" s="33"/>
      <c r="W3090" s="33"/>
      <c r="X3090" s="33"/>
      <c r="Y3090" s="33"/>
      <c r="Z3090" s="33"/>
      <c r="AA3090" s="33"/>
      <c r="AB3090" s="33"/>
    </row>
    <row r="3091" spans="1:28" x14ac:dyDescent="0.15">
      <c r="A3091" s="46" t="s">
        <v>6233</v>
      </c>
      <c r="B3091" s="52" t="s">
        <v>7361</v>
      </c>
      <c r="C3091" s="53" t="s">
        <v>6234</v>
      </c>
      <c r="D3091" s="54" t="s">
        <v>10530</v>
      </c>
      <c r="E3091" s="50">
        <f t="shared" si="105"/>
        <v>42.287671230000001</v>
      </c>
      <c r="F3091" s="51">
        <f t="shared" si="105"/>
        <v>4.6392778999999997</v>
      </c>
      <c r="H3091" s="33"/>
      <c r="I3091" s="33"/>
      <c r="J3091" s="33"/>
      <c r="K3091" s="33"/>
      <c r="L3091" s="33"/>
      <c r="M3091" s="33"/>
      <c r="N3091" s="33"/>
      <c r="O3091" s="33"/>
      <c r="P3091" s="33"/>
      <c r="Q3091" s="33"/>
      <c r="R3091" s="33"/>
      <c r="S3091" s="33"/>
      <c r="T3091" s="33"/>
      <c r="U3091" s="33"/>
      <c r="V3091" s="33"/>
      <c r="W3091" s="33"/>
      <c r="X3091" s="33"/>
      <c r="Y3091" s="33"/>
      <c r="Z3091" s="33"/>
      <c r="AA3091" s="33"/>
      <c r="AB3091" s="33"/>
    </row>
    <row r="3092" spans="1:28" x14ac:dyDescent="0.15">
      <c r="A3092" s="46" t="s">
        <v>6235</v>
      </c>
      <c r="B3092" s="52" t="s">
        <v>7361</v>
      </c>
      <c r="C3092" s="53" t="s">
        <v>6236</v>
      </c>
      <c r="D3092" s="54" t="s">
        <v>10531</v>
      </c>
      <c r="E3092" s="50">
        <f t="shared" si="105"/>
        <v>42.301369860000001</v>
      </c>
      <c r="F3092" s="51">
        <f t="shared" si="105"/>
        <v>4.6392854999999997</v>
      </c>
      <c r="H3092" s="33"/>
      <c r="I3092" s="33"/>
      <c r="J3092" s="33"/>
      <c r="K3092" s="33"/>
      <c r="L3092" s="33"/>
      <c r="M3092" s="33"/>
      <c r="N3092" s="33"/>
      <c r="O3092" s="33"/>
      <c r="P3092" s="33"/>
      <c r="Q3092" s="33"/>
      <c r="R3092" s="33"/>
      <c r="S3092" s="33"/>
      <c r="T3092" s="33"/>
      <c r="U3092" s="33"/>
      <c r="V3092" s="33"/>
      <c r="W3092" s="33"/>
      <c r="X3092" s="33"/>
      <c r="Y3092" s="33"/>
      <c r="Z3092" s="33"/>
      <c r="AA3092" s="33"/>
      <c r="AB3092" s="33"/>
    </row>
    <row r="3093" spans="1:28" x14ac:dyDescent="0.15">
      <c r="A3093" s="46" t="s">
        <v>6237</v>
      </c>
      <c r="B3093" s="52" t="s">
        <v>7361</v>
      </c>
      <c r="C3093" s="53" t="s">
        <v>6238</v>
      </c>
      <c r="D3093" s="54" t="s">
        <v>10532</v>
      </c>
      <c r="E3093" s="50">
        <f t="shared" si="105"/>
        <v>42.315068490000002</v>
      </c>
      <c r="F3093" s="51">
        <f t="shared" si="105"/>
        <v>4.6392926900000004</v>
      </c>
      <c r="H3093" s="33"/>
      <c r="I3093" s="33"/>
      <c r="J3093" s="33"/>
      <c r="K3093" s="33"/>
      <c r="L3093" s="33"/>
      <c r="M3093" s="33"/>
      <c r="N3093" s="33"/>
      <c r="O3093" s="33"/>
      <c r="P3093" s="33"/>
      <c r="Q3093" s="33"/>
      <c r="R3093" s="33"/>
      <c r="S3093" s="33"/>
      <c r="T3093" s="33"/>
      <c r="U3093" s="33"/>
      <c r="V3093" s="33"/>
      <c r="W3093" s="33"/>
      <c r="X3093" s="33"/>
      <c r="Y3093" s="33"/>
      <c r="Z3093" s="33"/>
      <c r="AA3093" s="33"/>
      <c r="AB3093" s="33"/>
    </row>
    <row r="3094" spans="1:28" x14ac:dyDescent="0.15">
      <c r="A3094" s="46" t="s">
        <v>6239</v>
      </c>
      <c r="B3094" s="52" t="s">
        <v>7361</v>
      </c>
      <c r="C3094" s="53" t="s">
        <v>6240</v>
      </c>
      <c r="D3094" s="54" t="s">
        <v>10533</v>
      </c>
      <c r="E3094" s="50">
        <f t="shared" si="105"/>
        <v>42.328767120000002</v>
      </c>
      <c r="F3094" s="51">
        <f t="shared" si="105"/>
        <v>4.6392994700000001</v>
      </c>
      <c r="H3094" s="33"/>
      <c r="I3094" s="33"/>
      <c r="J3094" s="33"/>
      <c r="K3094" s="33"/>
      <c r="L3094" s="33"/>
      <c r="M3094" s="33"/>
      <c r="N3094" s="33"/>
      <c r="O3094" s="33"/>
      <c r="P3094" s="33"/>
      <c r="Q3094" s="33"/>
      <c r="R3094" s="33"/>
      <c r="S3094" s="33"/>
      <c r="T3094" s="33"/>
      <c r="U3094" s="33"/>
      <c r="V3094" s="33"/>
      <c r="W3094" s="33"/>
      <c r="X3094" s="33"/>
      <c r="Y3094" s="33"/>
      <c r="Z3094" s="33"/>
      <c r="AA3094" s="33"/>
      <c r="AB3094" s="33"/>
    </row>
    <row r="3095" spans="1:28" x14ac:dyDescent="0.15">
      <c r="A3095" s="46" t="s">
        <v>6241</v>
      </c>
      <c r="B3095" s="52" t="s">
        <v>7361</v>
      </c>
      <c r="C3095" s="53" t="s">
        <v>6242</v>
      </c>
      <c r="D3095" s="54" t="s">
        <v>10534</v>
      </c>
      <c r="E3095" s="50">
        <f t="shared" si="105"/>
        <v>42.342465750000002</v>
      </c>
      <c r="F3095" s="51">
        <f t="shared" si="105"/>
        <v>4.6393058700000003</v>
      </c>
      <c r="H3095" s="33"/>
      <c r="I3095" s="33"/>
      <c r="J3095" s="33"/>
      <c r="K3095" s="33"/>
      <c r="L3095" s="33"/>
      <c r="M3095" s="33"/>
      <c r="N3095" s="33"/>
      <c r="O3095" s="33"/>
      <c r="P3095" s="33"/>
      <c r="Q3095" s="33"/>
      <c r="R3095" s="33"/>
      <c r="S3095" s="33"/>
      <c r="T3095" s="33"/>
      <c r="U3095" s="33"/>
      <c r="V3095" s="33"/>
      <c r="W3095" s="33"/>
      <c r="X3095" s="33"/>
      <c r="Y3095" s="33"/>
      <c r="Z3095" s="33"/>
      <c r="AA3095" s="33"/>
      <c r="AB3095" s="33"/>
    </row>
    <row r="3096" spans="1:28" x14ac:dyDescent="0.15">
      <c r="A3096" s="46" t="s">
        <v>6243</v>
      </c>
      <c r="B3096" s="52" t="s">
        <v>7361</v>
      </c>
      <c r="C3096" s="53" t="s">
        <v>6244</v>
      </c>
      <c r="D3096" s="54" t="s">
        <v>10535</v>
      </c>
      <c r="E3096" s="50">
        <f t="shared" si="105"/>
        <v>42.356164380000003</v>
      </c>
      <c r="F3096" s="51">
        <f t="shared" si="105"/>
        <v>4.6393118900000001</v>
      </c>
      <c r="H3096" s="33"/>
      <c r="I3096" s="33"/>
      <c r="J3096" s="33"/>
      <c r="K3096" s="33"/>
      <c r="L3096" s="33"/>
      <c r="M3096" s="33"/>
      <c r="N3096" s="33"/>
      <c r="O3096" s="33"/>
      <c r="P3096" s="33"/>
      <c r="Q3096" s="33"/>
      <c r="R3096" s="33"/>
      <c r="S3096" s="33"/>
      <c r="T3096" s="33"/>
      <c r="U3096" s="33"/>
      <c r="V3096" s="33"/>
      <c r="W3096" s="33"/>
      <c r="X3096" s="33"/>
      <c r="Y3096" s="33"/>
      <c r="Z3096" s="33"/>
      <c r="AA3096" s="33"/>
      <c r="AB3096" s="33"/>
    </row>
    <row r="3097" spans="1:28" x14ac:dyDescent="0.15">
      <c r="A3097" s="46" t="s">
        <v>6245</v>
      </c>
      <c r="B3097" s="52" t="s">
        <v>7361</v>
      </c>
      <c r="C3097" s="53" t="s">
        <v>6246</v>
      </c>
      <c r="D3097" s="54" t="s">
        <v>10536</v>
      </c>
      <c r="E3097" s="50">
        <f t="shared" si="105"/>
        <v>42.369863010000003</v>
      </c>
      <c r="F3097" s="51">
        <f t="shared" si="105"/>
        <v>4.6393175500000003</v>
      </c>
      <c r="H3097" s="33"/>
      <c r="I3097" s="33"/>
      <c r="J3097" s="33"/>
      <c r="K3097" s="33"/>
      <c r="L3097" s="33"/>
      <c r="M3097" s="33"/>
      <c r="N3097" s="33"/>
      <c r="O3097" s="33"/>
      <c r="P3097" s="33"/>
      <c r="Q3097" s="33"/>
      <c r="R3097" s="33"/>
      <c r="S3097" s="33"/>
      <c r="T3097" s="33"/>
      <c r="U3097" s="33"/>
      <c r="V3097" s="33"/>
      <c r="W3097" s="33"/>
      <c r="X3097" s="33"/>
      <c r="Y3097" s="33"/>
      <c r="Z3097" s="33"/>
      <c r="AA3097" s="33"/>
      <c r="AB3097" s="33"/>
    </row>
    <row r="3098" spans="1:28" x14ac:dyDescent="0.15">
      <c r="A3098" s="46" t="s">
        <v>6247</v>
      </c>
      <c r="B3098" s="52" t="s">
        <v>7361</v>
      </c>
      <c r="C3098" s="53" t="s">
        <v>6248</v>
      </c>
      <c r="D3098" s="54" t="s">
        <v>10537</v>
      </c>
      <c r="E3098" s="50">
        <f t="shared" si="105"/>
        <v>42.383561640000003</v>
      </c>
      <c r="F3098" s="51">
        <f t="shared" si="105"/>
        <v>4.63932286</v>
      </c>
      <c r="H3098" s="33"/>
      <c r="I3098" s="33"/>
      <c r="J3098" s="33"/>
      <c r="K3098" s="33"/>
      <c r="L3098" s="33"/>
      <c r="M3098" s="33"/>
      <c r="N3098" s="33"/>
      <c r="O3098" s="33"/>
      <c r="P3098" s="33"/>
      <c r="Q3098" s="33"/>
      <c r="R3098" s="33"/>
      <c r="S3098" s="33"/>
      <c r="T3098" s="33"/>
      <c r="U3098" s="33"/>
      <c r="V3098" s="33"/>
      <c r="W3098" s="33"/>
      <c r="X3098" s="33"/>
      <c r="Y3098" s="33"/>
      <c r="Z3098" s="33"/>
      <c r="AA3098" s="33"/>
      <c r="AB3098" s="33"/>
    </row>
    <row r="3099" spans="1:28" x14ac:dyDescent="0.15">
      <c r="A3099" s="46" t="s">
        <v>6249</v>
      </c>
      <c r="B3099" s="52" t="s">
        <v>7361</v>
      </c>
      <c r="C3099" s="53" t="s">
        <v>6250</v>
      </c>
      <c r="D3099" s="54" t="s">
        <v>10538</v>
      </c>
      <c r="E3099" s="50">
        <f t="shared" si="105"/>
        <v>42.397260269999997</v>
      </c>
      <c r="F3099" s="51">
        <f t="shared" si="105"/>
        <v>4.63932783</v>
      </c>
      <c r="H3099" s="33"/>
      <c r="I3099" s="33"/>
      <c r="J3099" s="33"/>
      <c r="K3099" s="33"/>
      <c r="L3099" s="33"/>
      <c r="M3099" s="33"/>
      <c r="N3099" s="33"/>
      <c r="O3099" s="33"/>
      <c r="P3099" s="33"/>
      <c r="Q3099" s="33"/>
      <c r="R3099" s="33"/>
      <c r="S3099" s="33"/>
      <c r="T3099" s="33"/>
      <c r="U3099" s="33"/>
      <c r="V3099" s="33"/>
      <c r="W3099" s="33"/>
      <c r="X3099" s="33"/>
      <c r="Y3099" s="33"/>
      <c r="Z3099" s="33"/>
      <c r="AA3099" s="33"/>
      <c r="AB3099" s="33"/>
    </row>
    <row r="3100" spans="1:28" x14ac:dyDescent="0.15">
      <c r="A3100" s="46" t="s">
        <v>6251</v>
      </c>
      <c r="B3100" s="52" t="s">
        <v>7361</v>
      </c>
      <c r="C3100" s="53" t="s">
        <v>6252</v>
      </c>
      <c r="D3100" s="54" t="s">
        <v>10539</v>
      </c>
      <c r="E3100" s="50">
        <f t="shared" si="105"/>
        <v>42.410958899999997</v>
      </c>
      <c r="F3100" s="51">
        <f t="shared" si="105"/>
        <v>4.6393324700000003</v>
      </c>
      <c r="H3100" s="33"/>
      <c r="I3100" s="33"/>
      <c r="J3100" s="33"/>
      <c r="K3100" s="33"/>
      <c r="L3100" s="33"/>
      <c r="M3100" s="33"/>
      <c r="N3100" s="33"/>
      <c r="O3100" s="33"/>
      <c r="P3100" s="33"/>
      <c r="Q3100" s="33"/>
      <c r="R3100" s="33"/>
      <c r="S3100" s="33"/>
      <c r="T3100" s="33"/>
      <c r="U3100" s="33"/>
      <c r="V3100" s="33"/>
      <c r="W3100" s="33"/>
      <c r="X3100" s="33"/>
      <c r="Y3100" s="33"/>
      <c r="Z3100" s="33"/>
      <c r="AA3100" s="33"/>
      <c r="AB3100" s="33"/>
    </row>
    <row r="3101" spans="1:28" x14ac:dyDescent="0.15">
      <c r="A3101" s="46" t="s">
        <v>6253</v>
      </c>
      <c r="B3101" s="52" t="s">
        <v>7361</v>
      </c>
      <c r="C3101" s="53" t="s">
        <v>6254</v>
      </c>
      <c r="D3101" s="54" t="s">
        <v>10540</v>
      </c>
      <c r="E3101" s="50">
        <f t="shared" si="105"/>
        <v>42.424657529999998</v>
      </c>
      <c r="F3101" s="51">
        <f t="shared" si="105"/>
        <v>4.6393368099999996</v>
      </c>
      <c r="H3101" s="33"/>
      <c r="I3101" s="33"/>
      <c r="J3101" s="33"/>
      <c r="K3101" s="33"/>
      <c r="L3101" s="33"/>
      <c r="M3101" s="33"/>
      <c r="N3101" s="33"/>
      <c r="O3101" s="33"/>
      <c r="P3101" s="33"/>
      <c r="Q3101" s="33"/>
      <c r="R3101" s="33"/>
      <c r="S3101" s="33"/>
      <c r="T3101" s="33"/>
      <c r="U3101" s="33"/>
      <c r="V3101" s="33"/>
      <c r="W3101" s="33"/>
      <c r="X3101" s="33"/>
      <c r="Y3101" s="33"/>
      <c r="Z3101" s="33"/>
      <c r="AA3101" s="33"/>
      <c r="AB3101" s="33"/>
    </row>
    <row r="3102" spans="1:28" x14ac:dyDescent="0.15">
      <c r="A3102" s="46" t="s">
        <v>6255</v>
      </c>
      <c r="B3102" s="52" t="s">
        <v>7361</v>
      </c>
      <c r="C3102" s="53" t="s">
        <v>6256</v>
      </c>
      <c r="D3102" s="54" t="s">
        <v>10541</v>
      </c>
      <c r="E3102" s="50">
        <f t="shared" si="105"/>
        <v>42.438356159999998</v>
      </c>
      <c r="F3102" s="51">
        <f t="shared" si="105"/>
        <v>4.63934084</v>
      </c>
      <c r="H3102" s="33"/>
      <c r="I3102" s="33"/>
      <c r="J3102" s="33"/>
      <c r="K3102" s="33"/>
      <c r="L3102" s="33"/>
      <c r="M3102" s="33"/>
      <c r="N3102" s="33"/>
      <c r="O3102" s="33"/>
      <c r="P3102" s="33"/>
      <c r="Q3102" s="33"/>
      <c r="R3102" s="33"/>
      <c r="S3102" s="33"/>
      <c r="T3102" s="33"/>
      <c r="U3102" s="33"/>
      <c r="V3102" s="33"/>
      <c r="W3102" s="33"/>
      <c r="X3102" s="33"/>
      <c r="Y3102" s="33"/>
      <c r="Z3102" s="33"/>
      <c r="AA3102" s="33"/>
      <c r="AB3102" s="33"/>
    </row>
    <row r="3103" spans="1:28" x14ac:dyDescent="0.15">
      <c r="A3103" s="46" t="s">
        <v>6257</v>
      </c>
      <c r="B3103" s="52" t="s">
        <v>7361</v>
      </c>
      <c r="C3103" s="53" t="s">
        <v>6258</v>
      </c>
      <c r="D3103" s="54" t="s">
        <v>10542</v>
      </c>
      <c r="E3103" s="50">
        <f t="shared" si="105"/>
        <v>42.452054789999998</v>
      </c>
      <c r="F3103" s="51">
        <f t="shared" si="105"/>
        <v>4.6393445800000004</v>
      </c>
      <c r="H3103" s="33"/>
      <c r="I3103" s="33"/>
      <c r="J3103" s="33"/>
      <c r="K3103" s="33"/>
      <c r="L3103" s="33"/>
      <c r="M3103" s="33"/>
      <c r="N3103" s="33"/>
      <c r="O3103" s="33"/>
      <c r="P3103" s="33"/>
      <c r="Q3103" s="33"/>
      <c r="R3103" s="33"/>
      <c r="S3103" s="33"/>
      <c r="T3103" s="33"/>
      <c r="U3103" s="33"/>
      <c r="V3103" s="33"/>
      <c r="W3103" s="33"/>
      <c r="X3103" s="33"/>
      <c r="Y3103" s="33"/>
      <c r="Z3103" s="33"/>
      <c r="AA3103" s="33"/>
      <c r="AB3103" s="33"/>
    </row>
    <row r="3104" spans="1:28" x14ac:dyDescent="0.15">
      <c r="A3104" s="46" t="s">
        <v>6259</v>
      </c>
      <c r="B3104" s="52" t="s">
        <v>7361</v>
      </c>
      <c r="C3104" s="53" t="s">
        <v>6260</v>
      </c>
      <c r="D3104" s="54" t="s">
        <v>10543</v>
      </c>
      <c r="E3104" s="50">
        <f t="shared" si="105"/>
        <v>42.465753419999999</v>
      </c>
      <c r="F3104" s="51">
        <f t="shared" si="105"/>
        <v>4.6393480499999997</v>
      </c>
      <c r="H3104" s="33"/>
      <c r="I3104" s="33"/>
      <c r="J3104" s="33"/>
      <c r="K3104" s="33"/>
      <c r="L3104" s="33"/>
      <c r="M3104" s="33"/>
      <c r="N3104" s="33"/>
      <c r="O3104" s="33"/>
      <c r="P3104" s="33"/>
      <c r="Q3104" s="33"/>
      <c r="R3104" s="33"/>
      <c r="S3104" s="33"/>
      <c r="T3104" s="33"/>
      <c r="U3104" s="33"/>
      <c r="V3104" s="33"/>
      <c r="W3104" s="33"/>
      <c r="X3104" s="33"/>
      <c r="Y3104" s="33"/>
      <c r="Z3104" s="33"/>
      <c r="AA3104" s="33"/>
      <c r="AB3104" s="33"/>
    </row>
    <row r="3105" spans="1:28" x14ac:dyDescent="0.15">
      <c r="A3105" s="46" t="s">
        <v>6261</v>
      </c>
      <c r="B3105" s="52" t="s">
        <v>7361</v>
      </c>
      <c r="C3105" s="53" t="s">
        <v>6262</v>
      </c>
      <c r="D3105" s="54" t="s">
        <v>10544</v>
      </c>
      <c r="E3105" s="50">
        <f t="shared" si="105"/>
        <v>42.479452049999999</v>
      </c>
      <c r="F3105" s="51">
        <f t="shared" si="105"/>
        <v>4.6393512599999998</v>
      </c>
      <c r="H3105" s="33"/>
      <c r="I3105" s="33"/>
      <c r="J3105" s="33"/>
      <c r="K3105" s="33"/>
      <c r="L3105" s="33"/>
      <c r="M3105" s="33"/>
      <c r="N3105" s="33"/>
      <c r="O3105" s="33"/>
      <c r="P3105" s="33"/>
      <c r="Q3105" s="33"/>
      <c r="R3105" s="33"/>
      <c r="S3105" s="33"/>
      <c r="T3105" s="33"/>
      <c r="U3105" s="33"/>
      <c r="V3105" s="33"/>
      <c r="W3105" s="33"/>
      <c r="X3105" s="33"/>
      <c r="Y3105" s="33"/>
      <c r="Z3105" s="33"/>
      <c r="AA3105" s="33"/>
      <c r="AB3105" s="33"/>
    </row>
    <row r="3106" spans="1:28" x14ac:dyDescent="0.15">
      <c r="A3106" s="46" t="s">
        <v>6263</v>
      </c>
      <c r="B3106" s="52" t="s">
        <v>7361</v>
      </c>
      <c r="C3106" s="53" t="s">
        <v>6264</v>
      </c>
      <c r="D3106" s="54" t="s">
        <v>10545</v>
      </c>
      <c r="E3106" s="50">
        <f t="shared" si="105"/>
        <v>42.493150679999999</v>
      </c>
      <c r="F3106" s="51">
        <f t="shared" si="105"/>
        <v>4.6393542099999996</v>
      </c>
      <c r="H3106" s="33"/>
      <c r="I3106" s="33"/>
      <c r="J3106" s="33"/>
      <c r="K3106" s="33"/>
      <c r="L3106" s="33"/>
      <c r="M3106" s="33"/>
      <c r="N3106" s="33"/>
      <c r="O3106" s="33"/>
      <c r="P3106" s="33"/>
      <c r="Q3106" s="33"/>
      <c r="R3106" s="33"/>
      <c r="S3106" s="33"/>
      <c r="T3106" s="33"/>
      <c r="U3106" s="33"/>
      <c r="V3106" s="33"/>
      <c r="W3106" s="33"/>
      <c r="X3106" s="33"/>
      <c r="Y3106" s="33"/>
      <c r="Z3106" s="33"/>
      <c r="AA3106" s="33"/>
      <c r="AB3106" s="33"/>
    </row>
    <row r="3107" spans="1:28" x14ac:dyDescent="0.15">
      <c r="A3107" s="46" t="s">
        <v>6265</v>
      </c>
      <c r="B3107" s="52" t="s">
        <v>7361</v>
      </c>
      <c r="C3107" s="53" t="s">
        <v>6266</v>
      </c>
      <c r="D3107" s="54" t="s">
        <v>10546</v>
      </c>
      <c r="E3107" s="50">
        <f t="shared" si="105"/>
        <v>42.506849320000001</v>
      </c>
      <c r="F3107" s="51">
        <f t="shared" si="105"/>
        <v>4.6393569399999999</v>
      </c>
      <c r="H3107" s="33"/>
      <c r="I3107" s="33"/>
      <c r="J3107" s="33"/>
      <c r="K3107" s="33"/>
      <c r="L3107" s="33"/>
      <c r="M3107" s="33"/>
      <c r="N3107" s="33"/>
      <c r="O3107" s="33"/>
      <c r="P3107" s="33"/>
      <c r="Q3107" s="33"/>
      <c r="R3107" s="33"/>
      <c r="S3107" s="33"/>
      <c r="T3107" s="33"/>
      <c r="U3107" s="33"/>
      <c r="V3107" s="33"/>
      <c r="W3107" s="33"/>
      <c r="X3107" s="33"/>
      <c r="Y3107" s="33"/>
      <c r="Z3107" s="33"/>
      <c r="AA3107" s="33"/>
      <c r="AB3107" s="33"/>
    </row>
    <row r="3108" spans="1:28" x14ac:dyDescent="0.15">
      <c r="A3108" s="46" t="s">
        <v>6267</v>
      </c>
      <c r="B3108" s="52" t="s">
        <v>7361</v>
      </c>
      <c r="C3108" s="53" t="s">
        <v>6268</v>
      </c>
      <c r="D3108" s="54" t="s">
        <v>10547</v>
      </c>
      <c r="E3108" s="50">
        <f t="shared" si="105"/>
        <v>42.520547950000001</v>
      </c>
      <c r="F3108" s="51">
        <f t="shared" si="105"/>
        <v>4.6393595100000002</v>
      </c>
      <c r="H3108" s="33"/>
      <c r="I3108" s="33"/>
      <c r="J3108" s="33"/>
      <c r="K3108" s="33"/>
      <c r="L3108" s="33"/>
      <c r="M3108" s="33"/>
      <c r="N3108" s="33"/>
      <c r="O3108" s="33"/>
      <c r="P3108" s="33"/>
      <c r="Q3108" s="33"/>
      <c r="R3108" s="33"/>
      <c r="S3108" s="33"/>
      <c r="T3108" s="33"/>
      <c r="U3108" s="33"/>
      <c r="V3108" s="33"/>
      <c r="W3108" s="33"/>
      <c r="X3108" s="33"/>
      <c r="Y3108" s="33"/>
      <c r="Z3108" s="33"/>
      <c r="AA3108" s="33"/>
      <c r="AB3108" s="33"/>
    </row>
    <row r="3109" spans="1:28" x14ac:dyDescent="0.15">
      <c r="A3109" s="46" t="s">
        <v>6269</v>
      </c>
      <c r="B3109" s="52" t="s">
        <v>7361</v>
      </c>
      <c r="C3109" s="53" t="s">
        <v>6270</v>
      </c>
      <c r="D3109" s="54" t="s">
        <v>10548</v>
      </c>
      <c r="E3109" s="50">
        <f t="shared" si="105"/>
        <v>42.534246580000001</v>
      </c>
      <c r="F3109" s="51">
        <f t="shared" si="105"/>
        <v>4.6393619399999997</v>
      </c>
      <c r="H3109" s="33"/>
      <c r="I3109" s="33"/>
      <c r="J3109" s="33"/>
      <c r="K3109" s="33"/>
      <c r="L3109" s="33"/>
      <c r="M3109" s="33"/>
      <c r="N3109" s="33"/>
      <c r="O3109" s="33"/>
      <c r="P3109" s="33"/>
      <c r="Q3109" s="33"/>
      <c r="R3109" s="33"/>
      <c r="S3109" s="33"/>
      <c r="T3109" s="33"/>
      <c r="U3109" s="33"/>
      <c r="V3109" s="33"/>
      <c r="W3109" s="33"/>
      <c r="X3109" s="33"/>
      <c r="Y3109" s="33"/>
      <c r="Z3109" s="33"/>
      <c r="AA3109" s="33"/>
      <c r="AB3109" s="33"/>
    </row>
    <row r="3110" spans="1:28" x14ac:dyDescent="0.15">
      <c r="A3110" s="46" t="s">
        <v>6271</v>
      </c>
      <c r="B3110" s="52" t="s">
        <v>7361</v>
      </c>
      <c r="C3110" s="53" t="s">
        <v>6272</v>
      </c>
      <c r="D3110" s="54" t="s">
        <v>10549</v>
      </c>
      <c r="E3110" s="50">
        <f t="shared" si="105"/>
        <v>42.547945210000002</v>
      </c>
      <c r="F3110" s="51">
        <f t="shared" si="105"/>
        <v>4.63936423</v>
      </c>
      <c r="H3110" s="33"/>
      <c r="I3110" s="33"/>
      <c r="J3110" s="33"/>
      <c r="K3110" s="33"/>
      <c r="L3110" s="33"/>
      <c r="M3110" s="33"/>
      <c r="N3110" s="33"/>
      <c r="O3110" s="33"/>
      <c r="P3110" s="33"/>
      <c r="Q3110" s="33"/>
      <c r="R3110" s="33"/>
      <c r="S3110" s="33"/>
      <c r="T3110" s="33"/>
      <c r="U3110" s="33"/>
      <c r="V3110" s="33"/>
      <c r="W3110" s="33"/>
      <c r="X3110" s="33"/>
      <c r="Y3110" s="33"/>
      <c r="Z3110" s="33"/>
      <c r="AA3110" s="33"/>
      <c r="AB3110" s="33"/>
    </row>
    <row r="3111" spans="1:28" x14ac:dyDescent="0.15">
      <c r="A3111" s="46" t="s">
        <v>6273</v>
      </c>
      <c r="B3111" s="52" t="s">
        <v>7361</v>
      </c>
      <c r="C3111" s="53" t="s">
        <v>6274</v>
      </c>
      <c r="D3111" s="54" t="s">
        <v>10550</v>
      </c>
      <c r="E3111" s="50">
        <f t="shared" si="105"/>
        <v>42.561643840000002</v>
      </c>
      <c r="F3111" s="51">
        <f t="shared" si="105"/>
        <v>4.6393663900000002</v>
      </c>
      <c r="H3111" s="33"/>
      <c r="I3111" s="33"/>
      <c r="J3111" s="33"/>
      <c r="K3111" s="33"/>
      <c r="L3111" s="33"/>
      <c r="M3111" s="33"/>
      <c r="N3111" s="33"/>
      <c r="O3111" s="33"/>
      <c r="P3111" s="33"/>
      <c r="Q3111" s="33"/>
      <c r="R3111" s="33"/>
      <c r="S3111" s="33"/>
      <c r="T3111" s="33"/>
      <c r="U3111" s="33"/>
      <c r="V3111" s="33"/>
      <c r="W3111" s="33"/>
      <c r="X3111" s="33"/>
      <c r="Y3111" s="33"/>
      <c r="Z3111" s="33"/>
      <c r="AA3111" s="33"/>
      <c r="AB3111" s="33"/>
    </row>
    <row r="3112" spans="1:28" x14ac:dyDescent="0.15">
      <c r="A3112" s="46" t="s">
        <v>6275</v>
      </c>
      <c r="B3112" s="52" t="s">
        <v>7361</v>
      </c>
      <c r="C3112" s="53" t="s">
        <v>6276</v>
      </c>
      <c r="D3112" s="54" t="s">
        <v>10551</v>
      </c>
      <c r="E3112" s="50">
        <f t="shared" ref="E3112:F3141" si="106">VALUE(C3112)</f>
        <v>42.575342470000002</v>
      </c>
      <c r="F3112" s="51">
        <f t="shared" si="106"/>
        <v>4.6393684100000003</v>
      </c>
      <c r="H3112" s="33"/>
      <c r="I3112" s="33"/>
      <c r="J3112" s="33"/>
      <c r="K3112" s="33"/>
      <c r="L3112" s="33"/>
      <c r="M3112" s="33"/>
      <c r="N3112" s="33"/>
      <c r="O3112" s="33"/>
      <c r="P3112" s="33"/>
      <c r="Q3112" s="33"/>
      <c r="R3112" s="33"/>
      <c r="S3112" s="33"/>
      <c r="T3112" s="33"/>
      <c r="U3112" s="33"/>
      <c r="V3112" s="33"/>
      <c r="W3112" s="33"/>
      <c r="X3112" s="33"/>
      <c r="Y3112" s="33"/>
      <c r="Z3112" s="33"/>
      <c r="AA3112" s="33"/>
      <c r="AB3112" s="33"/>
    </row>
    <row r="3113" spans="1:28" x14ac:dyDescent="0.15">
      <c r="A3113" s="46" t="s">
        <v>6277</v>
      </c>
      <c r="B3113" s="52" t="s">
        <v>7361</v>
      </c>
      <c r="C3113" s="53" t="s">
        <v>6278</v>
      </c>
      <c r="D3113" s="54" t="s">
        <v>10552</v>
      </c>
      <c r="E3113" s="50">
        <f t="shared" si="106"/>
        <v>42.589041100000003</v>
      </c>
      <c r="F3113" s="51">
        <f t="shared" si="106"/>
        <v>4.6393703100000003</v>
      </c>
      <c r="H3113" s="33"/>
      <c r="I3113" s="33"/>
      <c r="J3113" s="33"/>
      <c r="K3113" s="33"/>
      <c r="L3113" s="33"/>
      <c r="M3113" s="33"/>
      <c r="N3113" s="33"/>
      <c r="O3113" s="33"/>
      <c r="P3113" s="33"/>
      <c r="Q3113" s="33"/>
      <c r="R3113" s="33"/>
      <c r="S3113" s="33"/>
      <c r="T3113" s="33"/>
      <c r="U3113" s="33"/>
      <c r="V3113" s="33"/>
      <c r="W3113" s="33"/>
      <c r="X3113" s="33"/>
      <c r="Y3113" s="33"/>
      <c r="Z3113" s="33"/>
      <c r="AA3113" s="33"/>
      <c r="AB3113" s="33"/>
    </row>
    <row r="3114" spans="1:28" x14ac:dyDescent="0.15">
      <c r="A3114" s="46" t="s">
        <v>6279</v>
      </c>
      <c r="B3114" s="52" t="s">
        <v>7361</v>
      </c>
      <c r="C3114" s="53" t="s">
        <v>6280</v>
      </c>
      <c r="D3114" s="54" t="s">
        <v>10553</v>
      </c>
      <c r="E3114" s="50">
        <f t="shared" si="106"/>
        <v>42.602739730000003</v>
      </c>
      <c r="F3114" s="51">
        <f t="shared" si="106"/>
        <v>4.6393720900000002</v>
      </c>
      <c r="H3114" s="33"/>
      <c r="I3114" s="33"/>
      <c r="J3114" s="33"/>
      <c r="K3114" s="33"/>
      <c r="L3114" s="33"/>
      <c r="M3114" s="33"/>
      <c r="N3114" s="33"/>
      <c r="O3114" s="33"/>
      <c r="P3114" s="33"/>
      <c r="Q3114" s="33"/>
      <c r="R3114" s="33"/>
      <c r="S3114" s="33"/>
      <c r="T3114" s="33"/>
      <c r="U3114" s="33"/>
      <c r="V3114" s="33"/>
      <c r="W3114" s="33"/>
      <c r="X3114" s="33"/>
      <c r="Y3114" s="33"/>
      <c r="Z3114" s="33"/>
      <c r="AA3114" s="33"/>
      <c r="AB3114" s="33"/>
    </row>
    <row r="3115" spans="1:28" x14ac:dyDescent="0.15">
      <c r="A3115" s="46" t="s">
        <v>6281</v>
      </c>
      <c r="B3115" s="52" t="s">
        <v>7361</v>
      </c>
      <c r="C3115" s="53" t="s">
        <v>6282</v>
      </c>
      <c r="D3115" s="54" t="s">
        <v>10554</v>
      </c>
      <c r="E3115" s="50">
        <f t="shared" si="106"/>
        <v>42.616438359999997</v>
      </c>
      <c r="F3115" s="51">
        <f t="shared" si="106"/>
        <v>4.6393737499999999</v>
      </c>
      <c r="H3115" s="33"/>
      <c r="I3115" s="33"/>
      <c r="J3115" s="33"/>
      <c r="K3115" s="33"/>
      <c r="L3115" s="33"/>
      <c r="M3115" s="33"/>
      <c r="N3115" s="33"/>
      <c r="O3115" s="33"/>
      <c r="P3115" s="33"/>
      <c r="Q3115" s="33"/>
      <c r="R3115" s="33"/>
      <c r="S3115" s="33"/>
      <c r="T3115" s="33"/>
      <c r="U3115" s="33"/>
      <c r="V3115" s="33"/>
      <c r="W3115" s="33"/>
      <c r="X3115" s="33"/>
      <c r="Y3115" s="33"/>
      <c r="Z3115" s="33"/>
      <c r="AA3115" s="33"/>
      <c r="AB3115" s="33"/>
    </row>
    <row r="3116" spans="1:28" x14ac:dyDescent="0.15">
      <c r="A3116" s="46" t="s">
        <v>6283</v>
      </c>
      <c r="B3116" s="52" t="s">
        <v>7361</v>
      </c>
      <c r="C3116" s="53" t="s">
        <v>6284</v>
      </c>
      <c r="D3116" s="54" t="s">
        <v>10555</v>
      </c>
      <c r="E3116" s="50">
        <f t="shared" si="106"/>
        <v>42.630136989999997</v>
      </c>
      <c r="F3116" s="51">
        <f t="shared" si="106"/>
        <v>4.6393753000000002</v>
      </c>
      <c r="H3116" s="33"/>
      <c r="I3116" s="33"/>
      <c r="J3116" s="33"/>
      <c r="K3116" s="33"/>
      <c r="L3116" s="33"/>
      <c r="M3116" s="33"/>
      <c r="N3116" s="33"/>
      <c r="O3116" s="33"/>
      <c r="P3116" s="33"/>
      <c r="Q3116" s="33"/>
      <c r="R3116" s="33"/>
      <c r="S3116" s="33"/>
      <c r="T3116" s="33"/>
      <c r="U3116" s="33"/>
      <c r="V3116" s="33"/>
      <c r="W3116" s="33"/>
      <c r="X3116" s="33"/>
      <c r="Y3116" s="33"/>
      <c r="Z3116" s="33"/>
      <c r="AA3116" s="33"/>
      <c r="AB3116" s="33"/>
    </row>
    <row r="3117" spans="1:28" x14ac:dyDescent="0.15">
      <c r="A3117" s="46" t="s">
        <v>6285</v>
      </c>
      <c r="B3117" s="52" t="s">
        <v>7361</v>
      </c>
      <c r="C3117" s="53" t="s">
        <v>6286</v>
      </c>
      <c r="D3117" s="54" t="s">
        <v>10556</v>
      </c>
      <c r="E3117" s="50">
        <f t="shared" si="106"/>
        <v>42.643835619999997</v>
      </c>
      <c r="F3117" s="51">
        <f t="shared" si="106"/>
        <v>4.6393767400000003</v>
      </c>
      <c r="H3117" s="33"/>
      <c r="I3117" s="33"/>
      <c r="J3117" s="33"/>
      <c r="K3117" s="33"/>
      <c r="L3117" s="33"/>
      <c r="M3117" s="33"/>
      <c r="N3117" s="33"/>
      <c r="O3117" s="33"/>
      <c r="P3117" s="33"/>
      <c r="Q3117" s="33"/>
      <c r="R3117" s="33"/>
      <c r="S3117" s="33"/>
      <c r="T3117" s="33"/>
      <c r="U3117" s="33"/>
      <c r="V3117" s="33"/>
      <c r="W3117" s="33"/>
      <c r="X3117" s="33"/>
      <c r="Y3117" s="33"/>
      <c r="Z3117" s="33"/>
      <c r="AA3117" s="33"/>
      <c r="AB3117" s="33"/>
    </row>
    <row r="3118" spans="1:28" x14ac:dyDescent="0.15">
      <c r="A3118" s="46" t="s">
        <v>6287</v>
      </c>
      <c r="B3118" s="52" t="s">
        <v>7361</v>
      </c>
      <c r="C3118" s="53" t="s">
        <v>6288</v>
      </c>
      <c r="D3118" s="54" t="s">
        <v>10557</v>
      </c>
      <c r="E3118" s="50">
        <f t="shared" si="106"/>
        <v>42.657534249999998</v>
      </c>
      <c r="F3118" s="51">
        <f t="shared" si="106"/>
        <v>4.6393780700000002</v>
      </c>
      <c r="H3118" s="33"/>
      <c r="I3118" s="33"/>
      <c r="J3118" s="33"/>
      <c r="K3118" s="33"/>
      <c r="L3118" s="33"/>
      <c r="M3118" s="33"/>
      <c r="N3118" s="33"/>
      <c r="O3118" s="33"/>
      <c r="P3118" s="33"/>
      <c r="Q3118" s="33"/>
      <c r="R3118" s="33"/>
      <c r="S3118" s="33"/>
      <c r="T3118" s="33"/>
      <c r="U3118" s="33"/>
      <c r="V3118" s="33"/>
      <c r="W3118" s="33"/>
      <c r="X3118" s="33"/>
      <c r="Y3118" s="33"/>
      <c r="Z3118" s="33"/>
      <c r="AA3118" s="33"/>
      <c r="AB3118" s="33"/>
    </row>
    <row r="3119" spans="1:28" x14ac:dyDescent="0.15">
      <c r="A3119" s="46" t="s">
        <v>6289</v>
      </c>
      <c r="B3119" s="52" t="s">
        <v>7361</v>
      </c>
      <c r="C3119" s="53" t="s">
        <v>6290</v>
      </c>
      <c r="D3119" s="54" t="s">
        <v>10558</v>
      </c>
      <c r="E3119" s="50">
        <f t="shared" si="106"/>
        <v>42.671232879999998</v>
      </c>
      <c r="F3119" s="51">
        <f t="shared" si="106"/>
        <v>4.6393792999999999</v>
      </c>
      <c r="H3119" s="33"/>
      <c r="I3119" s="33"/>
      <c r="J3119" s="33"/>
      <c r="K3119" s="33"/>
      <c r="L3119" s="33"/>
      <c r="M3119" s="33"/>
      <c r="N3119" s="33"/>
      <c r="O3119" s="33"/>
      <c r="P3119" s="33"/>
      <c r="Q3119" s="33"/>
      <c r="R3119" s="33"/>
      <c r="S3119" s="33"/>
      <c r="T3119" s="33"/>
      <c r="U3119" s="33"/>
      <c r="V3119" s="33"/>
      <c r="W3119" s="33"/>
      <c r="X3119" s="33"/>
      <c r="Y3119" s="33"/>
      <c r="Z3119" s="33"/>
      <c r="AA3119" s="33"/>
      <c r="AB3119" s="33"/>
    </row>
    <row r="3120" spans="1:28" x14ac:dyDescent="0.15">
      <c r="A3120" s="46" t="s">
        <v>6291</v>
      </c>
      <c r="B3120" s="52" t="s">
        <v>7361</v>
      </c>
      <c r="C3120" s="53" t="s">
        <v>6292</v>
      </c>
      <c r="D3120" s="54" t="s">
        <v>10559</v>
      </c>
      <c r="E3120" s="50">
        <f t="shared" si="106"/>
        <v>42.684931509999998</v>
      </c>
      <c r="F3120" s="51">
        <f t="shared" si="106"/>
        <v>4.6393804300000001</v>
      </c>
      <c r="H3120" s="33"/>
      <c r="I3120" s="33"/>
      <c r="J3120" s="33"/>
      <c r="K3120" s="33"/>
      <c r="L3120" s="33"/>
      <c r="M3120" s="33"/>
      <c r="N3120" s="33"/>
      <c r="O3120" s="33"/>
      <c r="P3120" s="33"/>
      <c r="Q3120" s="33"/>
      <c r="R3120" s="33"/>
      <c r="S3120" s="33"/>
      <c r="T3120" s="33"/>
      <c r="U3120" s="33"/>
      <c r="V3120" s="33"/>
      <c r="W3120" s="33"/>
      <c r="X3120" s="33"/>
      <c r="Y3120" s="33"/>
      <c r="Z3120" s="33"/>
      <c r="AA3120" s="33"/>
      <c r="AB3120" s="33"/>
    </row>
    <row r="3121" spans="1:28" x14ac:dyDescent="0.15">
      <c r="A3121" s="46" t="s">
        <v>6293</v>
      </c>
      <c r="B3121" s="52" t="s">
        <v>7361</v>
      </c>
      <c r="C3121" s="53" t="s">
        <v>6294</v>
      </c>
      <c r="D3121" s="54" t="s">
        <v>10560</v>
      </c>
      <c r="E3121" s="50">
        <f t="shared" si="106"/>
        <v>42.698630139999999</v>
      </c>
      <c r="F3121" s="51">
        <f t="shared" si="106"/>
        <v>4.63938147</v>
      </c>
      <c r="H3121" s="33"/>
      <c r="I3121" s="33"/>
      <c r="J3121" s="33"/>
      <c r="K3121" s="33"/>
      <c r="L3121" s="33"/>
      <c r="M3121" s="33"/>
      <c r="N3121" s="33"/>
      <c r="O3121" s="33"/>
      <c r="P3121" s="33"/>
      <c r="Q3121" s="33"/>
      <c r="R3121" s="33"/>
      <c r="S3121" s="33"/>
      <c r="T3121" s="33"/>
      <c r="U3121" s="33"/>
      <c r="V3121" s="33"/>
      <c r="W3121" s="33"/>
      <c r="X3121" s="33"/>
      <c r="Y3121" s="33"/>
      <c r="Z3121" s="33"/>
      <c r="AA3121" s="33"/>
      <c r="AB3121" s="33"/>
    </row>
    <row r="3122" spans="1:28" x14ac:dyDescent="0.15">
      <c r="A3122" s="46" t="s">
        <v>6295</v>
      </c>
      <c r="B3122" s="52" t="s">
        <v>7361</v>
      </c>
      <c r="C3122" s="53" t="s">
        <v>6296</v>
      </c>
      <c r="D3122" s="54" t="s">
        <v>10561</v>
      </c>
      <c r="E3122" s="50">
        <f t="shared" si="106"/>
        <v>42.712328769999999</v>
      </c>
      <c r="F3122" s="51">
        <f t="shared" si="106"/>
        <v>4.6393824199999996</v>
      </c>
      <c r="H3122" s="33"/>
      <c r="I3122" s="33"/>
      <c r="J3122" s="33"/>
      <c r="K3122" s="33"/>
      <c r="L3122" s="33"/>
      <c r="M3122" s="33"/>
      <c r="N3122" s="33"/>
      <c r="O3122" s="33"/>
      <c r="P3122" s="33"/>
      <c r="Q3122" s="33"/>
      <c r="R3122" s="33"/>
      <c r="S3122" s="33"/>
      <c r="T3122" s="33"/>
      <c r="U3122" s="33"/>
      <c r="V3122" s="33"/>
      <c r="W3122" s="33"/>
      <c r="X3122" s="33"/>
      <c r="Y3122" s="33"/>
      <c r="Z3122" s="33"/>
      <c r="AA3122" s="33"/>
      <c r="AB3122" s="33"/>
    </row>
    <row r="3123" spans="1:28" x14ac:dyDescent="0.15">
      <c r="A3123" s="46" t="s">
        <v>6297</v>
      </c>
      <c r="B3123" s="52" t="s">
        <v>7361</v>
      </c>
      <c r="C3123" s="53" t="s">
        <v>6298</v>
      </c>
      <c r="D3123" s="54" t="s">
        <v>10562</v>
      </c>
      <c r="E3123" s="50">
        <f t="shared" si="106"/>
        <v>42.7260274</v>
      </c>
      <c r="F3123" s="51">
        <f t="shared" si="106"/>
        <v>4.6393832799999997</v>
      </c>
      <c r="H3123" s="33"/>
      <c r="I3123" s="33"/>
      <c r="J3123" s="33"/>
      <c r="K3123" s="33"/>
      <c r="L3123" s="33"/>
      <c r="M3123" s="33"/>
      <c r="N3123" s="33"/>
      <c r="O3123" s="33"/>
      <c r="P3123" s="33"/>
      <c r="Q3123" s="33"/>
      <c r="R3123" s="33"/>
      <c r="S3123" s="33"/>
      <c r="T3123" s="33"/>
      <c r="U3123" s="33"/>
      <c r="V3123" s="33"/>
      <c r="W3123" s="33"/>
      <c r="X3123" s="33"/>
      <c r="Y3123" s="33"/>
      <c r="Z3123" s="33"/>
      <c r="AA3123" s="33"/>
      <c r="AB3123" s="33"/>
    </row>
    <row r="3124" spans="1:28" x14ac:dyDescent="0.15">
      <c r="A3124" s="46" t="s">
        <v>6299</v>
      </c>
      <c r="B3124" s="52" t="s">
        <v>7361</v>
      </c>
      <c r="C3124" s="53" t="s">
        <v>6300</v>
      </c>
      <c r="D3124" s="54" t="s">
        <v>10563</v>
      </c>
      <c r="E3124" s="50">
        <f t="shared" si="106"/>
        <v>42.73972603</v>
      </c>
      <c r="F3124" s="51">
        <f t="shared" si="106"/>
        <v>4.6393840600000003</v>
      </c>
      <c r="H3124" s="33"/>
      <c r="I3124" s="33"/>
      <c r="J3124" s="33"/>
      <c r="K3124" s="33"/>
      <c r="L3124" s="33"/>
      <c r="M3124" s="33"/>
      <c r="N3124" s="33"/>
      <c r="O3124" s="33"/>
      <c r="P3124" s="33"/>
      <c r="Q3124" s="33"/>
      <c r="R3124" s="33"/>
      <c r="S3124" s="33"/>
      <c r="T3124" s="33"/>
      <c r="U3124" s="33"/>
      <c r="V3124" s="33"/>
      <c r="W3124" s="33"/>
      <c r="X3124" s="33"/>
      <c r="Y3124" s="33"/>
      <c r="Z3124" s="33"/>
      <c r="AA3124" s="33"/>
      <c r="AB3124" s="33"/>
    </row>
    <row r="3125" spans="1:28" x14ac:dyDescent="0.15">
      <c r="A3125" s="46" t="s">
        <v>6301</v>
      </c>
      <c r="B3125" s="52" t="s">
        <v>7361</v>
      </c>
      <c r="C3125" s="53" t="s">
        <v>6302</v>
      </c>
      <c r="D3125" s="54" t="s">
        <v>10564</v>
      </c>
      <c r="E3125" s="50">
        <f t="shared" si="106"/>
        <v>42.75342466</v>
      </c>
      <c r="F3125" s="51">
        <f t="shared" si="106"/>
        <v>4.6393847600000004</v>
      </c>
      <c r="H3125" s="33"/>
      <c r="I3125" s="33"/>
      <c r="J3125" s="33"/>
      <c r="K3125" s="33"/>
      <c r="L3125" s="33"/>
      <c r="M3125" s="33"/>
      <c r="N3125" s="33"/>
      <c r="O3125" s="33"/>
      <c r="P3125" s="33"/>
      <c r="Q3125" s="33"/>
      <c r="R3125" s="33"/>
      <c r="S3125" s="33"/>
      <c r="T3125" s="33"/>
      <c r="U3125" s="33"/>
      <c r="V3125" s="33"/>
      <c r="W3125" s="33"/>
      <c r="X3125" s="33"/>
      <c r="Y3125" s="33"/>
      <c r="Z3125" s="33"/>
      <c r="AA3125" s="33"/>
      <c r="AB3125" s="33"/>
    </row>
    <row r="3126" spans="1:28" x14ac:dyDescent="0.15">
      <c r="A3126" s="46" t="s">
        <v>6303</v>
      </c>
      <c r="B3126" s="52" t="s">
        <v>7361</v>
      </c>
      <c r="C3126" s="53" t="s">
        <v>6304</v>
      </c>
      <c r="D3126" s="54" t="s">
        <v>10565</v>
      </c>
      <c r="E3126" s="50">
        <f t="shared" si="106"/>
        <v>42.767123290000001</v>
      </c>
      <c r="F3126" s="51">
        <f t="shared" si="106"/>
        <v>4.6393854000000001</v>
      </c>
      <c r="H3126" s="33"/>
      <c r="I3126" s="33"/>
      <c r="J3126" s="33"/>
      <c r="K3126" s="33"/>
      <c r="L3126" s="33"/>
      <c r="M3126" s="33"/>
      <c r="N3126" s="33"/>
      <c r="O3126" s="33"/>
      <c r="P3126" s="33"/>
      <c r="Q3126" s="33"/>
      <c r="R3126" s="33"/>
      <c r="S3126" s="33"/>
      <c r="T3126" s="33"/>
      <c r="U3126" s="33"/>
      <c r="V3126" s="33"/>
      <c r="W3126" s="33"/>
      <c r="X3126" s="33"/>
      <c r="Y3126" s="33"/>
      <c r="Z3126" s="33"/>
      <c r="AA3126" s="33"/>
      <c r="AB3126" s="33"/>
    </row>
    <row r="3127" spans="1:28" x14ac:dyDescent="0.15">
      <c r="A3127" s="46" t="s">
        <v>6305</v>
      </c>
      <c r="B3127" s="52" t="s">
        <v>7361</v>
      </c>
      <c r="C3127" s="53" t="s">
        <v>6306</v>
      </c>
      <c r="D3127" s="54" t="s">
        <v>10566</v>
      </c>
      <c r="E3127" s="50">
        <f t="shared" si="106"/>
        <v>42.780821920000001</v>
      </c>
      <c r="F3127" s="51">
        <f t="shared" si="106"/>
        <v>4.6393859600000003</v>
      </c>
      <c r="H3127" s="33"/>
      <c r="I3127" s="33"/>
      <c r="J3127" s="33"/>
      <c r="K3127" s="33"/>
      <c r="L3127" s="33"/>
      <c r="M3127" s="33"/>
      <c r="N3127" s="33"/>
      <c r="O3127" s="33"/>
      <c r="P3127" s="33"/>
      <c r="Q3127" s="33"/>
      <c r="R3127" s="33"/>
      <c r="S3127" s="33"/>
      <c r="T3127" s="33"/>
      <c r="U3127" s="33"/>
      <c r="V3127" s="33"/>
      <c r="W3127" s="33"/>
      <c r="X3127" s="33"/>
      <c r="Y3127" s="33"/>
      <c r="Z3127" s="33"/>
      <c r="AA3127" s="33"/>
      <c r="AB3127" s="33"/>
    </row>
    <row r="3128" spans="1:28" x14ac:dyDescent="0.15">
      <c r="A3128" s="46" t="s">
        <v>6307</v>
      </c>
      <c r="B3128" s="52" t="s">
        <v>7361</v>
      </c>
      <c r="C3128" s="53" t="s">
        <v>6308</v>
      </c>
      <c r="D3128" s="54" t="s">
        <v>10567</v>
      </c>
      <c r="E3128" s="50">
        <f t="shared" si="106"/>
        <v>42.794520550000001</v>
      </c>
      <c r="F3128" s="51">
        <f t="shared" si="106"/>
        <v>4.6393864499999999</v>
      </c>
      <c r="H3128" s="33"/>
      <c r="I3128" s="33"/>
      <c r="J3128" s="33"/>
      <c r="K3128" s="33"/>
      <c r="L3128" s="33"/>
      <c r="M3128" s="33"/>
      <c r="N3128" s="33"/>
      <c r="O3128" s="33"/>
      <c r="P3128" s="33"/>
      <c r="Q3128" s="33"/>
      <c r="R3128" s="33"/>
      <c r="S3128" s="33"/>
      <c r="T3128" s="33"/>
      <c r="U3128" s="33"/>
      <c r="V3128" s="33"/>
      <c r="W3128" s="33"/>
      <c r="X3128" s="33"/>
      <c r="Y3128" s="33"/>
      <c r="Z3128" s="33"/>
      <c r="AA3128" s="33"/>
      <c r="AB3128" s="33"/>
    </row>
    <row r="3129" spans="1:28" x14ac:dyDescent="0.15">
      <c r="A3129" s="46" t="s">
        <v>6309</v>
      </c>
      <c r="B3129" s="52" t="s">
        <v>7361</v>
      </c>
      <c r="C3129" s="53" t="s">
        <v>6310</v>
      </c>
      <c r="D3129" s="54" t="s">
        <v>10568</v>
      </c>
      <c r="E3129" s="50">
        <f t="shared" si="106"/>
        <v>42.808219180000002</v>
      </c>
      <c r="F3129" s="51">
        <f t="shared" si="106"/>
        <v>4.6393868899999999</v>
      </c>
      <c r="H3129" s="33"/>
      <c r="I3129" s="33"/>
      <c r="J3129" s="33"/>
      <c r="K3129" s="33"/>
      <c r="L3129" s="33"/>
      <c r="M3129" s="33"/>
      <c r="N3129" s="33"/>
      <c r="O3129" s="33"/>
      <c r="P3129" s="33"/>
      <c r="Q3129" s="33"/>
      <c r="R3129" s="33"/>
      <c r="S3129" s="33"/>
      <c r="T3129" s="33"/>
      <c r="U3129" s="33"/>
      <c r="V3129" s="33"/>
      <c r="W3129" s="33"/>
      <c r="X3129" s="33"/>
      <c r="Y3129" s="33"/>
      <c r="Z3129" s="33"/>
      <c r="AA3129" s="33"/>
      <c r="AB3129" s="33"/>
    </row>
    <row r="3130" spans="1:28" x14ac:dyDescent="0.15">
      <c r="A3130" s="46" t="s">
        <v>6311</v>
      </c>
      <c r="B3130" s="52" t="s">
        <v>7361</v>
      </c>
      <c r="C3130" s="53" t="s">
        <v>6312</v>
      </c>
      <c r="D3130" s="54" t="s">
        <v>10569</v>
      </c>
      <c r="E3130" s="50">
        <f t="shared" si="106"/>
        <v>42.821917810000002</v>
      </c>
      <c r="F3130" s="51">
        <f t="shared" si="106"/>
        <v>4.6393872600000003</v>
      </c>
      <c r="H3130" s="33"/>
      <c r="I3130" s="33"/>
      <c r="J3130" s="33"/>
      <c r="K3130" s="33"/>
      <c r="L3130" s="33"/>
      <c r="M3130" s="33"/>
      <c r="N3130" s="33"/>
      <c r="O3130" s="33"/>
      <c r="P3130" s="33"/>
      <c r="Q3130" s="33"/>
      <c r="R3130" s="33"/>
      <c r="S3130" s="33"/>
      <c r="T3130" s="33"/>
      <c r="U3130" s="33"/>
      <c r="V3130" s="33"/>
      <c r="W3130" s="33"/>
      <c r="X3130" s="33"/>
      <c r="Y3130" s="33"/>
      <c r="Z3130" s="33"/>
      <c r="AA3130" s="33"/>
      <c r="AB3130" s="33"/>
    </row>
    <row r="3131" spans="1:28" x14ac:dyDescent="0.15">
      <c r="A3131" s="46" t="s">
        <v>6313</v>
      </c>
      <c r="B3131" s="52" t="s">
        <v>7361</v>
      </c>
      <c r="C3131" s="53" t="s">
        <v>6314</v>
      </c>
      <c r="D3131" s="54" t="s">
        <v>10570</v>
      </c>
      <c r="E3131" s="50">
        <f t="shared" si="106"/>
        <v>42.835616440000003</v>
      </c>
      <c r="F3131" s="51">
        <f t="shared" si="106"/>
        <v>4.6393875900000001</v>
      </c>
      <c r="H3131" s="33"/>
      <c r="I3131" s="33"/>
      <c r="J3131" s="33"/>
      <c r="K3131" s="33"/>
      <c r="L3131" s="33"/>
      <c r="M3131" s="33"/>
      <c r="N3131" s="33"/>
      <c r="O3131" s="33"/>
      <c r="P3131" s="33"/>
      <c r="Q3131" s="33"/>
      <c r="R3131" s="33"/>
      <c r="S3131" s="33"/>
      <c r="T3131" s="33"/>
      <c r="U3131" s="33"/>
      <c r="V3131" s="33"/>
      <c r="W3131" s="33"/>
      <c r="X3131" s="33"/>
      <c r="Y3131" s="33"/>
      <c r="Z3131" s="33"/>
      <c r="AA3131" s="33"/>
      <c r="AB3131" s="33"/>
    </row>
    <row r="3132" spans="1:28" x14ac:dyDescent="0.15">
      <c r="A3132" s="46" t="s">
        <v>6315</v>
      </c>
      <c r="B3132" s="52" t="s">
        <v>7361</v>
      </c>
      <c r="C3132" s="53" t="s">
        <v>6316</v>
      </c>
      <c r="D3132" s="54" t="s">
        <v>10571</v>
      </c>
      <c r="E3132" s="50">
        <f t="shared" si="106"/>
        <v>42.849315070000003</v>
      </c>
      <c r="F3132" s="51">
        <f t="shared" si="106"/>
        <v>4.6393878600000003</v>
      </c>
      <c r="H3132" s="33"/>
      <c r="I3132" s="33"/>
      <c r="J3132" s="33"/>
      <c r="K3132" s="33"/>
      <c r="L3132" s="33"/>
      <c r="M3132" s="33"/>
      <c r="N3132" s="33"/>
      <c r="O3132" s="33"/>
      <c r="P3132" s="33"/>
      <c r="Q3132" s="33"/>
      <c r="R3132" s="33"/>
      <c r="S3132" s="33"/>
      <c r="T3132" s="33"/>
      <c r="U3132" s="33"/>
      <c r="V3132" s="33"/>
      <c r="W3132" s="33"/>
      <c r="X3132" s="33"/>
      <c r="Y3132" s="33"/>
      <c r="Z3132" s="33"/>
      <c r="AA3132" s="33"/>
      <c r="AB3132" s="33"/>
    </row>
    <row r="3133" spans="1:28" x14ac:dyDescent="0.15">
      <c r="A3133" s="46" t="s">
        <v>6317</v>
      </c>
      <c r="B3133" s="52" t="s">
        <v>7361</v>
      </c>
      <c r="C3133" s="53" t="s">
        <v>6318</v>
      </c>
      <c r="D3133" s="54" t="s">
        <v>10572</v>
      </c>
      <c r="E3133" s="50">
        <f t="shared" si="106"/>
        <v>42.863013700000003</v>
      </c>
      <c r="F3133" s="51">
        <f t="shared" si="106"/>
        <v>4.6393880899999997</v>
      </c>
      <c r="H3133" s="33"/>
      <c r="I3133" s="33"/>
      <c r="J3133" s="33"/>
      <c r="K3133" s="33"/>
      <c r="L3133" s="33"/>
      <c r="M3133" s="33"/>
      <c r="N3133" s="33"/>
      <c r="O3133" s="33"/>
      <c r="P3133" s="33"/>
      <c r="Q3133" s="33"/>
      <c r="R3133" s="33"/>
      <c r="S3133" s="33"/>
      <c r="T3133" s="33"/>
      <c r="U3133" s="33"/>
      <c r="V3133" s="33"/>
      <c r="W3133" s="33"/>
      <c r="X3133" s="33"/>
      <c r="Y3133" s="33"/>
      <c r="Z3133" s="33"/>
      <c r="AA3133" s="33"/>
      <c r="AB3133" s="33"/>
    </row>
    <row r="3134" spans="1:28" x14ac:dyDescent="0.15">
      <c r="A3134" s="46" t="s">
        <v>6319</v>
      </c>
      <c r="B3134" s="52" t="s">
        <v>7361</v>
      </c>
      <c r="C3134" s="53" t="s">
        <v>6320</v>
      </c>
      <c r="D3134" s="54" t="s">
        <v>10573</v>
      </c>
      <c r="E3134" s="50">
        <f t="shared" si="106"/>
        <v>42.876712329999997</v>
      </c>
      <c r="F3134" s="51">
        <f t="shared" si="106"/>
        <v>4.6393882800000004</v>
      </c>
      <c r="H3134" s="33"/>
      <c r="I3134" s="33"/>
      <c r="J3134" s="33"/>
      <c r="K3134" s="33"/>
      <c r="L3134" s="33"/>
      <c r="M3134" s="33"/>
      <c r="N3134" s="33"/>
      <c r="O3134" s="33"/>
      <c r="P3134" s="33"/>
      <c r="Q3134" s="33"/>
      <c r="R3134" s="33"/>
      <c r="S3134" s="33"/>
      <c r="T3134" s="33"/>
      <c r="U3134" s="33"/>
      <c r="V3134" s="33"/>
      <c r="W3134" s="33"/>
      <c r="X3134" s="33"/>
      <c r="Y3134" s="33"/>
      <c r="Z3134" s="33"/>
      <c r="AA3134" s="33"/>
      <c r="AB3134" s="33"/>
    </row>
    <row r="3135" spans="1:28" x14ac:dyDescent="0.15">
      <c r="A3135" s="46" t="s">
        <v>6321</v>
      </c>
      <c r="B3135" s="52" t="s">
        <v>7361</v>
      </c>
      <c r="C3135" s="53" t="s">
        <v>6322</v>
      </c>
      <c r="D3135" s="54" t="s">
        <v>10574</v>
      </c>
      <c r="E3135" s="50">
        <f t="shared" si="106"/>
        <v>42.890410959999997</v>
      </c>
      <c r="F3135" s="51">
        <f t="shared" si="106"/>
        <v>4.6393884300000003</v>
      </c>
      <c r="H3135" s="33"/>
      <c r="I3135" s="33"/>
      <c r="J3135" s="33"/>
      <c r="K3135" s="33"/>
      <c r="L3135" s="33"/>
      <c r="M3135" s="33"/>
      <c r="N3135" s="33"/>
      <c r="O3135" s="33"/>
      <c r="P3135" s="33"/>
      <c r="Q3135" s="33"/>
      <c r="R3135" s="33"/>
      <c r="S3135" s="33"/>
      <c r="T3135" s="33"/>
      <c r="U3135" s="33"/>
      <c r="V3135" s="33"/>
      <c r="W3135" s="33"/>
      <c r="X3135" s="33"/>
      <c r="Y3135" s="33"/>
      <c r="Z3135" s="33"/>
      <c r="AA3135" s="33"/>
      <c r="AB3135" s="33"/>
    </row>
    <row r="3136" spans="1:28" x14ac:dyDescent="0.15">
      <c r="A3136" s="46" t="s">
        <v>6323</v>
      </c>
      <c r="B3136" s="52" t="s">
        <v>7361</v>
      </c>
      <c r="C3136" s="53" t="s">
        <v>6324</v>
      </c>
      <c r="D3136" s="54" t="s">
        <v>10575</v>
      </c>
      <c r="E3136" s="50">
        <f t="shared" si="106"/>
        <v>42.904109589999997</v>
      </c>
      <c r="F3136" s="51">
        <f t="shared" si="106"/>
        <v>4.6393885499999996</v>
      </c>
      <c r="H3136" s="33"/>
      <c r="I3136" s="33"/>
      <c r="J3136" s="33"/>
      <c r="K3136" s="33"/>
      <c r="L3136" s="33"/>
      <c r="M3136" s="33"/>
      <c r="N3136" s="33"/>
      <c r="O3136" s="33"/>
      <c r="P3136" s="33"/>
      <c r="Q3136" s="33"/>
      <c r="R3136" s="33"/>
      <c r="S3136" s="33"/>
      <c r="T3136" s="33"/>
      <c r="U3136" s="33"/>
      <c r="V3136" s="33"/>
      <c r="W3136" s="33"/>
      <c r="X3136" s="33"/>
      <c r="Y3136" s="33"/>
      <c r="Z3136" s="33"/>
      <c r="AA3136" s="33"/>
      <c r="AB3136" s="33"/>
    </row>
    <row r="3137" spans="1:28" x14ac:dyDescent="0.15">
      <c r="A3137" s="46" t="s">
        <v>6325</v>
      </c>
      <c r="B3137" s="52" t="s">
        <v>7361</v>
      </c>
      <c r="C3137" s="53" t="s">
        <v>6326</v>
      </c>
      <c r="D3137" s="54" t="s">
        <v>10576</v>
      </c>
      <c r="E3137" s="50">
        <f t="shared" si="106"/>
        <v>42.917808219999998</v>
      </c>
      <c r="F3137" s="51">
        <f t="shared" si="106"/>
        <v>4.63938864</v>
      </c>
      <c r="H3137" s="33"/>
      <c r="I3137" s="33"/>
      <c r="J3137" s="33"/>
      <c r="K3137" s="33"/>
      <c r="L3137" s="33"/>
      <c r="M3137" s="33"/>
      <c r="N3137" s="33"/>
      <c r="O3137" s="33"/>
      <c r="P3137" s="33"/>
      <c r="Q3137" s="33"/>
      <c r="R3137" s="33"/>
      <c r="S3137" s="33"/>
      <c r="T3137" s="33"/>
      <c r="U3137" s="33"/>
      <c r="V3137" s="33"/>
      <c r="W3137" s="33"/>
      <c r="X3137" s="33"/>
      <c r="Y3137" s="33"/>
      <c r="Z3137" s="33"/>
      <c r="AA3137" s="33"/>
      <c r="AB3137" s="33"/>
    </row>
    <row r="3138" spans="1:28" x14ac:dyDescent="0.15">
      <c r="A3138" s="46" t="s">
        <v>6327</v>
      </c>
      <c r="B3138" s="52" t="s">
        <v>7361</v>
      </c>
      <c r="C3138" s="53" t="s">
        <v>6328</v>
      </c>
      <c r="D3138" s="54" t="s">
        <v>10577</v>
      </c>
      <c r="E3138" s="50">
        <f t="shared" si="106"/>
        <v>42.931506849999998</v>
      </c>
      <c r="F3138" s="51">
        <f t="shared" si="106"/>
        <v>4.6393887100000004</v>
      </c>
      <c r="H3138" s="33"/>
      <c r="I3138" s="33"/>
      <c r="J3138" s="33"/>
      <c r="K3138" s="33"/>
      <c r="L3138" s="33"/>
      <c r="M3138" s="33"/>
      <c r="N3138" s="33"/>
      <c r="O3138" s="33"/>
      <c r="P3138" s="33"/>
      <c r="Q3138" s="33"/>
      <c r="R3138" s="33"/>
      <c r="S3138" s="33"/>
      <c r="T3138" s="33"/>
      <c r="U3138" s="33"/>
      <c r="V3138" s="33"/>
      <c r="W3138" s="33"/>
      <c r="X3138" s="33"/>
      <c r="Y3138" s="33"/>
      <c r="Z3138" s="33"/>
      <c r="AA3138" s="33"/>
      <c r="AB3138" s="33"/>
    </row>
    <row r="3139" spans="1:28" x14ac:dyDescent="0.15">
      <c r="A3139" s="46" t="s">
        <v>6329</v>
      </c>
      <c r="B3139" s="52" t="s">
        <v>7361</v>
      </c>
      <c r="C3139" s="53" t="s">
        <v>6330</v>
      </c>
      <c r="D3139" s="54" t="s">
        <v>10578</v>
      </c>
      <c r="E3139" s="50">
        <f t="shared" si="106"/>
        <v>42.945205479999998</v>
      </c>
      <c r="F3139" s="51">
        <f t="shared" si="106"/>
        <v>4.6393887500000002</v>
      </c>
      <c r="H3139" s="33"/>
      <c r="I3139" s="33"/>
      <c r="J3139" s="33"/>
      <c r="K3139" s="33"/>
      <c r="L3139" s="33"/>
      <c r="M3139" s="33"/>
      <c r="N3139" s="33"/>
      <c r="O3139" s="33"/>
      <c r="P3139" s="33"/>
      <c r="Q3139" s="33"/>
      <c r="R3139" s="33"/>
      <c r="S3139" s="33"/>
      <c r="T3139" s="33"/>
      <c r="U3139" s="33"/>
      <c r="V3139" s="33"/>
      <c r="W3139" s="33"/>
      <c r="X3139" s="33"/>
      <c r="Y3139" s="33"/>
      <c r="Z3139" s="33"/>
      <c r="AA3139" s="33"/>
      <c r="AB3139" s="33"/>
    </row>
    <row r="3140" spans="1:28" x14ac:dyDescent="0.15">
      <c r="A3140" s="46" t="s">
        <v>6331</v>
      </c>
      <c r="B3140" s="52" t="s">
        <v>7361</v>
      </c>
      <c r="C3140" s="53" t="s">
        <v>6332</v>
      </c>
      <c r="D3140" s="54" t="s">
        <v>10579</v>
      </c>
      <c r="E3140" s="50">
        <f t="shared" si="106"/>
        <v>42.958904109999999</v>
      </c>
      <c r="F3140" s="51">
        <f t="shared" si="106"/>
        <v>4.63938878</v>
      </c>
      <c r="H3140" s="33"/>
      <c r="I3140" s="33"/>
      <c r="J3140" s="33"/>
      <c r="K3140" s="33"/>
      <c r="L3140" s="33"/>
      <c r="M3140" s="33"/>
      <c r="N3140" s="33"/>
      <c r="O3140" s="33"/>
      <c r="P3140" s="33"/>
      <c r="Q3140" s="33"/>
      <c r="R3140" s="33"/>
      <c r="S3140" s="33"/>
      <c r="T3140" s="33"/>
      <c r="U3140" s="33"/>
      <c r="V3140" s="33"/>
      <c r="W3140" s="33"/>
      <c r="X3140" s="33"/>
      <c r="Y3140" s="33"/>
      <c r="Z3140" s="33"/>
      <c r="AA3140" s="33"/>
      <c r="AB3140" s="33"/>
    </row>
    <row r="3141" spans="1:28" x14ac:dyDescent="0.15">
      <c r="A3141" s="46" t="s">
        <v>6333</v>
      </c>
      <c r="B3141" s="52" t="s">
        <v>7361</v>
      </c>
      <c r="C3141" s="53" t="s">
        <v>6334</v>
      </c>
      <c r="D3141" s="54" t="s">
        <v>10580</v>
      </c>
      <c r="E3141" s="50">
        <f t="shared" si="106"/>
        <v>42.972602739999999</v>
      </c>
      <c r="F3141" s="51">
        <f t="shared" si="106"/>
        <v>4.6393887899999999</v>
      </c>
      <c r="H3141" s="33"/>
      <c r="I3141" s="33"/>
      <c r="J3141" s="33"/>
      <c r="K3141" s="33"/>
      <c r="L3141" s="33"/>
      <c r="M3141" s="33"/>
      <c r="N3141" s="33"/>
      <c r="O3141" s="33"/>
      <c r="P3141" s="33"/>
      <c r="Q3141" s="33"/>
      <c r="R3141" s="33"/>
      <c r="S3141" s="33"/>
      <c r="T3141" s="33"/>
      <c r="U3141" s="33"/>
      <c r="V3141" s="33"/>
      <c r="W3141" s="33"/>
      <c r="X3141" s="33"/>
      <c r="Y3141" s="33"/>
      <c r="Z3141" s="33"/>
      <c r="AA3141" s="33"/>
      <c r="AB3141" s="33"/>
    </row>
    <row r="3142" spans="1:28" x14ac:dyDescent="0.15">
      <c r="A3142" s="46" t="s">
        <v>6335</v>
      </c>
      <c r="B3142" s="52" t="s">
        <v>7361</v>
      </c>
      <c r="C3142" s="53" t="s">
        <v>6336</v>
      </c>
      <c r="D3142" s="54" t="s">
        <v>10581</v>
      </c>
      <c r="E3142" s="50">
        <f t="shared" ref="E3142:F3157" si="107">VALUE(C3142)</f>
        <v>42.98630137</v>
      </c>
      <c r="F3142" s="51">
        <f t="shared" si="107"/>
        <v>4.6393887999999999</v>
      </c>
      <c r="H3142" s="33"/>
      <c r="I3142" s="33"/>
      <c r="J3142" s="33"/>
      <c r="K3142" s="33"/>
      <c r="L3142" s="33"/>
      <c r="M3142" s="33"/>
      <c r="N3142" s="33"/>
      <c r="O3142" s="33"/>
      <c r="P3142" s="33"/>
      <c r="Q3142" s="33"/>
      <c r="R3142" s="33"/>
      <c r="S3142" s="33"/>
      <c r="T3142" s="33"/>
      <c r="U3142" s="33"/>
      <c r="V3142" s="33"/>
      <c r="W3142" s="33"/>
      <c r="X3142" s="33"/>
      <c r="Y3142" s="33"/>
      <c r="Z3142" s="33"/>
      <c r="AA3142" s="33"/>
      <c r="AB3142" s="33"/>
    </row>
    <row r="3143" spans="1:28" x14ac:dyDescent="0.15">
      <c r="A3143" s="46" t="s">
        <v>6337</v>
      </c>
      <c r="B3143" s="52" t="s">
        <v>7361</v>
      </c>
      <c r="C3143" s="53" t="s">
        <v>6338</v>
      </c>
      <c r="D3143" s="54" t="s">
        <v>10581</v>
      </c>
      <c r="E3143" s="50">
        <f t="shared" si="107"/>
        <v>43</v>
      </c>
      <c r="F3143" s="51">
        <f t="shared" si="107"/>
        <v>4.6393887999999999</v>
      </c>
      <c r="H3143" s="33"/>
      <c r="I3143" s="33"/>
      <c r="J3143" s="33"/>
      <c r="K3143" s="33"/>
      <c r="L3143" s="33"/>
      <c r="M3143" s="33"/>
      <c r="N3143" s="33"/>
      <c r="O3143" s="33"/>
      <c r="P3143" s="33"/>
      <c r="Q3143" s="33"/>
      <c r="R3143" s="33"/>
      <c r="S3143" s="33"/>
      <c r="T3143" s="33"/>
      <c r="U3143" s="33"/>
      <c r="V3143" s="33"/>
      <c r="W3143" s="33"/>
      <c r="X3143" s="33"/>
      <c r="Y3143" s="33"/>
      <c r="Z3143" s="33"/>
      <c r="AA3143" s="33"/>
      <c r="AB3143" s="33"/>
    </row>
    <row r="3144" spans="1:28" x14ac:dyDescent="0.15">
      <c r="A3144" s="46" t="s">
        <v>6339</v>
      </c>
      <c r="B3144" s="52" t="s">
        <v>7361</v>
      </c>
      <c r="C3144" s="53" t="s">
        <v>6340</v>
      </c>
      <c r="D3144" s="54" t="s">
        <v>10574</v>
      </c>
      <c r="E3144" s="50">
        <f t="shared" si="107"/>
        <v>43.01369863</v>
      </c>
      <c r="F3144" s="51">
        <f t="shared" si="107"/>
        <v>4.6393884300000003</v>
      </c>
      <c r="H3144" s="33"/>
      <c r="I3144" s="33"/>
      <c r="J3144" s="33"/>
      <c r="K3144" s="33"/>
      <c r="L3144" s="33"/>
      <c r="M3144" s="33"/>
      <c r="N3144" s="33"/>
      <c r="O3144" s="33"/>
      <c r="P3144" s="33"/>
      <c r="Q3144" s="33"/>
      <c r="R3144" s="33"/>
      <c r="S3144" s="33"/>
      <c r="T3144" s="33"/>
      <c r="U3144" s="33"/>
      <c r="V3144" s="33"/>
      <c r="W3144" s="33"/>
      <c r="X3144" s="33"/>
      <c r="Y3144" s="33"/>
      <c r="Z3144" s="33"/>
      <c r="AA3144" s="33"/>
      <c r="AB3144" s="33"/>
    </row>
    <row r="3145" spans="1:28" x14ac:dyDescent="0.15">
      <c r="A3145" s="46" t="s">
        <v>6341</v>
      </c>
      <c r="B3145" s="52" t="s">
        <v>7361</v>
      </c>
      <c r="C3145" s="53" t="s">
        <v>6342</v>
      </c>
      <c r="D3145" s="54" t="s">
        <v>10582</v>
      </c>
      <c r="E3145" s="50">
        <f t="shared" si="107"/>
        <v>43.027397260000001</v>
      </c>
      <c r="F3145" s="51">
        <f t="shared" si="107"/>
        <v>4.6393873299999999</v>
      </c>
      <c r="H3145" s="33"/>
      <c r="I3145" s="33"/>
      <c r="J3145" s="33"/>
      <c r="K3145" s="33"/>
      <c r="L3145" s="33"/>
      <c r="M3145" s="33"/>
      <c r="N3145" s="33"/>
      <c r="O3145" s="33"/>
      <c r="P3145" s="33"/>
      <c r="Q3145" s="33"/>
      <c r="R3145" s="33"/>
      <c r="S3145" s="33"/>
      <c r="T3145" s="33"/>
      <c r="U3145" s="33"/>
      <c r="V3145" s="33"/>
      <c r="W3145" s="33"/>
      <c r="X3145" s="33"/>
      <c r="Y3145" s="33"/>
      <c r="Z3145" s="33"/>
      <c r="AA3145" s="33"/>
      <c r="AB3145" s="33"/>
    </row>
    <row r="3146" spans="1:28" x14ac:dyDescent="0.15">
      <c r="A3146" s="46" t="s">
        <v>6343</v>
      </c>
      <c r="B3146" s="52" t="s">
        <v>7361</v>
      </c>
      <c r="C3146" s="53" t="s">
        <v>6344</v>
      </c>
      <c r="D3146" s="54" t="s">
        <v>10583</v>
      </c>
      <c r="E3146" s="50">
        <f t="shared" si="107"/>
        <v>43.041095890000001</v>
      </c>
      <c r="F3146" s="51">
        <f t="shared" si="107"/>
        <v>4.6393855400000001</v>
      </c>
      <c r="H3146" s="33"/>
      <c r="I3146" s="33"/>
      <c r="J3146" s="33"/>
      <c r="K3146" s="33"/>
      <c r="L3146" s="33"/>
      <c r="M3146" s="33"/>
      <c r="N3146" s="33"/>
      <c r="O3146" s="33"/>
      <c r="P3146" s="33"/>
      <c r="Q3146" s="33"/>
      <c r="R3146" s="33"/>
      <c r="S3146" s="33"/>
      <c r="T3146" s="33"/>
      <c r="U3146" s="33"/>
      <c r="V3146" s="33"/>
      <c r="W3146" s="33"/>
      <c r="X3146" s="33"/>
      <c r="Y3146" s="33"/>
      <c r="Z3146" s="33"/>
      <c r="AA3146" s="33"/>
      <c r="AB3146" s="33"/>
    </row>
    <row r="3147" spans="1:28" x14ac:dyDescent="0.15">
      <c r="A3147" s="46" t="s">
        <v>6345</v>
      </c>
      <c r="B3147" s="52" t="s">
        <v>7361</v>
      </c>
      <c r="C3147" s="53" t="s">
        <v>6346</v>
      </c>
      <c r="D3147" s="54" t="s">
        <v>10584</v>
      </c>
      <c r="E3147" s="50">
        <f t="shared" si="107"/>
        <v>43.054794520000002</v>
      </c>
      <c r="F3147" s="51">
        <f t="shared" si="107"/>
        <v>4.6393830899999999</v>
      </c>
      <c r="H3147" s="33"/>
      <c r="I3147" s="33"/>
      <c r="J3147" s="33"/>
      <c r="K3147" s="33"/>
      <c r="L3147" s="33"/>
      <c r="M3147" s="33"/>
      <c r="N3147" s="33"/>
      <c r="O3147" s="33"/>
      <c r="P3147" s="33"/>
      <c r="Q3147" s="33"/>
      <c r="R3147" s="33"/>
      <c r="S3147" s="33"/>
      <c r="T3147" s="33"/>
      <c r="U3147" s="33"/>
      <c r="V3147" s="33"/>
      <c r="W3147" s="33"/>
      <c r="X3147" s="33"/>
      <c r="Y3147" s="33"/>
      <c r="Z3147" s="33"/>
      <c r="AA3147" s="33"/>
      <c r="AB3147" s="33"/>
    </row>
    <row r="3148" spans="1:28" x14ac:dyDescent="0.15">
      <c r="A3148" s="46" t="s">
        <v>6347</v>
      </c>
      <c r="B3148" s="52" t="s">
        <v>7361</v>
      </c>
      <c r="C3148" s="53" t="s">
        <v>6348</v>
      </c>
      <c r="D3148" s="54" t="s">
        <v>10585</v>
      </c>
      <c r="E3148" s="50">
        <f t="shared" si="107"/>
        <v>43.068493150000002</v>
      </c>
      <c r="F3148" s="51">
        <f t="shared" si="107"/>
        <v>4.63938001</v>
      </c>
      <c r="H3148" s="33"/>
      <c r="I3148" s="33"/>
      <c r="J3148" s="33"/>
      <c r="K3148" s="33"/>
      <c r="L3148" s="33"/>
      <c r="M3148" s="33"/>
      <c r="N3148" s="33"/>
      <c r="O3148" s="33"/>
      <c r="P3148" s="33"/>
      <c r="Q3148" s="33"/>
      <c r="R3148" s="33"/>
      <c r="S3148" s="33"/>
      <c r="T3148" s="33"/>
      <c r="U3148" s="33"/>
      <c r="V3148" s="33"/>
      <c r="W3148" s="33"/>
      <c r="X3148" s="33"/>
      <c r="Y3148" s="33"/>
      <c r="Z3148" s="33"/>
      <c r="AA3148" s="33"/>
      <c r="AB3148" s="33"/>
    </row>
    <row r="3149" spans="1:28" x14ac:dyDescent="0.15">
      <c r="A3149" s="46" t="s">
        <v>6349</v>
      </c>
      <c r="B3149" s="52" t="s">
        <v>7361</v>
      </c>
      <c r="C3149" s="53" t="s">
        <v>6350</v>
      </c>
      <c r="D3149" s="54" t="s">
        <v>10586</v>
      </c>
      <c r="E3149" s="50">
        <f t="shared" si="107"/>
        <v>43.082191780000002</v>
      </c>
      <c r="F3149" s="51">
        <f t="shared" si="107"/>
        <v>4.6393763300000002</v>
      </c>
      <c r="H3149" s="33"/>
      <c r="I3149" s="33"/>
      <c r="J3149" s="33"/>
      <c r="K3149" s="33"/>
      <c r="L3149" s="33"/>
      <c r="M3149" s="33"/>
      <c r="N3149" s="33"/>
      <c r="O3149" s="33"/>
      <c r="P3149" s="33"/>
      <c r="Q3149" s="33"/>
      <c r="R3149" s="33"/>
      <c r="S3149" s="33"/>
      <c r="T3149" s="33"/>
      <c r="U3149" s="33"/>
      <c r="V3149" s="33"/>
      <c r="W3149" s="33"/>
      <c r="X3149" s="33"/>
      <c r="Y3149" s="33"/>
      <c r="Z3149" s="33"/>
      <c r="AA3149" s="33"/>
      <c r="AB3149" s="33"/>
    </row>
    <row r="3150" spans="1:28" x14ac:dyDescent="0.15">
      <c r="A3150" s="46" t="s">
        <v>6351</v>
      </c>
      <c r="B3150" s="52" t="s">
        <v>7361</v>
      </c>
      <c r="C3150" s="53" t="s">
        <v>6352</v>
      </c>
      <c r="D3150" s="54" t="s">
        <v>10587</v>
      </c>
      <c r="E3150" s="50">
        <f t="shared" si="107"/>
        <v>43.095890410000003</v>
      </c>
      <c r="F3150" s="51">
        <f t="shared" si="107"/>
        <v>4.6393720800000002</v>
      </c>
      <c r="H3150" s="33"/>
      <c r="I3150" s="33"/>
      <c r="J3150" s="33"/>
      <c r="K3150" s="33"/>
      <c r="L3150" s="33"/>
      <c r="M3150" s="33"/>
      <c r="N3150" s="33"/>
      <c r="O3150" s="33"/>
      <c r="P3150" s="33"/>
      <c r="Q3150" s="33"/>
      <c r="R3150" s="33"/>
      <c r="S3150" s="33"/>
      <c r="T3150" s="33"/>
      <c r="U3150" s="33"/>
      <c r="V3150" s="33"/>
      <c r="W3150" s="33"/>
      <c r="X3150" s="33"/>
      <c r="Y3150" s="33"/>
      <c r="Z3150" s="33"/>
      <c r="AA3150" s="33"/>
      <c r="AB3150" s="33"/>
    </row>
    <row r="3151" spans="1:28" x14ac:dyDescent="0.15">
      <c r="A3151" s="46" t="s">
        <v>6353</v>
      </c>
      <c r="B3151" s="52" t="s">
        <v>7361</v>
      </c>
      <c r="C3151" s="53" t="s">
        <v>6354</v>
      </c>
      <c r="D3151" s="54" t="s">
        <v>10588</v>
      </c>
      <c r="E3151" s="50">
        <f t="shared" si="107"/>
        <v>43.109589040000003</v>
      </c>
      <c r="F3151" s="51">
        <f t="shared" si="107"/>
        <v>4.63936729</v>
      </c>
      <c r="H3151" s="33"/>
      <c r="I3151" s="33"/>
      <c r="J3151" s="33"/>
      <c r="K3151" s="33"/>
      <c r="L3151" s="33"/>
      <c r="M3151" s="33"/>
      <c r="N3151" s="33"/>
      <c r="O3151" s="33"/>
      <c r="P3151" s="33"/>
      <c r="Q3151" s="33"/>
      <c r="R3151" s="33"/>
      <c r="S3151" s="33"/>
      <c r="T3151" s="33"/>
      <c r="U3151" s="33"/>
      <c r="V3151" s="33"/>
      <c r="W3151" s="33"/>
      <c r="X3151" s="33"/>
      <c r="Y3151" s="33"/>
      <c r="Z3151" s="33"/>
      <c r="AA3151" s="33"/>
      <c r="AB3151" s="33"/>
    </row>
    <row r="3152" spans="1:28" x14ac:dyDescent="0.15">
      <c r="A3152" s="46" t="s">
        <v>6355</v>
      </c>
      <c r="B3152" s="52" t="s">
        <v>7361</v>
      </c>
      <c r="C3152" s="53" t="s">
        <v>6356</v>
      </c>
      <c r="D3152" s="54" t="s">
        <v>10589</v>
      </c>
      <c r="E3152" s="50">
        <f t="shared" si="107"/>
        <v>43.123287670000003</v>
      </c>
      <c r="F3152" s="51">
        <f t="shared" si="107"/>
        <v>4.6393619900000003</v>
      </c>
      <c r="H3152" s="33"/>
      <c r="I3152" s="33"/>
      <c r="J3152" s="33"/>
      <c r="K3152" s="33"/>
      <c r="L3152" s="33"/>
      <c r="M3152" s="33"/>
      <c r="N3152" s="33"/>
      <c r="O3152" s="33"/>
      <c r="P3152" s="33"/>
      <c r="Q3152" s="33"/>
      <c r="R3152" s="33"/>
      <c r="S3152" s="33"/>
      <c r="T3152" s="33"/>
      <c r="U3152" s="33"/>
      <c r="V3152" s="33"/>
      <c r="W3152" s="33"/>
      <c r="X3152" s="33"/>
      <c r="Y3152" s="33"/>
      <c r="Z3152" s="33"/>
      <c r="AA3152" s="33"/>
      <c r="AB3152" s="33"/>
    </row>
    <row r="3153" spans="1:28" x14ac:dyDescent="0.15">
      <c r="A3153" s="46" t="s">
        <v>6357</v>
      </c>
      <c r="B3153" s="52" t="s">
        <v>7361</v>
      </c>
      <c r="C3153" s="53" t="s">
        <v>6358</v>
      </c>
      <c r="D3153" s="54" t="s">
        <v>10590</v>
      </c>
      <c r="E3153" s="50">
        <f t="shared" si="107"/>
        <v>43.136986299999997</v>
      </c>
      <c r="F3153" s="51">
        <f t="shared" si="107"/>
        <v>4.6393562199999998</v>
      </c>
      <c r="H3153" s="33"/>
      <c r="I3153" s="33"/>
      <c r="J3153" s="33"/>
      <c r="K3153" s="33"/>
      <c r="L3153" s="33"/>
      <c r="M3153" s="33"/>
      <c r="N3153" s="33"/>
      <c r="O3153" s="33"/>
      <c r="P3153" s="33"/>
      <c r="Q3153" s="33"/>
      <c r="R3153" s="33"/>
      <c r="S3153" s="33"/>
      <c r="T3153" s="33"/>
      <c r="U3153" s="33"/>
      <c r="V3153" s="33"/>
      <c r="W3153" s="33"/>
      <c r="X3153" s="33"/>
      <c r="Y3153" s="33"/>
      <c r="Z3153" s="33"/>
      <c r="AA3153" s="33"/>
      <c r="AB3153" s="33"/>
    </row>
    <row r="3154" spans="1:28" x14ac:dyDescent="0.15">
      <c r="A3154" s="46" t="s">
        <v>6359</v>
      </c>
      <c r="B3154" s="52" t="s">
        <v>7361</v>
      </c>
      <c r="C3154" s="53" t="s">
        <v>6360</v>
      </c>
      <c r="D3154" s="54" t="s">
        <v>10591</v>
      </c>
      <c r="E3154" s="50">
        <f t="shared" si="107"/>
        <v>43.150684929999997</v>
      </c>
      <c r="F3154" s="51">
        <f t="shared" si="107"/>
        <v>4.6393500000000003</v>
      </c>
      <c r="H3154" s="33"/>
      <c r="I3154" s="33"/>
      <c r="J3154" s="33"/>
      <c r="K3154" s="33"/>
      <c r="L3154" s="33"/>
      <c r="M3154" s="33"/>
      <c r="N3154" s="33"/>
      <c r="O3154" s="33"/>
      <c r="P3154" s="33"/>
      <c r="Q3154" s="33"/>
      <c r="R3154" s="33"/>
      <c r="S3154" s="33"/>
      <c r="T3154" s="33"/>
      <c r="U3154" s="33"/>
      <c r="V3154" s="33"/>
      <c r="W3154" s="33"/>
      <c r="X3154" s="33"/>
      <c r="Y3154" s="33"/>
      <c r="Z3154" s="33"/>
      <c r="AA3154" s="33"/>
      <c r="AB3154" s="33"/>
    </row>
    <row r="3155" spans="1:28" x14ac:dyDescent="0.15">
      <c r="A3155" s="46" t="s">
        <v>6361</v>
      </c>
      <c r="B3155" s="52" t="s">
        <v>7361</v>
      </c>
      <c r="C3155" s="53" t="s">
        <v>6362</v>
      </c>
      <c r="D3155" s="54" t="s">
        <v>10592</v>
      </c>
      <c r="E3155" s="50">
        <f t="shared" si="107"/>
        <v>43.164383559999997</v>
      </c>
      <c r="F3155" s="51">
        <f t="shared" si="107"/>
        <v>4.6393433699999997</v>
      </c>
      <c r="H3155" s="33"/>
      <c r="I3155" s="33"/>
      <c r="J3155" s="33"/>
      <c r="K3155" s="33"/>
      <c r="L3155" s="33"/>
      <c r="M3155" s="33"/>
      <c r="N3155" s="33"/>
      <c r="O3155" s="33"/>
      <c r="P3155" s="33"/>
      <c r="Q3155" s="33"/>
      <c r="R3155" s="33"/>
      <c r="S3155" s="33"/>
      <c r="T3155" s="33"/>
      <c r="U3155" s="33"/>
      <c r="V3155" s="33"/>
      <c r="W3155" s="33"/>
      <c r="X3155" s="33"/>
      <c r="Y3155" s="33"/>
      <c r="Z3155" s="33"/>
      <c r="AA3155" s="33"/>
      <c r="AB3155" s="33"/>
    </row>
    <row r="3156" spans="1:28" x14ac:dyDescent="0.15">
      <c r="A3156" s="46" t="s">
        <v>6363</v>
      </c>
      <c r="B3156" s="52" t="s">
        <v>7361</v>
      </c>
      <c r="C3156" s="53" t="s">
        <v>6364</v>
      </c>
      <c r="D3156" s="54" t="s">
        <v>10593</v>
      </c>
      <c r="E3156" s="50">
        <f t="shared" si="107"/>
        <v>43.178082189999998</v>
      </c>
      <c r="F3156" s="51">
        <f t="shared" si="107"/>
        <v>4.6393363599999997</v>
      </c>
      <c r="H3156" s="33"/>
      <c r="I3156" s="33"/>
      <c r="J3156" s="33"/>
      <c r="K3156" s="33"/>
      <c r="L3156" s="33"/>
      <c r="M3156" s="33"/>
      <c r="N3156" s="33"/>
      <c r="O3156" s="33"/>
      <c r="P3156" s="33"/>
      <c r="Q3156" s="33"/>
      <c r="R3156" s="33"/>
      <c r="S3156" s="33"/>
      <c r="T3156" s="33"/>
      <c r="U3156" s="33"/>
      <c r="V3156" s="33"/>
      <c r="W3156" s="33"/>
      <c r="X3156" s="33"/>
      <c r="Y3156" s="33"/>
      <c r="Z3156" s="33"/>
      <c r="AA3156" s="33"/>
      <c r="AB3156" s="33"/>
    </row>
    <row r="3157" spans="1:28" x14ac:dyDescent="0.15">
      <c r="A3157" s="46" t="s">
        <v>6365</v>
      </c>
      <c r="B3157" s="52" t="s">
        <v>7361</v>
      </c>
      <c r="C3157" s="53" t="s">
        <v>6366</v>
      </c>
      <c r="D3157" s="54" t="s">
        <v>10594</v>
      </c>
      <c r="E3157" s="50">
        <f t="shared" si="107"/>
        <v>43.191780819999998</v>
      </c>
      <c r="F3157" s="51">
        <f t="shared" si="107"/>
        <v>4.639329</v>
      </c>
      <c r="H3157" s="33"/>
      <c r="I3157" s="33"/>
      <c r="J3157" s="33"/>
      <c r="K3157" s="33"/>
      <c r="L3157" s="33"/>
      <c r="M3157" s="33"/>
      <c r="N3157" s="33"/>
      <c r="O3157" s="33"/>
      <c r="P3157" s="33"/>
      <c r="Q3157" s="33"/>
      <c r="R3157" s="33"/>
      <c r="S3157" s="33"/>
      <c r="T3157" s="33"/>
      <c r="U3157" s="33"/>
      <c r="V3157" s="33"/>
      <c r="W3157" s="33"/>
      <c r="X3157" s="33"/>
      <c r="Y3157" s="33"/>
      <c r="Z3157" s="33"/>
      <c r="AA3157" s="33"/>
      <c r="AB3157" s="33"/>
    </row>
    <row r="3158" spans="1:28" x14ac:dyDescent="0.15">
      <c r="A3158" s="46" t="s">
        <v>6367</v>
      </c>
      <c r="B3158" s="52" t="s">
        <v>7361</v>
      </c>
      <c r="C3158" s="53" t="s">
        <v>6368</v>
      </c>
      <c r="D3158" s="54" t="s">
        <v>10595</v>
      </c>
      <c r="E3158" s="50">
        <f t="shared" ref="E3158:F3188" si="108">VALUE(C3158)</f>
        <v>43.205479449999999</v>
      </c>
      <c r="F3158" s="51">
        <f t="shared" si="108"/>
        <v>4.6393213099999997</v>
      </c>
      <c r="H3158" s="33"/>
      <c r="I3158" s="33"/>
      <c r="J3158" s="33"/>
      <c r="K3158" s="33"/>
      <c r="L3158" s="33"/>
      <c r="M3158" s="33"/>
      <c r="N3158" s="33"/>
      <c r="O3158" s="33"/>
      <c r="P3158" s="33"/>
      <c r="Q3158" s="33"/>
      <c r="R3158" s="33"/>
      <c r="S3158" s="33"/>
      <c r="T3158" s="33"/>
      <c r="U3158" s="33"/>
      <c r="V3158" s="33"/>
      <c r="W3158" s="33"/>
      <c r="X3158" s="33"/>
      <c r="Y3158" s="33"/>
      <c r="Z3158" s="33"/>
      <c r="AA3158" s="33"/>
      <c r="AB3158" s="33"/>
    </row>
    <row r="3159" spans="1:28" x14ac:dyDescent="0.15">
      <c r="A3159" s="46" t="s">
        <v>6369</v>
      </c>
      <c r="B3159" s="52" t="s">
        <v>7361</v>
      </c>
      <c r="C3159" s="53" t="s">
        <v>6370</v>
      </c>
      <c r="D3159" s="54" t="s">
        <v>10596</v>
      </c>
      <c r="E3159" s="50">
        <f t="shared" si="108"/>
        <v>43.219178079999999</v>
      </c>
      <c r="F3159" s="51">
        <f t="shared" si="108"/>
        <v>4.6393133400000002</v>
      </c>
      <c r="H3159" s="33"/>
      <c r="I3159" s="33"/>
      <c r="J3159" s="33"/>
      <c r="K3159" s="33"/>
      <c r="L3159" s="33"/>
      <c r="M3159" s="33"/>
      <c r="N3159" s="33"/>
      <c r="O3159" s="33"/>
      <c r="P3159" s="33"/>
      <c r="Q3159" s="33"/>
      <c r="R3159" s="33"/>
      <c r="S3159" s="33"/>
      <c r="T3159" s="33"/>
      <c r="U3159" s="33"/>
      <c r="V3159" s="33"/>
      <c r="W3159" s="33"/>
      <c r="X3159" s="33"/>
      <c r="Y3159" s="33"/>
      <c r="Z3159" s="33"/>
      <c r="AA3159" s="33"/>
      <c r="AB3159" s="33"/>
    </row>
    <row r="3160" spans="1:28" x14ac:dyDescent="0.15">
      <c r="A3160" s="46" t="s">
        <v>6371</v>
      </c>
      <c r="B3160" s="52" t="s">
        <v>7361</v>
      </c>
      <c r="C3160" s="53" t="s">
        <v>6372</v>
      </c>
      <c r="D3160" s="54" t="s">
        <v>10597</v>
      </c>
      <c r="E3160" s="50">
        <f t="shared" si="108"/>
        <v>43.232876709999999</v>
      </c>
      <c r="F3160" s="51">
        <f t="shared" si="108"/>
        <v>4.6393051099999996</v>
      </c>
      <c r="H3160" s="33"/>
      <c r="I3160" s="33"/>
      <c r="J3160" s="33"/>
      <c r="K3160" s="33"/>
      <c r="L3160" s="33"/>
      <c r="M3160" s="33"/>
      <c r="N3160" s="33"/>
      <c r="O3160" s="33"/>
      <c r="P3160" s="33"/>
      <c r="Q3160" s="33"/>
      <c r="R3160" s="33"/>
      <c r="S3160" s="33"/>
      <c r="T3160" s="33"/>
      <c r="U3160" s="33"/>
      <c r="V3160" s="33"/>
      <c r="W3160" s="33"/>
      <c r="X3160" s="33"/>
      <c r="Y3160" s="33"/>
      <c r="Z3160" s="33"/>
      <c r="AA3160" s="33"/>
      <c r="AB3160" s="33"/>
    </row>
    <row r="3161" spans="1:28" x14ac:dyDescent="0.15">
      <c r="A3161" s="46" t="s">
        <v>6373</v>
      </c>
      <c r="B3161" s="52" t="s">
        <v>7361</v>
      </c>
      <c r="C3161" s="53" t="s">
        <v>6374</v>
      </c>
      <c r="D3161" s="54" t="s">
        <v>10598</v>
      </c>
      <c r="E3161" s="50">
        <f t="shared" si="108"/>
        <v>43.24657534</v>
      </c>
      <c r="F3161" s="51">
        <f t="shared" si="108"/>
        <v>4.6392966500000004</v>
      </c>
      <c r="H3161" s="33"/>
      <c r="I3161" s="33"/>
      <c r="J3161" s="33"/>
      <c r="K3161" s="33"/>
      <c r="L3161" s="33"/>
      <c r="M3161" s="33"/>
      <c r="N3161" s="33"/>
      <c r="O3161" s="33"/>
      <c r="P3161" s="33"/>
      <c r="Q3161" s="33"/>
      <c r="R3161" s="33"/>
      <c r="S3161" s="33"/>
      <c r="T3161" s="33"/>
      <c r="U3161" s="33"/>
      <c r="V3161" s="33"/>
      <c r="W3161" s="33"/>
      <c r="X3161" s="33"/>
      <c r="Y3161" s="33"/>
      <c r="Z3161" s="33"/>
      <c r="AA3161" s="33"/>
      <c r="AB3161" s="33"/>
    </row>
    <row r="3162" spans="1:28" x14ac:dyDescent="0.15">
      <c r="A3162" s="46" t="s">
        <v>6375</v>
      </c>
      <c r="B3162" s="52" t="s">
        <v>7361</v>
      </c>
      <c r="C3162" s="53" t="s">
        <v>6376</v>
      </c>
      <c r="D3162" s="54" t="s">
        <v>10599</v>
      </c>
      <c r="E3162" s="50">
        <f t="shared" si="108"/>
        <v>43.26027397</v>
      </c>
      <c r="F3162" s="51">
        <f t="shared" si="108"/>
        <v>4.6392879899999997</v>
      </c>
      <c r="H3162" s="33"/>
      <c r="I3162" s="33"/>
      <c r="J3162" s="33"/>
      <c r="K3162" s="33"/>
      <c r="L3162" s="33"/>
      <c r="M3162" s="33"/>
      <c r="N3162" s="33"/>
      <c r="O3162" s="33"/>
      <c r="P3162" s="33"/>
      <c r="Q3162" s="33"/>
      <c r="R3162" s="33"/>
      <c r="S3162" s="33"/>
      <c r="T3162" s="33"/>
      <c r="U3162" s="33"/>
      <c r="V3162" s="33"/>
      <c r="W3162" s="33"/>
      <c r="X3162" s="33"/>
      <c r="Y3162" s="33"/>
      <c r="Z3162" s="33"/>
      <c r="AA3162" s="33"/>
      <c r="AB3162" s="33"/>
    </row>
    <row r="3163" spans="1:28" x14ac:dyDescent="0.15">
      <c r="A3163" s="46" t="s">
        <v>6377</v>
      </c>
      <c r="B3163" s="52" t="s">
        <v>7361</v>
      </c>
      <c r="C3163" s="53" t="s">
        <v>6378</v>
      </c>
      <c r="D3163" s="54" t="s">
        <v>10600</v>
      </c>
      <c r="E3163" s="50">
        <f t="shared" si="108"/>
        <v>43.2739726</v>
      </c>
      <c r="F3163" s="51">
        <f t="shared" si="108"/>
        <v>4.63927917</v>
      </c>
      <c r="H3163" s="33"/>
      <c r="I3163" s="33"/>
      <c r="J3163" s="33"/>
      <c r="K3163" s="33"/>
      <c r="L3163" s="33"/>
      <c r="M3163" s="33"/>
      <c r="N3163" s="33"/>
      <c r="O3163" s="33"/>
      <c r="P3163" s="33"/>
      <c r="Q3163" s="33"/>
      <c r="R3163" s="33"/>
      <c r="S3163" s="33"/>
      <c r="T3163" s="33"/>
      <c r="U3163" s="33"/>
      <c r="V3163" s="33"/>
      <c r="W3163" s="33"/>
      <c r="X3163" s="33"/>
      <c r="Y3163" s="33"/>
      <c r="Z3163" s="33"/>
      <c r="AA3163" s="33"/>
      <c r="AB3163" s="33"/>
    </row>
    <row r="3164" spans="1:28" x14ac:dyDescent="0.15">
      <c r="A3164" s="46" t="s">
        <v>6379</v>
      </c>
      <c r="B3164" s="52" t="s">
        <v>7361</v>
      </c>
      <c r="C3164" s="53" t="s">
        <v>6380</v>
      </c>
      <c r="D3164" s="54" t="s">
        <v>10601</v>
      </c>
      <c r="E3164" s="50">
        <f t="shared" si="108"/>
        <v>43.287671230000001</v>
      </c>
      <c r="F3164" s="51">
        <f t="shared" si="108"/>
        <v>4.6392702100000003</v>
      </c>
      <c r="H3164" s="33"/>
      <c r="I3164" s="33"/>
      <c r="J3164" s="33"/>
      <c r="K3164" s="33"/>
      <c r="L3164" s="33"/>
      <c r="M3164" s="33"/>
      <c r="N3164" s="33"/>
      <c r="O3164" s="33"/>
      <c r="P3164" s="33"/>
      <c r="Q3164" s="33"/>
      <c r="R3164" s="33"/>
      <c r="S3164" s="33"/>
      <c r="T3164" s="33"/>
      <c r="U3164" s="33"/>
      <c r="V3164" s="33"/>
      <c r="W3164" s="33"/>
      <c r="X3164" s="33"/>
      <c r="Y3164" s="33"/>
      <c r="Z3164" s="33"/>
      <c r="AA3164" s="33"/>
      <c r="AB3164" s="33"/>
    </row>
    <row r="3165" spans="1:28" x14ac:dyDescent="0.15">
      <c r="A3165" s="46" t="s">
        <v>6381</v>
      </c>
      <c r="B3165" s="52" t="s">
        <v>7361</v>
      </c>
      <c r="C3165" s="53" t="s">
        <v>6382</v>
      </c>
      <c r="D3165" s="54" t="s">
        <v>10602</v>
      </c>
      <c r="E3165" s="50">
        <f t="shared" si="108"/>
        <v>43.301369860000001</v>
      </c>
      <c r="F3165" s="51">
        <f t="shared" si="108"/>
        <v>4.6392611500000003</v>
      </c>
      <c r="H3165" s="33"/>
      <c r="I3165" s="33"/>
      <c r="J3165" s="33"/>
      <c r="K3165" s="33"/>
      <c r="L3165" s="33"/>
      <c r="M3165" s="33"/>
      <c r="N3165" s="33"/>
      <c r="O3165" s="33"/>
      <c r="P3165" s="33"/>
      <c r="Q3165" s="33"/>
      <c r="R3165" s="33"/>
      <c r="S3165" s="33"/>
      <c r="T3165" s="33"/>
      <c r="U3165" s="33"/>
      <c r="V3165" s="33"/>
      <c r="W3165" s="33"/>
      <c r="X3165" s="33"/>
      <c r="Y3165" s="33"/>
      <c r="Z3165" s="33"/>
      <c r="AA3165" s="33"/>
      <c r="AB3165" s="33"/>
    </row>
    <row r="3166" spans="1:28" x14ac:dyDescent="0.15">
      <c r="A3166" s="46" t="s">
        <v>6383</v>
      </c>
      <c r="B3166" s="52" t="s">
        <v>7361</v>
      </c>
      <c r="C3166" s="53" t="s">
        <v>6384</v>
      </c>
      <c r="D3166" s="54" t="s">
        <v>10603</v>
      </c>
      <c r="E3166" s="50">
        <f t="shared" si="108"/>
        <v>43.315068490000002</v>
      </c>
      <c r="F3166" s="51">
        <f t="shared" si="108"/>
        <v>4.6392520199999998</v>
      </c>
      <c r="H3166" s="33"/>
      <c r="I3166" s="33"/>
      <c r="J3166" s="33"/>
      <c r="K3166" s="33"/>
      <c r="L3166" s="33"/>
      <c r="M3166" s="33"/>
      <c r="N3166" s="33"/>
      <c r="O3166" s="33"/>
      <c r="P3166" s="33"/>
      <c r="Q3166" s="33"/>
      <c r="R3166" s="33"/>
      <c r="S3166" s="33"/>
      <c r="T3166" s="33"/>
      <c r="U3166" s="33"/>
      <c r="V3166" s="33"/>
      <c r="W3166" s="33"/>
      <c r="X3166" s="33"/>
      <c r="Y3166" s="33"/>
      <c r="Z3166" s="33"/>
      <c r="AA3166" s="33"/>
      <c r="AB3166" s="33"/>
    </row>
    <row r="3167" spans="1:28" x14ac:dyDescent="0.15">
      <c r="A3167" s="46" t="s">
        <v>6385</v>
      </c>
      <c r="B3167" s="52" t="s">
        <v>7361</v>
      </c>
      <c r="C3167" s="53" t="s">
        <v>6386</v>
      </c>
      <c r="D3167" s="54" t="s">
        <v>10604</v>
      </c>
      <c r="E3167" s="50">
        <f t="shared" si="108"/>
        <v>43.328767120000002</v>
      </c>
      <c r="F3167" s="51">
        <f t="shared" si="108"/>
        <v>4.6392428399999996</v>
      </c>
      <c r="H3167" s="33"/>
      <c r="I3167" s="33"/>
      <c r="J3167" s="33"/>
      <c r="K3167" s="33"/>
      <c r="L3167" s="33"/>
      <c r="M3167" s="33"/>
      <c r="N3167" s="33"/>
      <c r="O3167" s="33"/>
      <c r="P3167" s="33"/>
      <c r="Q3167" s="33"/>
      <c r="R3167" s="33"/>
      <c r="S3167" s="33"/>
      <c r="T3167" s="33"/>
      <c r="U3167" s="33"/>
      <c r="V3167" s="33"/>
      <c r="W3167" s="33"/>
      <c r="X3167" s="33"/>
      <c r="Y3167" s="33"/>
      <c r="Z3167" s="33"/>
      <c r="AA3167" s="33"/>
      <c r="AB3167" s="33"/>
    </row>
    <row r="3168" spans="1:28" x14ac:dyDescent="0.15">
      <c r="A3168" s="46" t="s">
        <v>6387</v>
      </c>
      <c r="B3168" s="52" t="s">
        <v>7361</v>
      </c>
      <c r="C3168" s="53" t="s">
        <v>6388</v>
      </c>
      <c r="D3168" s="54" t="s">
        <v>10605</v>
      </c>
      <c r="E3168" s="50">
        <f t="shared" si="108"/>
        <v>43.342465750000002</v>
      </c>
      <c r="F3168" s="51">
        <f t="shared" si="108"/>
        <v>4.6392336600000004</v>
      </c>
      <c r="H3168" s="33"/>
      <c r="I3168" s="33"/>
      <c r="J3168" s="33"/>
      <c r="K3168" s="33"/>
      <c r="L3168" s="33"/>
      <c r="M3168" s="33"/>
      <c r="N3168" s="33"/>
      <c r="O3168" s="33"/>
      <c r="P3168" s="33"/>
      <c r="Q3168" s="33"/>
      <c r="R3168" s="33"/>
      <c r="S3168" s="33"/>
      <c r="T3168" s="33"/>
      <c r="U3168" s="33"/>
      <c r="V3168" s="33"/>
      <c r="W3168" s="33"/>
      <c r="X3168" s="33"/>
      <c r="Y3168" s="33"/>
      <c r="Z3168" s="33"/>
      <c r="AA3168" s="33"/>
      <c r="AB3168" s="33"/>
    </row>
    <row r="3169" spans="1:28" x14ac:dyDescent="0.15">
      <c r="A3169" s="46" t="s">
        <v>6389</v>
      </c>
      <c r="B3169" s="52" t="s">
        <v>7361</v>
      </c>
      <c r="C3169" s="53" t="s">
        <v>6390</v>
      </c>
      <c r="D3169" s="54" t="s">
        <v>10606</v>
      </c>
      <c r="E3169" s="50">
        <f t="shared" si="108"/>
        <v>43.356164380000003</v>
      </c>
      <c r="F3169" s="51">
        <f t="shared" si="108"/>
        <v>4.6392244900000001</v>
      </c>
      <c r="H3169" s="33"/>
      <c r="I3169" s="33"/>
      <c r="J3169" s="33"/>
      <c r="K3169" s="33"/>
      <c r="L3169" s="33"/>
      <c r="M3169" s="33"/>
      <c r="N3169" s="33"/>
      <c r="O3169" s="33"/>
      <c r="P3169" s="33"/>
      <c r="Q3169" s="33"/>
      <c r="R3169" s="33"/>
      <c r="S3169" s="33"/>
      <c r="T3169" s="33"/>
      <c r="U3169" s="33"/>
      <c r="V3169" s="33"/>
      <c r="W3169" s="33"/>
      <c r="X3169" s="33"/>
      <c r="Y3169" s="33"/>
      <c r="Z3169" s="33"/>
      <c r="AA3169" s="33"/>
      <c r="AB3169" s="33"/>
    </row>
    <row r="3170" spans="1:28" x14ac:dyDescent="0.15">
      <c r="A3170" s="46" t="s">
        <v>6391</v>
      </c>
      <c r="B3170" s="52" t="s">
        <v>7361</v>
      </c>
      <c r="C3170" s="53" t="s">
        <v>6392</v>
      </c>
      <c r="D3170" s="54" t="s">
        <v>10607</v>
      </c>
      <c r="E3170" s="50">
        <f t="shared" si="108"/>
        <v>43.369863010000003</v>
      </c>
      <c r="F3170" s="51">
        <f t="shared" si="108"/>
        <v>4.6392153800000004</v>
      </c>
      <c r="H3170" s="33"/>
      <c r="I3170" s="33"/>
      <c r="J3170" s="33"/>
      <c r="K3170" s="33"/>
      <c r="L3170" s="33"/>
      <c r="M3170" s="33"/>
      <c r="N3170" s="33"/>
      <c r="O3170" s="33"/>
      <c r="P3170" s="33"/>
      <c r="Q3170" s="33"/>
      <c r="R3170" s="33"/>
      <c r="S3170" s="33"/>
      <c r="T3170" s="33"/>
      <c r="U3170" s="33"/>
      <c r="V3170" s="33"/>
      <c r="W3170" s="33"/>
      <c r="X3170" s="33"/>
      <c r="Y3170" s="33"/>
      <c r="Z3170" s="33"/>
      <c r="AA3170" s="33"/>
      <c r="AB3170" s="33"/>
    </row>
    <row r="3171" spans="1:28" x14ac:dyDescent="0.15">
      <c r="A3171" s="46" t="s">
        <v>6393</v>
      </c>
      <c r="B3171" s="52" t="s">
        <v>7361</v>
      </c>
      <c r="C3171" s="53" t="s">
        <v>6394</v>
      </c>
      <c r="D3171" s="54" t="s">
        <v>10608</v>
      </c>
      <c r="E3171" s="50">
        <f t="shared" si="108"/>
        <v>43.383561640000003</v>
      </c>
      <c r="F3171" s="51">
        <f t="shared" si="108"/>
        <v>4.6392063500000003</v>
      </c>
      <c r="H3171" s="33"/>
      <c r="I3171" s="33"/>
      <c r="J3171" s="33"/>
      <c r="K3171" s="33"/>
      <c r="L3171" s="33"/>
      <c r="M3171" s="33"/>
      <c r="N3171" s="33"/>
      <c r="O3171" s="33"/>
      <c r="P3171" s="33"/>
      <c r="Q3171" s="33"/>
      <c r="R3171" s="33"/>
      <c r="S3171" s="33"/>
      <c r="T3171" s="33"/>
      <c r="U3171" s="33"/>
      <c r="V3171" s="33"/>
      <c r="W3171" s="33"/>
      <c r="X3171" s="33"/>
      <c r="Y3171" s="33"/>
      <c r="Z3171" s="33"/>
      <c r="AA3171" s="33"/>
      <c r="AB3171" s="33"/>
    </row>
    <row r="3172" spans="1:28" x14ac:dyDescent="0.15">
      <c r="A3172" s="46" t="s">
        <v>6395</v>
      </c>
      <c r="B3172" s="52" t="s">
        <v>7361</v>
      </c>
      <c r="C3172" s="53" t="s">
        <v>6396</v>
      </c>
      <c r="D3172" s="54" t="s">
        <v>10609</v>
      </c>
      <c r="E3172" s="50">
        <f t="shared" si="108"/>
        <v>43.397260269999997</v>
      </c>
      <c r="F3172" s="51">
        <f t="shared" si="108"/>
        <v>4.6391974400000002</v>
      </c>
      <c r="H3172" s="33"/>
      <c r="I3172" s="33"/>
      <c r="J3172" s="33"/>
      <c r="K3172" s="33"/>
      <c r="L3172" s="33"/>
      <c r="M3172" s="33"/>
      <c r="N3172" s="33"/>
      <c r="O3172" s="33"/>
      <c r="P3172" s="33"/>
      <c r="Q3172" s="33"/>
      <c r="R3172" s="33"/>
      <c r="S3172" s="33"/>
      <c r="T3172" s="33"/>
      <c r="U3172" s="33"/>
      <c r="V3172" s="33"/>
      <c r="W3172" s="33"/>
      <c r="X3172" s="33"/>
      <c r="Y3172" s="33"/>
      <c r="Z3172" s="33"/>
      <c r="AA3172" s="33"/>
      <c r="AB3172" s="33"/>
    </row>
    <row r="3173" spans="1:28" x14ac:dyDescent="0.15">
      <c r="A3173" s="46" t="s">
        <v>6397</v>
      </c>
      <c r="B3173" s="52" t="s">
        <v>7361</v>
      </c>
      <c r="C3173" s="53" t="s">
        <v>6398</v>
      </c>
      <c r="D3173" s="54" t="s">
        <v>10610</v>
      </c>
      <c r="E3173" s="50">
        <f t="shared" si="108"/>
        <v>43.410958899999997</v>
      </c>
      <c r="F3173" s="51">
        <f t="shared" si="108"/>
        <v>4.6391886700000002</v>
      </c>
      <c r="H3173" s="33"/>
      <c r="I3173" s="33"/>
      <c r="J3173" s="33"/>
      <c r="K3173" s="33"/>
      <c r="L3173" s="33"/>
      <c r="M3173" s="33"/>
      <c r="N3173" s="33"/>
      <c r="O3173" s="33"/>
      <c r="P3173" s="33"/>
      <c r="Q3173" s="33"/>
      <c r="R3173" s="33"/>
      <c r="S3173" s="33"/>
      <c r="T3173" s="33"/>
      <c r="U3173" s="33"/>
      <c r="V3173" s="33"/>
      <c r="W3173" s="33"/>
      <c r="X3173" s="33"/>
      <c r="Y3173" s="33"/>
      <c r="Z3173" s="33"/>
      <c r="AA3173" s="33"/>
      <c r="AB3173" s="33"/>
    </row>
    <row r="3174" spans="1:28" x14ac:dyDescent="0.15">
      <c r="A3174" s="46" t="s">
        <v>6399</v>
      </c>
      <c r="B3174" s="52" t="s">
        <v>7361</v>
      </c>
      <c r="C3174" s="53" t="s">
        <v>6400</v>
      </c>
      <c r="D3174" s="54" t="s">
        <v>10611</v>
      </c>
      <c r="E3174" s="50">
        <f t="shared" si="108"/>
        <v>43.424657529999998</v>
      </c>
      <c r="F3174" s="51">
        <f t="shared" si="108"/>
        <v>4.6391800700000001</v>
      </c>
      <c r="H3174" s="33"/>
      <c r="I3174" s="33"/>
      <c r="J3174" s="33"/>
      <c r="K3174" s="33"/>
      <c r="L3174" s="33"/>
      <c r="M3174" s="33"/>
      <c r="N3174" s="33"/>
      <c r="O3174" s="33"/>
      <c r="P3174" s="33"/>
      <c r="Q3174" s="33"/>
      <c r="R3174" s="33"/>
      <c r="S3174" s="33"/>
      <c r="T3174" s="33"/>
      <c r="U3174" s="33"/>
      <c r="V3174" s="33"/>
      <c r="W3174" s="33"/>
      <c r="X3174" s="33"/>
      <c r="Y3174" s="33"/>
      <c r="Z3174" s="33"/>
      <c r="AA3174" s="33"/>
      <c r="AB3174" s="33"/>
    </row>
    <row r="3175" spans="1:28" x14ac:dyDescent="0.15">
      <c r="A3175" s="46" t="s">
        <v>6401</v>
      </c>
      <c r="B3175" s="52" t="s">
        <v>7361</v>
      </c>
      <c r="C3175" s="53" t="s">
        <v>6402</v>
      </c>
      <c r="D3175" s="54" t="s">
        <v>10612</v>
      </c>
      <c r="E3175" s="50">
        <f t="shared" si="108"/>
        <v>43.438356159999998</v>
      </c>
      <c r="F3175" s="51">
        <f t="shared" si="108"/>
        <v>4.6391716799999996</v>
      </c>
      <c r="H3175" s="33"/>
      <c r="I3175" s="33"/>
      <c r="J3175" s="33"/>
      <c r="K3175" s="33"/>
      <c r="L3175" s="33"/>
      <c r="M3175" s="33"/>
      <c r="N3175" s="33"/>
      <c r="O3175" s="33"/>
      <c r="P3175" s="33"/>
      <c r="Q3175" s="33"/>
      <c r="R3175" s="33"/>
      <c r="S3175" s="33"/>
      <c r="T3175" s="33"/>
      <c r="U3175" s="33"/>
      <c r="V3175" s="33"/>
      <c r="W3175" s="33"/>
      <c r="X3175" s="33"/>
      <c r="Y3175" s="33"/>
      <c r="Z3175" s="33"/>
      <c r="AA3175" s="33"/>
      <c r="AB3175" s="33"/>
    </row>
    <row r="3176" spans="1:28" x14ac:dyDescent="0.15">
      <c r="A3176" s="46" t="s">
        <v>6403</v>
      </c>
      <c r="B3176" s="52" t="s">
        <v>7361</v>
      </c>
      <c r="C3176" s="53" t="s">
        <v>6404</v>
      </c>
      <c r="D3176" s="54" t="s">
        <v>10613</v>
      </c>
      <c r="E3176" s="50">
        <f t="shared" si="108"/>
        <v>43.452054789999998</v>
      </c>
      <c r="F3176" s="51">
        <f t="shared" si="108"/>
        <v>4.6391635300000003</v>
      </c>
      <c r="H3176" s="33"/>
      <c r="I3176" s="33"/>
      <c r="J3176" s="33"/>
      <c r="K3176" s="33"/>
      <c r="L3176" s="33"/>
      <c r="M3176" s="33"/>
      <c r="N3176" s="33"/>
      <c r="O3176" s="33"/>
      <c r="P3176" s="33"/>
      <c r="Q3176" s="33"/>
      <c r="R3176" s="33"/>
      <c r="S3176" s="33"/>
      <c r="T3176" s="33"/>
      <c r="U3176" s="33"/>
      <c r="V3176" s="33"/>
      <c r="W3176" s="33"/>
      <c r="X3176" s="33"/>
      <c r="Y3176" s="33"/>
      <c r="Z3176" s="33"/>
      <c r="AA3176" s="33"/>
      <c r="AB3176" s="33"/>
    </row>
    <row r="3177" spans="1:28" x14ac:dyDescent="0.15">
      <c r="A3177" s="46" t="s">
        <v>6405</v>
      </c>
      <c r="B3177" s="52" t="s">
        <v>7361</v>
      </c>
      <c r="C3177" s="53" t="s">
        <v>6406</v>
      </c>
      <c r="D3177" s="54" t="s">
        <v>10614</v>
      </c>
      <c r="E3177" s="50">
        <f t="shared" si="108"/>
        <v>43.465753419999999</v>
      </c>
      <c r="F3177" s="51">
        <f t="shared" si="108"/>
        <v>4.6391556500000002</v>
      </c>
      <c r="H3177" s="33"/>
      <c r="I3177" s="33"/>
      <c r="J3177" s="33"/>
      <c r="K3177" s="33"/>
      <c r="L3177" s="33"/>
      <c r="M3177" s="33"/>
      <c r="N3177" s="33"/>
      <c r="O3177" s="33"/>
      <c r="P3177" s="33"/>
      <c r="Q3177" s="33"/>
      <c r="R3177" s="33"/>
      <c r="S3177" s="33"/>
      <c r="T3177" s="33"/>
      <c r="U3177" s="33"/>
      <c r="V3177" s="33"/>
      <c r="W3177" s="33"/>
      <c r="X3177" s="33"/>
      <c r="Y3177" s="33"/>
      <c r="Z3177" s="33"/>
      <c r="AA3177" s="33"/>
      <c r="AB3177" s="33"/>
    </row>
    <row r="3178" spans="1:28" x14ac:dyDescent="0.15">
      <c r="A3178" s="46" t="s">
        <v>6407</v>
      </c>
      <c r="B3178" s="52" t="s">
        <v>7361</v>
      </c>
      <c r="C3178" s="53" t="s">
        <v>6408</v>
      </c>
      <c r="D3178" s="54" t="s">
        <v>10615</v>
      </c>
      <c r="E3178" s="50">
        <f t="shared" si="108"/>
        <v>43.479452049999999</v>
      </c>
      <c r="F3178" s="51">
        <f t="shared" si="108"/>
        <v>4.6391480700000001</v>
      </c>
      <c r="H3178" s="33"/>
      <c r="I3178" s="33"/>
      <c r="J3178" s="33"/>
      <c r="K3178" s="33"/>
      <c r="L3178" s="33"/>
      <c r="M3178" s="33"/>
      <c r="N3178" s="33"/>
      <c r="O3178" s="33"/>
      <c r="P3178" s="33"/>
      <c r="Q3178" s="33"/>
      <c r="R3178" s="33"/>
      <c r="S3178" s="33"/>
      <c r="T3178" s="33"/>
      <c r="U3178" s="33"/>
      <c r="V3178" s="33"/>
      <c r="W3178" s="33"/>
      <c r="X3178" s="33"/>
      <c r="Y3178" s="33"/>
      <c r="Z3178" s="33"/>
      <c r="AA3178" s="33"/>
      <c r="AB3178" s="33"/>
    </row>
    <row r="3179" spans="1:28" x14ac:dyDescent="0.15">
      <c r="A3179" s="46" t="s">
        <v>6409</v>
      </c>
      <c r="B3179" s="52" t="s">
        <v>7361</v>
      </c>
      <c r="C3179" s="53" t="s">
        <v>6410</v>
      </c>
      <c r="D3179" s="54" t="s">
        <v>10616</v>
      </c>
      <c r="E3179" s="50">
        <f t="shared" si="108"/>
        <v>43.493150679999999</v>
      </c>
      <c r="F3179" s="51">
        <f t="shared" si="108"/>
        <v>4.6391408199999997</v>
      </c>
      <c r="H3179" s="33"/>
      <c r="I3179" s="33"/>
      <c r="J3179" s="33"/>
      <c r="K3179" s="33"/>
      <c r="L3179" s="33"/>
      <c r="M3179" s="33"/>
      <c r="N3179" s="33"/>
      <c r="O3179" s="33"/>
      <c r="P3179" s="33"/>
      <c r="Q3179" s="33"/>
      <c r="R3179" s="33"/>
      <c r="S3179" s="33"/>
      <c r="T3179" s="33"/>
      <c r="U3179" s="33"/>
      <c r="V3179" s="33"/>
      <c r="W3179" s="33"/>
      <c r="X3179" s="33"/>
      <c r="Y3179" s="33"/>
      <c r="Z3179" s="33"/>
      <c r="AA3179" s="33"/>
      <c r="AB3179" s="33"/>
    </row>
    <row r="3180" spans="1:28" x14ac:dyDescent="0.15">
      <c r="A3180" s="46" t="s">
        <v>6411</v>
      </c>
      <c r="B3180" s="52" t="s">
        <v>7361</v>
      </c>
      <c r="C3180" s="53" t="s">
        <v>6412</v>
      </c>
      <c r="D3180" s="54" t="s">
        <v>10617</v>
      </c>
      <c r="E3180" s="50">
        <f t="shared" si="108"/>
        <v>43.506849320000001</v>
      </c>
      <c r="F3180" s="51">
        <f t="shared" si="108"/>
        <v>4.6391337899999998</v>
      </c>
      <c r="H3180" s="33"/>
      <c r="I3180" s="33"/>
      <c r="J3180" s="33"/>
      <c r="K3180" s="33"/>
      <c r="L3180" s="33"/>
      <c r="M3180" s="33"/>
      <c r="N3180" s="33"/>
      <c r="O3180" s="33"/>
      <c r="P3180" s="33"/>
      <c r="Q3180" s="33"/>
      <c r="R3180" s="33"/>
      <c r="S3180" s="33"/>
      <c r="T3180" s="33"/>
      <c r="U3180" s="33"/>
      <c r="V3180" s="33"/>
      <c r="W3180" s="33"/>
      <c r="X3180" s="33"/>
      <c r="Y3180" s="33"/>
      <c r="Z3180" s="33"/>
      <c r="AA3180" s="33"/>
      <c r="AB3180" s="33"/>
    </row>
    <row r="3181" spans="1:28" x14ac:dyDescent="0.15">
      <c r="A3181" s="46" t="s">
        <v>6413</v>
      </c>
      <c r="B3181" s="52" t="s">
        <v>7361</v>
      </c>
      <c r="C3181" s="53" t="s">
        <v>6414</v>
      </c>
      <c r="D3181" s="54" t="s">
        <v>10618</v>
      </c>
      <c r="E3181" s="50">
        <f t="shared" si="108"/>
        <v>43.520547950000001</v>
      </c>
      <c r="F3181" s="51">
        <f t="shared" si="108"/>
        <v>4.6391261799999999</v>
      </c>
      <c r="H3181" s="33"/>
      <c r="I3181" s="33"/>
      <c r="J3181" s="33"/>
      <c r="K3181" s="33"/>
      <c r="L3181" s="33"/>
      <c r="M3181" s="33"/>
      <c r="N3181" s="33"/>
      <c r="O3181" s="33"/>
      <c r="P3181" s="33"/>
      <c r="Q3181" s="33"/>
      <c r="R3181" s="33"/>
      <c r="S3181" s="33"/>
      <c r="T3181" s="33"/>
      <c r="U3181" s="33"/>
      <c r="V3181" s="33"/>
      <c r="W3181" s="33"/>
      <c r="X3181" s="33"/>
      <c r="Y3181" s="33"/>
      <c r="Z3181" s="33"/>
      <c r="AA3181" s="33"/>
      <c r="AB3181" s="33"/>
    </row>
    <row r="3182" spans="1:28" x14ac:dyDescent="0.15">
      <c r="A3182" s="46" t="s">
        <v>6415</v>
      </c>
      <c r="B3182" s="52" t="s">
        <v>7361</v>
      </c>
      <c r="C3182" s="53" t="s">
        <v>6416</v>
      </c>
      <c r="D3182" s="54" t="s">
        <v>10619</v>
      </c>
      <c r="E3182" s="50">
        <f t="shared" si="108"/>
        <v>43.534246580000001</v>
      </c>
      <c r="F3182" s="51">
        <f t="shared" si="108"/>
        <v>4.6391178799999997</v>
      </c>
      <c r="H3182" s="33"/>
      <c r="I3182" s="33"/>
      <c r="J3182" s="33"/>
      <c r="K3182" s="33"/>
      <c r="L3182" s="33"/>
      <c r="M3182" s="33"/>
      <c r="N3182" s="33"/>
      <c r="O3182" s="33"/>
      <c r="P3182" s="33"/>
      <c r="Q3182" s="33"/>
      <c r="R3182" s="33"/>
      <c r="S3182" s="33"/>
      <c r="T3182" s="33"/>
      <c r="U3182" s="33"/>
      <c r="V3182" s="33"/>
      <c r="W3182" s="33"/>
      <c r="X3182" s="33"/>
      <c r="Y3182" s="33"/>
      <c r="Z3182" s="33"/>
      <c r="AA3182" s="33"/>
      <c r="AB3182" s="33"/>
    </row>
    <row r="3183" spans="1:28" x14ac:dyDescent="0.15">
      <c r="A3183" s="46" t="s">
        <v>6417</v>
      </c>
      <c r="B3183" s="52" t="s">
        <v>7361</v>
      </c>
      <c r="C3183" s="53" t="s">
        <v>6418</v>
      </c>
      <c r="D3183" s="54" t="s">
        <v>10620</v>
      </c>
      <c r="E3183" s="50">
        <f t="shared" si="108"/>
        <v>43.547945210000002</v>
      </c>
      <c r="F3183" s="51">
        <f t="shared" si="108"/>
        <v>4.63910891</v>
      </c>
      <c r="H3183" s="33"/>
      <c r="I3183" s="33"/>
      <c r="J3183" s="33"/>
      <c r="K3183" s="33"/>
      <c r="L3183" s="33"/>
      <c r="M3183" s="33"/>
      <c r="N3183" s="33"/>
      <c r="O3183" s="33"/>
      <c r="P3183" s="33"/>
      <c r="Q3183" s="33"/>
      <c r="R3183" s="33"/>
      <c r="S3183" s="33"/>
      <c r="T3183" s="33"/>
      <c r="U3183" s="33"/>
      <c r="V3183" s="33"/>
      <c r="W3183" s="33"/>
      <c r="X3183" s="33"/>
      <c r="Y3183" s="33"/>
      <c r="Z3183" s="33"/>
      <c r="AA3183" s="33"/>
      <c r="AB3183" s="33"/>
    </row>
    <row r="3184" spans="1:28" x14ac:dyDescent="0.15">
      <c r="A3184" s="46" t="s">
        <v>6419</v>
      </c>
      <c r="B3184" s="52" t="s">
        <v>7361</v>
      </c>
      <c r="C3184" s="53" t="s">
        <v>6420</v>
      </c>
      <c r="D3184" s="54" t="s">
        <v>10621</v>
      </c>
      <c r="E3184" s="50">
        <f t="shared" si="108"/>
        <v>43.561643840000002</v>
      </c>
      <c r="F3184" s="51">
        <f t="shared" si="108"/>
        <v>4.6390993099999998</v>
      </c>
      <c r="H3184" s="33"/>
      <c r="I3184" s="33"/>
      <c r="J3184" s="33"/>
      <c r="K3184" s="33"/>
      <c r="L3184" s="33"/>
      <c r="M3184" s="33"/>
      <c r="N3184" s="33"/>
      <c r="O3184" s="33"/>
      <c r="P3184" s="33"/>
      <c r="Q3184" s="33"/>
      <c r="R3184" s="33"/>
      <c r="S3184" s="33"/>
      <c r="T3184" s="33"/>
      <c r="U3184" s="33"/>
      <c r="V3184" s="33"/>
      <c r="W3184" s="33"/>
      <c r="X3184" s="33"/>
      <c r="Y3184" s="33"/>
      <c r="Z3184" s="33"/>
      <c r="AA3184" s="33"/>
      <c r="AB3184" s="33"/>
    </row>
    <row r="3185" spans="1:28" x14ac:dyDescent="0.15">
      <c r="A3185" s="46" t="s">
        <v>6421</v>
      </c>
      <c r="B3185" s="52" t="s">
        <v>7361</v>
      </c>
      <c r="C3185" s="53" t="s">
        <v>6422</v>
      </c>
      <c r="D3185" s="54" t="s">
        <v>10622</v>
      </c>
      <c r="E3185" s="50">
        <f t="shared" si="108"/>
        <v>43.575342470000002</v>
      </c>
      <c r="F3185" s="51">
        <f t="shared" si="108"/>
        <v>4.6390890999999996</v>
      </c>
      <c r="H3185" s="33"/>
      <c r="I3185" s="33"/>
      <c r="J3185" s="33"/>
      <c r="K3185" s="33"/>
      <c r="L3185" s="33"/>
      <c r="M3185" s="33"/>
      <c r="N3185" s="33"/>
      <c r="O3185" s="33"/>
      <c r="P3185" s="33"/>
      <c r="Q3185" s="33"/>
      <c r="R3185" s="33"/>
      <c r="S3185" s="33"/>
      <c r="T3185" s="33"/>
      <c r="U3185" s="33"/>
      <c r="V3185" s="33"/>
      <c r="W3185" s="33"/>
      <c r="X3185" s="33"/>
      <c r="Y3185" s="33"/>
      <c r="Z3185" s="33"/>
      <c r="AA3185" s="33"/>
      <c r="AB3185" s="33"/>
    </row>
    <row r="3186" spans="1:28" x14ac:dyDescent="0.15">
      <c r="A3186" s="46" t="s">
        <v>6423</v>
      </c>
      <c r="B3186" s="52" t="s">
        <v>7361</v>
      </c>
      <c r="C3186" s="53" t="s">
        <v>6424</v>
      </c>
      <c r="D3186" s="54" t="s">
        <v>10623</v>
      </c>
      <c r="E3186" s="50">
        <f t="shared" si="108"/>
        <v>43.589041100000003</v>
      </c>
      <c r="F3186" s="51">
        <f t="shared" si="108"/>
        <v>4.6390783300000002</v>
      </c>
      <c r="H3186" s="33"/>
      <c r="I3186" s="33"/>
      <c r="J3186" s="33"/>
      <c r="K3186" s="33"/>
      <c r="L3186" s="33"/>
      <c r="M3186" s="33"/>
      <c r="N3186" s="33"/>
      <c r="O3186" s="33"/>
      <c r="P3186" s="33"/>
      <c r="Q3186" s="33"/>
      <c r="R3186" s="33"/>
      <c r="S3186" s="33"/>
      <c r="T3186" s="33"/>
      <c r="U3186" s="33"/>
      <c r="V3186" s="33"/>
      <c r="W3186" s="33"/>
      <c r="X3186" s="33"/>
      <c r="Y3186" s="33"/>
      <c r="Z3186" s="33"/>
      <c r="AA3186" s="33"/>
      <c r="AB3186" s="33"/>
    </row>
    <row r="3187" spans="1:28" x14ac:dyDescent="0.15">
      <c r="A3187" s="46" t="s">
        <v>6425</v>
      </c>
      <c r="B3187" s="52" t="s">
        <v>7361</v>
      </c>
      <c r="C3187" s="53" t="s">
        <v>6426</v>
      </c>
      <c r="D3187" s="54" t="s">
        <v>10624</v>
      </c>
      <c r="E3187" s="50">
        <f t="shared" si="108"/>
        <v>43.602739730000003</v>
      </c>
      <c r="F3187" s="51">
        <f t="shared" si="108"/>
        <v>4.6390670099999998</v>
      </c>
      <c r="H3187" s="33"/>
      <c r="I3187" s="33"/>
      <c r="J3187" s="33"/>
      <c r="K3187" s="33"/>
      <c r="L3187" s="33"/>
      <c r="M3187" s="33"/>
      <c r="N3187" s="33"/>
      <c r="O3187" s="33"/>
      <c r="P3187" s="33"/>
      <c r="Q3187" s="33"/>
      <c r="R3187" s="33"/>
      <c r="S3187" s="33"/>
      <c r="T3187" s="33"/>
      <c r="U3187" s="33"/>
      <c r="V3187" s="33"/>
      <c r="W3187" s="33"/>
      <c r="X3187" s="33"/>
      <c r="Y3187" s="33"/>
      <c r="Z3187" s="33"/>
      <c r="AA3187" s="33"/>
      <c r="AB3187" s="33"/>
    </row>
    <row r="3188" spans="1:28" x14ac:dyDescent="0.15">
      <c r="A3188" s="46" t="s">
        <v>6427</v>
      </c>
      <c r="B3188" s="52" t="s">
        <v>7361</v>
      </c>
      <c r="C3188" s="53" t="s">
        <v>6428</v>
      </c>
      <c r="D3188" s="54" t="s">
        <v>10625</v>
      </c>
      <c r="E3188" s="50">
        <f t="shared" si="108"/>
        <v>43.616438359999997</v>
      </c>
      <c r="F3188" s="51">
        <f t="shared" si="108"/>
        <v>4.6390551799999997</v>
      </c>
      <c r="H3188" s="33"/>
      <c r="I3188" s="33"/>
      <c r="J3188" s="33"/>
      <c r="K3188" s="33"/>
      <c r="L3188" s="33"/>
      <c r="M3188" s="33"/>
      <c r="N3188" s="33"/>
      <c r="O3188" s="33"/>
      <c r="P3188" s="33"/>
      <c r="Q3188" s="33"/>
      <c r="R3188" s="33"/>
      <c r="S3188" s="33"/>
      <c r="T3188" s="33"/>
      <c r="U3188" s="33"/>
      <c r="V3188" s="33"/>
      <c r="W3188" s="33"/>
      <c r="X3188" s="33"/>
      <c r="Y3188" s="33"/>
      <c r="Z3188" s="33"/>
      <c r="AA3188" s="33"/>
      <c r="AB3188" s="33"/>
    </row>
    <row r="3189" spans="1:28" x14ac:dyDescent="0.15">
      <c r="A3189" s="46" t="s">
        <v>6429</v>
      </c>
      <c r="B3189" s="52" t="s">
        <v>7361</v>
      </c>
      <c r="C3189" s="53" t="s">
        <v>6430</v>
      </c>
      <c r="D3189" s="54" t="s">
        <v>10626</v>
      </c>
      <c r="E3189" s="50">
        <f t="shared" ref="E3189:F3218" si="109">VALUE(C3189)</f>
        <v>43.630136989999997</v>
      </c>
      <c r="F3189" s="51">
        <f t="shared" si="109"/>
        <v>4.6390428699999999</v>
      </c>
      <c r="H3189" s="33"/>
      <c r="I3189" s="33"/>
      <c r="J3189" s="33"/>
      <c r="K3189" s="33"/>
      <c r="L3189" s="33"/>
      <c r="M3189" s="33"/>
      <c r="N3189" s="33"/>
      <c r="O3189" s="33"/>
      <c r="P3189" s="33"/>
      <c r="Q3189" s="33"/>
      <c r="R3189" s="33"/>
      <c r="S3189" s="33"/>
      <c r="T3189" s="33"/>
      <c r="U3189" s="33"/>
      <c r="V3189" s="33"/>
      <c r="W3189" s="33"/>
      <c r="X3189" s="33"/>
      <c r="Y3189" s="33"/>
      <c r="Z3189" s="33"/>
      <c r="AA3189" s="33"/>
      <c r="AB3189" s="33"/>
    </row>
    <row r="3190" spans="1:28" x14ac:dyDescent="0.15">
      <c r="A3190" s="46" t="s">
        <v>6431</v>
      </c>
      <c r="B3190" s="52" t="s">
        <v>7361</v>
      </c>
      <c r="C3190" s="53" t="s">
        <v>6432</v>
      </c>
      <c r="D3190" s="54" t="s">
        <v>10627</v>
      </c>
      <c r="E3190" s="50">
        <f t="shared" si="109"/>
        <v>43.643835619999997</v>
      </c>
      <c r="F3190" s="51">
        <f t="shared" si="109"/>
        <v>4.6390301100000002</v>
      </c>
      <c r="H3190" s="33"/>
      <c r="I3190" s="33"/>
      <c r="J3190" s="33"/>
      <c r="K3190" s="33"/>
      <c r="L3190" s="33"/>
      <c r="M3190" s="33"/>
      <c r="N3190" s="33"/>
      <c r="O3190" s="33"/>
      <c r="P3190" s="33"/>
      <c r="Q3190" s="33"/>
      <c r="R3190" s="33"/>
      <c r="S3190" s="33"/>
      <c r="T3190" s="33"/>
      <c r="U3190" s="33"/>
      <c r="V3190" s="33"/>
      <c r="W3190" s="33"/>
      <c r="X3190" s="33"/>
      <c r="Y3190" s="33"/>
      <c r="Z3190" s="33"/>
      <c r="AA3190" s="33"/>
      <c r="AB3190" s="33"/>
    </row>
    <row r="3191" spans="1:28" x14ac:dyDescent="0.15">
      <c r="A3191" s="46" t="s">
        <v>6433</v>
      </c>
      <c r="B3191" s="52" t="s">
        <v>7361</v>
      </c>
      <c r="C3191" s="53" t="s">
        <v>6434</v>
      </c>
      <c r="D3191" s="54" t="s">
        <v>10628</v>
      </c>
      <c r="E3191" s="50">
        <f t="shared" si="109"/>
        <v>43.657534249999998</v>
      </c>
      <c r="F3191" s="51">
        <f t="shared" si="109"/>
        <v>4.6390169300000004</v>
      </c>
      <c r="H3191" s="33"/>
      <c r="I3191" s="33"/>
      <c r="J3191" s="33"/>
      <c r="K3191" s="33"/>
      <c r="L3191" s="33"/>
      <c r="M3191" s="33"/>
      <c r="N3191" s="33"/>
      <c r="O3191" s="33"/>
      <c r="P3191" s="33"/>
      <c r="Q3191" s="33"/>
      <c r="R3191" s="33"/>
      <c r="S3191" s="33"/>
      <c r="T3191" s="33"/>
      <c r="U3191" s="33"/>
      <c r="V3191" s="33"/>
      <c r="W3191" s="33"/>
      <c r="X3191" s="33"/>
      <c r="Y3191" s="33"/>
      <c r="Z3191" s="33"/>
      <c r="AA3191" s="33"/>
      <c r="AB3191" s="33"/>
    </row>
    <row r="3192" spans="1:28" x14ac:dyDescent="0.15">
      <c r="A3192" s="46" t="s">
        <v>6435</v>
      </c>
      <c r="B3192" s="52" t="s">
        <v>7361</v>
      </c>
      <c r="C3192" s="53" t="s">
        <v>6436</v>
      </c>
      <c r="D3192" s="54" t="s">
        <v>10629</v>
      </c>
      <c r="E3192" s="50">
        <f t="shared" si="109"/>
        <v>43.671232879999998</v>
      </c>
      <c r="F3192" s="51">
        <f t="shared" si="109"/>
        <v>4.6390033600000002</v>
      </c>
      <c r="H3192" s="33"/>
      <c r="I3192" s="33"/>
      <c r="J3192" s="33"/>
      <c r="K3192" s="33"/>
      <c r="L3192" s="33"/>
      <c r="M3192" s="33"/>
      <c r="N3192" s="33"/>
      <c r="O3192" s="33"/>
      <c r="P3192" s="33"/>
      <c r="Q3192" s="33"/>
      <c r="R3192" s="33"/>
      <c r="S3192" s="33"/>
      <c r="T3192" s="33"/>
      <c r="U3192" s="33"/>
      <c r="V3192" s="33"/>
      <c r="W3192" s="33"/>
      <c r="X3192" s="33"/>
      <c r="Y3192" s="33"/>
      <c r="Z3192" s="33"/>
      <c r="AA3192" s="33"/>
      <c r="AB3192" s="33"/>
    </row>
    <row r="3193" spans="1:28" x14ac:dyDescent="0.15">
      <c r="A3193" s="46" t="s">
        <v>6437</v>
      </c>
      <c r="B3193" s="52" t="s">
        <v>7361</v>
      </c>
      <c r="C3193" s="53" t="s">
        <v>6438</v>
      </c>
      <c r="D3193" s="54" t="s">
        <v>10630</v>
      </c>
      <c r="E3193" s="50">
        <f t="shared" si="109"/>
        <v>43.684931509999998</v>
      </c>
      <c r="F3193" s="51">
        <f t="shared" si="109"/>
        <v>4.6389894299999996</v>
      </c>
      <c r="H3193" s="33"/>
      <c r="I3193" s="33"/>
      <c r="J3193" s="33"/>
      <c r="K3193" s="33"/>
      <c r="L3193" s="33"/>
      <c r="M3193" s="33"/>
      <c r="N3193" s="33"/>
      <c r="O3193" s="33"/>
      <c r="P3193" s="33"/>
      <c r="Q3193" s="33"/>
      <c r="R3193" s="33"/>
      <c r="S3193" s="33"/>
      <c r="T3193" s="33"/>
      <c r="U3193" s="33"/>
      <c r="V3193" s="33"/>
      <c r="W3193" s="33"/>
      <c r="X3193" s="33"/>
      <c r="Y3193" s="33"/>
      <c r="Z3193" s="33"/>
      <c r="AA3193" s="33"/>
      <c r="AB3193" s="33"/>
    </row>
    <row r="3194" spans="1:28" x14ac:dyDescent="0.15">
      <c r="A3194" s="46" t="s">
        <v>6439</v>
      </c>
      <c r="B3194" s="52" t="s">
        <v>7361</v>
      </c>
      <c r="C3194" s="53" t="s">
        <v>6440</v>
      </c>
      <c r="D3194" s="54" t="s">
        <v>10631</v>
      </c>
      <c r="E3194" s="50">
        <f t="shared" si="109"/>
        <v>43.698630139999999</v>
      </c>
      <c r="F3194" s="51">
        <f t="shared" si="109"/>
        <v>4.6389751800000001</v>
      </c>
      <c r="H3194" s="33"/>
      <c r="I3194" s="33"/>
      <c r="J3194" s="33"/>
      <c r="K3194" s="33"/>
      <c r="L3194" s="33"/>
      <c r="M3194" s="33"/>
      <c r="N3194" s="33"/>
      <c r="O3194" s="33"/>
      <c r="P3194" s="33"/>
      <c r="Q3194" s="33"/>
      <c r="R3194" s="33"/>
      <c r="S3194" s="33"/>
      <c r="T3194" s="33"/>
      <c r="U3194" s="33"/>
      <c r="V3194" s="33"/>
      <c r="W3194" s="33"/>
      <c r="X3194" s="33"/>
      <c r="Y3194" s="33"/>
      <c r="Z3194" s="33"/>
      <c r="AA3194" s="33"/>
      <c r="AB3194" s="33"/>
    </row>
    <row r="3195" spans="1:28" x14ac:dyDescent="0.15">
      <c r="A3195" s="46" t="s">
        <v>6441</v>
      </c>
      <c r="B3195" s="52" t="s">
        <v>7361</v>
      </c>
      <c r="C3195" s="53" t="s">
        <v>6442</v>
      </c>
      <c r="D3195" s="54" t="s">
        <v>10632</v>
      </c>
      <c r="E3195" s="50">
        <f t="shared" si="109"/>
        <v>43.712328769999999</v>
      </c>
      <c r="F3195" s="51">
        <f t="shared" si="109"/>
        <v>4.6389606199999998</v>
      </c>
      <c r="H3195" s="33"/>
      <c r="I3195" s="33"/>
      <c r="J3195" s="33"/>
      <c r="K3195" s="33"/>
      <c r="L3195" s="33"/>
      <c r="M3195" s="33"/>
      <c r="N3195" s="33"/>
      <c r="O3195" s="33"/>
      <c r="P3195" s="33"/>
      <c r="Q3195" s="33"/>
      <c r="R3195" s="33"/>
      <c r="S3195" s="33"/>
      <c r="T3195" s="33"/>
      <c r="U3195" s="33"/>
      <c r="V3195" s="33"/>
      <c r="W3195" s="33"/>
      <c r="X3195" s="33"/>
      <c r="Y3195" s="33"/>
      <c r="Z3195" s="33"/>
      <c r="AA3195" s="33"/>
      <c r="AB3195" s="33"/>
    </row>
    <row r="3196" spans="1:28" x14ac:dyDescent="0.15">
      <c r="A3196" s="46" t="s">
        <v>6443</v>
      </c>
      <c r="B3196" s="52" t="s">
        <v>7361</v>
      </c>
      <c r="C3196" s="53" t="s">
        <v>6444</v>
      </c>
      <c r="D3196" s="54" t="s">
        <v>10633</v>
      </c>
      <c r="E3196" s="50">
        <f t="shared" si="109"/>
        <v>43.7260274</v>
      </c>
      <c r="F3196" s="51">
        <f t="shared" si="109"/>
        <v>4.6389457900000002</v>
      </c>
      <c r="H3196" s="33"/>
      <c r="I3196" s="33"/>
      <c r="J3196" s="33"/>
      <c r="K3196" s="33"/>
      <c r="L3196" s="33"/>
      <c r="M3196" s="33"/>
      <c r="N3196" s="33"/>
      <c r="O3196" s="33"/>
      <c r="P3196" s="33"/>
      <c r="Q3196" s="33"/>
      <c r="R3196" s="33"/>
      <c r="S3196" s="33"/>
      <c r="T3196" s="33"/>
      <c r="U3196" s="33"/>
      <c r="V3196" s="33"/>
      <c r="W3196" s="33"/>
      <c r="X3196" s="33"/>
      <c r="Y3196" s="33"/>
      <c r="Z3196" s="33"/>
      <c r="AA3196" s="33"/>
      <c r="AB3196" s="33"/>
    </row>
    <row r="3197" spans="1:28" x14ac:dyDescent="0.15">
      <c r="A3197" s="46" t="s">
        <v>6445</v>
      </c>
      <c r="B3197" s="52" t="s">
        <v>7361</v>
      </c>
      <c r="C3197" s="53" t="s">
        <v>6446</v>
      </c>
      <c r="D3197" s="54" t="s">
        <v>10634</v>
      </c>
      <c r="E3197" s="50">
        <f t="shared" si="109"/>
        <v>43.73972603</v>
      </c>
      <c r="F3197" s="51">
        <f t="shared" si="109"/>
        <v>4.6389307300000002</v>
      </c>
      <c r="H3197" s="33"/>
      <c r="I3197" s="33"/>
      <c r="J3197" s="33"/>
      <c r="K3197" s="33"/>
      <c r="L3197" s="33"/>
      <c r="M3197" s="33"/>
      <c r="N3197" s="33"/>
      <c r="O3197" s="33"/>
      <c r="P3197" s="33"/>
      <c r="Q3197" s="33"/>
      <c r="R3197" s="33"/>
      <c r="S3197" s="33"/>
      <c r="T3197" s="33"/>
      <c r="U3197" s="33"/>
      <c r="V3197" s="33"/>
      <c r="W3197" s="33"/>
      <c r="X3197" s="33"/>
      <c r="Y3197" s="33"/>
      <c r="Z3197" s="33"/>
      <c r="AA3197" s="33"/>
      <c r="AB3197" s="33"/>
    </row>
    <row r="3198" spans="1:28" x14ac:dyDescent="0.15">
      <c r="A3198" s="46" t="s">
        <v>6447</v>
      </c>
      <c r="B3198" s="52" t="s">
        <v>7361</v>
      </c>
      <c r="C3198" s="53" t="s">
        <v>6448</v>
      </c>
      <c r="D3198" s="54" t="s">
        <v>10635</v>
      </c>
      <c r="E3198" s="50">
        <f t="shared" si="109"/>
        <v>43.75342466</v>
      </c>
      <c r="F3198" s="51">
        <f t="shared" si="109"/>
        <v>4.6389154599999998</v>
      </c>
      <c r="H3198" s="33"/>
      <c r="I3198" s="33"/>
      <c r="J3198" s="33"/>
      <c r="K3198" s="33"/>
      <c r="L3198" s="33"/>
      <c r="M3198" s="33"/>
      <c r="N3198" s="33"/>
      <c r="O3198" s="33"/>
      <c r="P3198" s="33"/>
      <c r="Q3198" s="33"/>
      <c r="R3198" s="33"/>
      <c r="S3198" s="33"/>
      <c r="T3198" s="33"/>
      <c r="U3198" s="33"/>
      <c r="V3198" s="33"/>
      <c r="W3198" s="33"/>
      <c r="X3198" s="33"/>
      <c r="Y3198" s="33"/>
      <c r="Z3198" s="33"/>
      <c r="AA3198" s="33"/>
      <c r="AB3198" s="33"/>
    </row>
    <row r="3199" spans="1:28" x14ac:dyDescent="0.15">
      <c r="A3199" s="46" t="s">
        <v>6449</v>
      </c>
      <c r="B3199" s="52" t="s">
        <v>7361</v>
      </c>
      <c r="C3199" s="53" t="s">
        <v>6450</v>
      </c>
      <c r="D3199" s="54" t="s">
        <v>10636</v>
      </c>
      <c r="E3199" s="50">
        <f t="shared" si="109"/>
        <v>43.767123290000001</v>
      </c>
      <c r="F3199" s="51">
        <f t="shared" si="109"/>
        <v>4.6389000100000004</v>
      </c>
      <c r="H3199" s="33"/>
      <c r="I3199" s="33"/>
      <c r="J3199" s="33"/>
      <c r="K3199" s="33"/>
      <c r="L3199" s="33"/>
      <c r="M3199" s="33"/>
      <c r="N3199" s="33"/>
      <c r="O3199" s="33"/>
      <c r="P3199" s="33"/>
      <c r="Q3199" s="33"/>
      <c r="R3199" s="33"/>
      <c r="S3199" s="33"/>
      <c r="T3199" s="33"/>
      <c r="U3199" s="33"/>
      <c r="V3199" s="33"/>
      <c r="W3199" s="33"/>
      <c r="X3199" s="33"/>
      <c r="Y3199" s="33"/>
      <c r="Z3199" s="33"/>
      <c r="AA3199" s="33"/>
      <c r="AB3199" s="33"/>
    </row>
    <row r="3200" spans="1:28" x14ac:dyDescent="0.15">
      <c r="A3200" s="46" t="s">
        <v>6451</v>
      </c>
      <c r="B3200" s="52" t="s">
        <v>7361</v>
      </c>
      <c r="C3200" s="53" t="s">
        <v>6452</v>
      </c>
      <c r="D3200" s="54" t="s">
        <v>10637</v>
      </c>
      <c r="E3200" s="50">
        <f t="shared" si="109"/>
        <v>43.780821920000001</v>
      </c>
      <c r="F3200" s="51">
        <f t="shared" si="109"/>
        <v>4.6388844200000001</v>
      </c>
      <c r="H3200" s="33"/>
      <c r="I3200" s="33"/>
      <c r="J3200" s="33"/>
      <c r="K3200" s="33"/>
      <c r="L3200" s="33"/>
      <c r="M3200" s="33"/>
      <c r="N3200" s="33"/>
      <c r="O3200" s="33"/>
      <c r="P3200" s="33"/>
      <c r="Q3200" s="33"/>
      <c r="R3200" s="33"/>
      <c r="S3200" s="33"/>
      <c r="T3200" s="33"/>
      <c r="U3200" s="33"/>
      <c r="V3200" s="33"/>
      <c r="W3200" s="33"/>
      <c r="X3200" s="33"/>
      <c r="Y3200" s="33"/>
      <c r="Z3200" s="33"/>
      <c r="AA3200" s="33"/>
      <c r="AB3200" s="33"/>
    </row>
    <row r="3201" spans="1:28" x14ac:dyDescent="0.15">
      <c r="A3201" s="46" t="s">
        <v>6453</v>
      </c>
      <c r="B3201" s="52" t="s">
        <v>7361</v>
      </c>
      <c r="C3201" s="53" t="s">
        <v>6454</v>
      </c>
      <c r="D3201" s="54" t="s">
        <v>10638</v>
      </c>
      <c r="E3201" s="50">
        <f t="shared" si="109"/>
        <v>43.794520550000001</v>
      </c>
      <c r="F3201" s="51">
        <f t="shared" si="109"/>
        <v>4.6388687099999997</v>
      </c>
      <c r="H3201" s="33"/>
      <c r="I3201" s="33"/>
      <c r="J3201" s="33"/>
      <c r="K3201" s="33"/>
      <c r="L3201" s="33"/>
      <c r="M3201" s="33"/>
      <c r="N3201" s="33"/>
      <c r="O3201" s="33"/>
      <c r="P3201" s="33"/>
      <c r="Q3201" s="33"/>
      <c r="R3201" s="33"/>
      <c r="S3201" s="33"/>
      <c r="T3201" s="33"/>
      <c r="U3201" s="33"/>
      <c r="V3201" s="33"/>
      <c r="W3201" s="33"/>
      <c r="X3201" s="33"/>
      <c r="Y3201" s="33"/>
      <c r="Z3201" s="33"/>
      <c r="AA3201" s="33"/>
      <c r="AB3201" s="33"/>
    </row>
    <row r="3202" spans="1:28" x14ac:dyDescent="0.15">
      <c r="A3202" s="46" t="s">
        <v>6455</v>
      </c>
      <c r="B3202" s="52" t="s">
        <v>7361</v>
      </c>
      <c r="C3202" s="53" t="s">
        <v>6456</v>
      </c>
      <c r="D3202" s="54" t="s">
        <v>10639</v>
      </c>
      <c r="E3202" s="50">
        <f t="shared" si="109"/>
        <v>43.808219180000002</v>
      </c>
      <c r="F3202" s="51">
        <f t="shared" si="109"/>
        <v>4.6388529099999998</v>
      </c>
      <c r="H3202" s="33"/>
      <c r="I3202" s="33"/>
      <c r="J3202" s="33"/>
      <c r="K3202" s="33"/>
      <c r="L3202" s="33"/>
      <c r="M3202" s="33"/>
      <c r="N3202" s="33"/>
      <c r="O3202" s="33"/>
      <c r="P3202" s="33"/>
      <c r="Q3202" s="33"/>
      <c r="R3202" s="33"/>
      <c r="S3202" s="33"/>
      <c r="T3202" s="33"/>
      <c r="U3202" s="33"/>
      <c r="V3202" s="33"/>
      <c r="W3202" s="33"/>
      <c r="X3202" s="33"/>
      <c r="Y3202" s="33"/>
      <c r="Z3202" s="33"/>
      <c r="AA3202" s="33"/>
      <c r="AB3202" s="33"/>
    </row>
    <row r="3203" spans="1:28" x14ac:dyDescent="0.15">
      <c r="A3203" s="46" t="s">
        <v>6457</v>
      </c>
      <c r="B3203" s="52" t="s">
        <v>7361</v>
      </c>
      <c r="C3203" s="53" t="s">
        <v>6458</v>
      </c>
      <c r="D3203" s="54" t="s">
        <v>10640</v>
      </c>
      <c r="E3203" s="50">
        <f t="shared" si="109"/>
        <v>43.821917810000002</v>
      </c>
      <c r="F3203" s="51">
        <f t="shared" si="109"/>
        <v>4.6388370600000002</v>
      </c>
      <c r="H3203" s="33"/>
      <c r="I3203" s="33"/>
      <c r="J3203" s="33"/>
      <c r="K3203" s="33"/>
      <c r="L3203" s="33"/>
      <c r="M3203" s="33"/>
      <c r="N3203" s="33"/>
      <c r="O3203" s="33"/>
      <c r="P3203" s="33"/>
      <c r="Q3203" s="33"/>
      <c r="R3203" s="33"/>
      <c r="S3203" s="33"/>
      <c r="T3203" s="33"/>
      <c r="U3203" s="33"/>
      <c r="V3203" s="33"/>
      <c r="W3203" s="33"/>
      <c r="X3203" s="33"/>
      <c r="Y3203" s="33"/>
      <c r="Z3203" s="33"/>
      <c r="AA3203" s="33"/>
      <c r="AB3203" s="33"/>
    </row>
    <row r="3204" spans="1:28" x14ac:dyDescent="0.15">
      <c r="A3204" s="46" t="s">
        <v>6459</v>
      </c>
      <c r="B3204" s="52" t="s">
        <v>7361</v>
      </c>
      <c r="C3204" s="53" t="s">
        <v>6460</v>
      </c>
      <c r="D3204" s="54" t="s">
        <v>10641</v>
      </c>
      <c r="E3204" s="50">
        <f t="shared" si="109"/>
        <v>43.835616440000003</v>
      </c>
      <c r="F3204" s="51">
        <f t="shared" si="109"/>
        <v>4.6388211799999999</v>
      </c>
      <c r="H3204" s="33"/>
      <c r="I3204" s="33"/>
      <c r="J3204" s="33"/>
      <c r="K3204" s="33"/>
      <c r="L3204" s="33"/>
      <c r="M3204" s="33"/>
      <c r="N3204" s="33"/>
      <c r="O3204" s="33"/>
      <c r="P3204" s="33"/>
      <c r="Q3204" s="33"/>
      <c r="R3204" s="33"/>
      <c r="S3204" s="33"/>
      <c r="T3204" s="33"/>
      <c r="U3204" s="33"/>
      <c r="V3204" s="33"/>
      <c r="W3204" s="33"/>
      <c r="X3204" s="33"/>
      <c r="Y3204" s="33"/>
      <c r="Z3204" s="33"/>
      <c r="AA3204" s="33"/>
      <c r="AB3204" s="33"/>
    </row>
    <row r="3205" spans="1:28" x14ac:dyDescent="0.15">
      <c r="A3205" s="46" t="s">
        <v>6461</v>
      </c>
      <c r="B3205" s="52" t="s">
        <v>7361</v>
      </c>
      <c r="C3205" s="53" t="s">
        <v>6462</v>
      </c>
      <c r="D3205" s="54" t="s">
        <v>10642</v>
      </c>
      <c r="E3205" s="50">
        <f t="shared" si="109"/>
        <v>43.849315070000003</v>
      </c>
      <c r="F3205" s="51">
        <f t="shared" si="109"/>
        <v>4.6388053100000004</v>
      </c>
      <c r="H3205" s="33"/>
      <c r="I3205" s="33"/>
      <c r="J3205" s="33"/>
      <c r="K3205" s="33"/>
      <c r="L3205" s="33"/>
      <c r="M3205" s="33"/>
      <c r="N3205" s="33"/>
      <c r="O3205" s="33"/>
      <c r="P3205" s="33"/>
      <c r="Q3205" s="33"/>
      <c r="R3205" s="33"/>
      <c r="S3205" s="33"/>
      <c r="T3205" s="33"/>
      <c r="U3205" s="33"/>
      <c r="V3205" s="33"/>
      <c r="W3205" s="33"/>
      <c r="X3205" s="33"/>
      <c r="Y3205" s="33"/>
      <c r="Z3205" s="33"/>
      <c r="AA3205" s="33"/>
      <c r="AB3205" s="33"/>
    </row>
    <row r="3206" spans="1:28" x14ac:dyDescent="0.15">
      <c r="A3206" s="46" t="s">
        <v>6463</v>
      </c>
      <c r="B3206" s="52" t="s">
        <v>7361</v>
      </c>
      <c r="C3206" s="53" t="s">
        <v>6464</v>
      </c>
      <c r="D3206" s="54" t="s">
        <v>10643</v>
      </c>
      <c r="E3206" s="50">
        <f t="shared" si="109"/>
        <v>43.863013700000003</v>
      </c>
      <c r="F3206" s="51">
        <f t="shared" si="109"/>
        <v>4.6387894699999999</v>
      </c>
      <c r="H3206" s="33"/>
      <c r="I3206" s="33"/>
      <c r="J3206" s="33"/>
      <c r="K3206" s="33"/>
      <c r="L3206" s="33"/>
      <c r="M3206" s="33"/>
      <c r="N3206" s="33"/>
      <c r="O3206" s="33"/>
      <c r="P3206" s="33"/>
      <c r="Q3206" s="33"/>
      <c r="R3206" s="33"/>
      <c r="S3206" s="33"/>
      <c r="T3206" s="33"/>
      <c r="U3206" s="33"/>
      <c r="V3206" s="33"/>
      <c r="W3206" s="33"/>
      <c r="X3206" s="33"/>
      <c r="Y3206" s="33"/>
      <c r="Z3206" s="33"/>
      <c r="AA3206" s="33"/>
      <c r="AB3206" s="33"/>
    </row>
    <row r="3207" spans="1:28" x14ac:dyDescent="0.15">
      <c r="A3207" s="46" t="s">
        <v>6465</v>
      </c>
      <c r="B3207" s="52" t="s">
        <v>7361</v>
      </c>
      <c r="C3207" s="53" t="s">
        <v>6466</v>
      </c>
      <c r="D3207" s="54" t="s">
        <v>10644</v>
      </c>
      <c r="E3207" s="50">
        <f t="shared" si="109"/>
        <v>43.876712329999997</v>
      </c>
      <c r="F3207" s="51">
        <f t="shared" si="109"/>
        <v>4.6387736999999998</v>
      </c>
      <c r="H3207" s="33"/>
      <c r="I3207" s="33"/>
      <c r="J3207" s="33"/>
      <c r="K3207" s="33"/>
      <c r="L3207" s="33"/>
      <c r="M3207" s="33"/>
      <c r="N3207" s="33"/>
      <c r="O3207" s="33"/>
      <c r="P3207" s="33"/>
      <c r="Q3207" s="33"/>
      <c r="R3207" s="33"/>
      <c r="S3207" s="33"/>
      <c r="T3207" s="33"/>
      <c r="U3207" s="33"/>
      <c r="V3207" s="33"/>
      <c r="W3207" s="33"/>
      <c r="X3207" s="33"/>
      <c r="Y3207" s="33"/>
      <c r="Z3207" s="33"/>
      <c r="AA3207" s="33"/>
      <c r="AB3207" s="33"/>
    </row>
    <row r="3208" spans="1:28" x14ac:dyDescent="0.15">
      <c r="A3208" s="46" t="s">
        <v>6467</v>
      </c>
      <c r="B3208" s="52" t="s">
        <v>7361</v>
      </c>
      <c r="C3208" s="53" t="s">
        <v>6468</v>
      </c>
      <c r="D3208" s="54" t="s">
        <v>10645</v>
      </c>
      <c r="E3208" s="50">
        <f t="shared" si="109"/>
        <v>43.890410959999997</v>
      </c>
      <c r="F3208" s="51">
        <f t="shared" si="109"/>
        <v>4.63875803</v>
      </c>
      <c r="H3208" s="33"/>
      <c r="I3208" s="33"/>
      <c r="J3208" s="33"/>
      <c r="K3208" s="33"/>
      <c r="L3208" s="33"/>
      <c r="M3208" s="33"/>
      <c r="N3208" s="33"/>
      <c r="O3208" s="33"/>
      <c r="P3208" s="33"/>
      <c r="Q3208" s="33"/>
      <c r="R3208" s="33"/>
      <c r="S3208" s="33"/>
      <c r="T3208" s="33"/>
      <c r="U3208" s="33"/>
      <c r="V3208" s="33"/>
      <c r="W3208" s="33"/>
      <c r="X3208" s="33"/>
      <c r="Y3208" s="33"/>
      <c r="Z3208" s="33"/>
      <c r="AA3208" s="33"/>
      <c r="AB3208" s="33"/>
    </row>
    <row r="3209" spans="1:28" x14ac:dyDescent="0.15">
      <c r="A3209" s="46" t="s">
        <v>6469</v>
      </c>
      <c r="B3209" s="52" t="s">
        <v>7361</v>
      </c>
      <c r="C3209" s="53" t="s">
        <v>6470</v>
      </c>
      <c r="D3209" s="54" t="s">
        <v>10646</v>
      </c>
      <c r="E3209" s="50">
        <f t="shared" si="109"/>
        <v>43.904109589999997</v>
      </c>
      <c r="F3209" s="51">
        <f t="shared" si="109"/>
        <v>4.6387424800000003</v>
      </c>
      <c r="H3209" s="33"/>
      <c r="I3209" s="33"/>
      <c r="J3209" s="33"/>
      <c r="K3209" s="33"/>
      <c r="L3209" s="33"/>
      <c r="M3209" s="33"/>
      <c r="N3209" s="33"/>
      <c r="O3209" s="33"/>
      <c r="P3209" s="33"/>
      <c r="Q3209" s="33"/>
      <c r="R3209" s="33"/>
      <c r="S3209" s="33"/>
      <c r="T3209" s="33"/>
      <c r="U3209" s="33"/>
      <c r="V3209" s="33"/>
      <c r="W3209" s="33"/>
      <c r="X3209" s="33"/>
      <c r="Y3209" s="33"/>
      <c r="Z3209" s="33"/>
      <c r="AA3209" s="33"/>
      <c r="AB3209" s="33"/>
    </row>
    <row r="3210" spans="1:28" x14ac:dyDescent="0.15">
      <c r="A3210" s="46" t="s">
        <v>6471</v>
      </c>
      <c r="B3210" s="52" t="s">
        <v>7361</v>
      </c>
      <c r="C3210" s="53" t="s">
        <v>6472</v>
      </c>
      <c r="D3210" s="54" t="s">
        <v>10647</v>
      </c>
      <c r="E3210" s="50">
        <f t="shared" si="109"/>
        <v>43.917808219999998</v>
      </c>
      <c r="F3210" s="51">
        <f t="shared" si="109"/>
        <v>4.6387270799999998</v>
      </c>
      <c r="H3210" s="33"/>
      <c r="I3210" s="33"/>
      <c r="J3210" s="33"/>
      <c r="K3210" s="33"/>
      <c r="L3210" s="33"/>
      <c r="M3210" s="33"/>
      <c r="N3210" s="33"/>
      <c r="O3210" s="33"/>
      <c r="P3210" s="33"/>
      <c r="Q3210" s="33"/>
      <c r="R3210" s="33"/>
      <c r="S3210" s="33"/>
      <c r="T3210" s="33"/>
      <c r="U3210" s="33"/>
      <c r="V3210" s="33"/>
      <c r="W3210" s="33"/>
      <c r="X3210" s="33"/>
      <c r="Y3210" s="33"/>
      <c r="Z3210" s="33"/>
      <c r="AA3210" s="33"/>
      <c r="AB3210" s="33"/>
    </row>
    <row r="3211" spans="1:28" x14ac:dyDescent="0.15">
      <c r="A3211" s="46" t="s">
        <v>6473</v>
      </c>
      <c r="B3211" s="52" t="s">
        <v>7361</v>
      </c>
      <c r="C3211" s="53" t="s">
        <v>6474</v>
      </c>
      <c r="D3211" s="54" t="s">
        <v>10648</v>
      </c>
      <c r="E3211" s="50">
        <f t="shared" si="109"/>
        <v>43.931506849999998</v>
      </c>
      <c r="F3211" s="51">
        <f t="shared" si="109"/>
        <v>4.6387118799999998</v>
      </c>
      <c r="H3211" s="33"/>
      <c r="I3211" s="33"/>
      <c r="J3211" s="33"/>
      <c r="K3211" s="33"/>
      <c r="L3211" s="33"/>
      <c r="M3211" s="33"/>
      <c r="N3211" s="33"/>
      <c r="O3211" s="33"/>
      <c r="P3211" s="33"/>
      <c r="Q3211" s="33"/>
      <c r="R3211" s="33"/>
      <c r="S3211" s="33"/>
      <c r="T3211" s="33"/>
      <c r="U3211" s="33"/>
      <c r="V3211" s="33"/>
      <c r="W3211" s="33"/>
      <c r="X3211" s="33"/>
      <c r="Y3211" s="33"/>
      <c r="Z3211" s="33"/>
      <c r="AA3211" s="33"/>
      <c r="AB3211" s="33"/>
    </row>
    <row r="3212" spans="1:28" x14ac:dyDescent="0.15">
      <c r="A3212" s="46" t="s">
        <v>6475</v>
      </c>
      <c r="B3212" s="52" t="s">
        <v>7361</v>
      </c>
      <c r="C3212" s="53" t="s">
        <v>6476</v>
      </c>
      <c r="D3212" s="54" t="s">
        <v>10649</v>
      </c>
      <c r="E3212" s="50">
        <f t="shared" si="109"/>
        <v>43.945205479999998</v>
      </c>
      <c r="F3212" s="51">
        <f t="shared" si="109"/>
        <v>4.6386968900000003</v>
      </c>
      <c r="H3212" s="33"/>
      <c r="I3212" s="33"/>
      <c r="J3212" s="33"/>
      <c r="K3212" s="33"/>
      <c r="L3212" s="33"/>
      <c r="M3212" s="33"/>
      <c r="N3212" s="33"/>
      <c r="O3212" s="33"/>
      <c r="P3212" s="33"/>
      <c r="Q3212" s="33"/>
      <c r="R3212" s="33"/>
      <c r="S3212" s="33"/>
      <c r="T3212" s="33"/>
      <c r="U3212" s="33"/>
      <c r="V3212" s="33"/>
      <c r="W3212" s="33"/>
      <c r="X3212" s="33"/>
      <c r="Y3212" s="33"/>
      <c r="Z3212" s="33"/>
      <c r="AA3212" s="33"/>
      <c r="AB3212" s="33"/>
    </row>
    <row r="3213" spans="1:28" x14ac:dyDescent="0.15">
      <c r="A3213" s="46" t="s">
        <v>6477</v>
      </c>
      <c r="B3213" s="52" t="s">
        <v>7361</v>
      </c>
      <c r="C3213" s="53" t="s">
        <v>6478</v>
      </c>
      <c r="D3213" s="54" t="s">
        <v>10650</v>
      </c>
      <c r="E3213" s="50">
        <f t="shared" si="109"/>
        <v>43.958904109999999</v>
      </c>
      <c r="F3213" s="51">
        <f t="shared" si="109"/>
        <v>4.6386821500000002</v>
      </c>
      <c r="H3213" s="33"/>
      <c r="I3213" s="33"/>
      <c r="J3213" s="33"/>
      <c r="K3213" s="33"/>
      <c r="L3213" s="33"/>
      <c r="M3213" s="33"/>
      <c r="N3213" s="33"/>
      <c r="O3213" s="33"/>
      <c r="P3213" s="33"/>
      <c r="Q3213" s="33"/>
      <c r="R3213" s="33"/>
      <c r="S3213" s="33"/>
      <c r="T3213" s="33"/>
      <c r="U3213" s="33"/>
      <c r="V3213" s="33"/>
      <c r="W3213" s="33"/>
      <c r="X3213" s="33"/>
      <c r="Y3213" s="33"/>
      <c r="Z3213" s="33"/>
      <c r="AA3213" s="33"/>
      <c r="AB3213" s="33"/>
    </row>
    <row r="3214" spans="1:28" x14ac:dyDescent="0.15">
      <c r="A3214" s="46" t="s">
        <v>6479</v>
      </c>
      <c r="B3214" s="52" t="s">
        <v>7361</v>
      </c>
      <c r="C3214" s="53" t="s">
        <v>6480</v>
      </c>
      <c r="D3214" s="54" t="s">
        <v>10651</v>
      </c>
      <c r="E3214" s="50">
        <f t="shared" si="109"/>
        <v>43.972602739999999</v>
      </c>
      <c r="F3214" s="51">
        <f t="shared" si="109"/>
        <v>4.6386676900000001</v>
      </c>
      <c r="H3214" s="33"/>
      <c r="I3214" s="33"/>
      <c r="J3214" s="33"/>
      <c r="K3214" s="33"/>
      <c r="L3214" s="33"/>
      <c r="M3214" s="33"/>
      <c r="N3214" s="33"/>
      <c r="O3214" s="33"/>
      <c r="P3214" s="33"/>
      <c r="Q3214" s="33"/>
      <c r="R3214" s="33"/>
      <c r="S3214" s="33"/>
      <c r="T3214" s="33"/>
      <c r="U3214" s="33"/>
      <c r="V3214" s="33"/>
      <c r="W3214" s="33"/>
      <c r="X3214" s="33"/>
      <c r="Y3214" s="33"/>
      <c r="Z3214" s="33"/>
      <c r="AA3214" s="33"/>
      <c r="AB3214" s="33"/>
    </row>
    <row r="3215" spans="1:28" x14ac:dyDescent="0.15">
      <c r="A3215" s="46" t="s">
        <v>6481</v>
      </c>
      <c r="B3215" s="52" t="s">
        <v>7361</v>
      </c>
      <c r="C3215" s="53" t="s">
        <v>6482</v>
      </c>
      <c r="D3215" s="54" t="s">
        <v>10652</v>
      </c>
      <c r="E3215" s="50">
        <f t="shared" si="109"/>
        <v>43.98630137</v>
      </c>
      <c r="F3215" s="51">
        <f t="shared" si="109"/>
        <v>4.63865354</v>
      </c>
      <c r="H3215" s="33"/>
      <c r="I3215" s="33"/>
      <c r="J3215" s="33"/>
      <c r="K3215" s="33"/>
      <c r="L3215" s="33"/>
      <c r="M3215" s="33"/>
      <c r="N3215" s="33"/>
      <c r="O3215" s="33"/>
      <c r="P3215" s="33"/>
      <c r="Q3215" s="33"/>
      <c r="R3215" s="33"/>
      <c r="S3215" s="33"/>
      <c r="T3215" s="33"/>
      <c r="U3215" s="33"/>
      <c r="V3215" s="33"/>
      <c r="W3215" s="33"/>
      <c r="X3215" s="33"/>
      <c r="Y3215" s="33"/>
      <c r="Z3215" s="33"/>
      <c r="AA3215" s="33"/>
      <c r="AB3215" s="33"/>
    </row>
    <row r="3216" spans="1:28" x14ac:dyDescent="0.15">
      <c r="A3216" s="46" t="s">
        <v>6483</v>
      </c>
      <c r="B3216" s="52" t="s">
        <v>7361</v>
      </c>
      <c r="C3216" s="53" t="s">
        <v>6484</v>
      </c>
      <c r="D3216" s="54" t="s">
        <v>10653</v>
      </c>
      <c r="E3216" s="50">
        <f t="shared" si="109"/>
        <v>44</v>
      </c>
      <c r="F3216" s="51">
        <f t="shared" si="109"/>
        <v>4.6386397300000004</v>
      </c>
      <c r="H3216" s="33"/>
      <c r="I3216" s="33"/>
      <c r="J3216" s="33"/>
      <c r="K3216" s="33"/>
      <c r="L3216" s="33"/>
      <c r="M3216" s="33"/>
      <c r="N3216" s="33"/>
      <c r="O3216" s="33"/>
      <c r="P3216" s="33"/>
      <c r="Q3216" s="33"/>
      <c r="R3216" s="33"/>
      <c r="S3216" s="33"/>
      <c r="T3216" s="33"/>
      <c r="U3216" s="33"/>
      <c r="V3216" s="33"/>
      <c r="W3216" s="33"/>
      <c r="X3216" s="33"/>
      <c r="Y3216" s="33"/>
      <c r="Z3216" s="33"/>
      <c r="AA3216" s="33"/>
      <c r="AB3216" s="33"/>
    </row>
    <row r="3217" spans="1:28" x14ac:dyDescent="0.15">
      <c r="A3217" s="46" t="s">
        <v>6485</v>
      </c>
      <c r="B3217" s="52" t="s">
        <v>7361</v>
      </c>
      <c r="C3217" s="53" t="s">
        <v>6486</v>
      </c>
      <c r="D3217" s="54" t="s">
        <v>10654</v>
      </c>
      <c r="E3217" s="50">
        <f t="shared" si="109"/>
        <v>44.01369863</v>
      </c>
      <c r="F3217" s="51">
        <f t="shared" si="109"/>
        <v>4.6386257899999999</v>
      </c>
      <c r="H3217" s="33"/>
      <c r="I3217" s="33"/>
      <c r="J3217" s="33"/>
      <c r="K3217" s="33"/>
      <c r="L3217" s="33"/>
      <c r="M3217" s="33"/>
      <c r="N3217" s="33"/>
      <c r="O3217" s="33"/>
      <c r="P3217" s="33"/>
      <c r="Q3217" s="33"/>
      <c r="R3217" s="33"/>
      <c r="S3217" s="33"/>
      <c r="T3217" s="33"/>
      <c r="U3217" s="33"/>
      <c r="V3217" s="33"/>
      <c r="W3217" s="33"/>
      <c r="X3217" s="33"/>
      <c r="Y3217" s="33"/>
      <c r="Z3217" s="33"/>
      <c r="AA3217" s="33"/>
      <c r="AB3217" s="33"/>
    </row>
    <row r="3218" spans="1:28" x14ac:dyDescent="0.15">
      <c r="A3218" s="46" t="s">
        <v>6487</v>
      </c>
      <c r="B3218" s="52" t="s">
        <v>7361</v>
      </c>
      <c r="C3218" s="53" t="s">
        <v>6488</v>
      </c>
      <c r="D3218" s="54" t="s">
        <v>10655</v>
      </c>
      <c r="E3218" s="50">
        <f t="shared" si="109"/>
        <v>44.027397260000001</v>
      </c>
      <c r="F3218" s="51">
        <f t="shared" si="109"/>
        <v>4.6386112600000002</v>
      </c>
      <c r="H3218" s="33"/>
      <c r="I3218" s="33"/>
      <c r="J3218" s="33"/>
      <c r="K3218" s="33"/>
      <c r="L3218" s="33"/>
      <c r="M3218" s="33"/>
      <c r="N3218" s="33"/>
      <c r="O3218" s="33"/>
      <c r="P3218" s="33"/>
      <c r="Q3218" s="33"/>
      <c r="R3218" s="33"/>
      <c r="S3218" s="33"/>
      <c r="T3218" s="33"/>
      <c r="U3218" s="33"/>
      <c r="V3218" s="33"/>
      <c r="W3218" s="33"/>
      <c r="X3218" s="33"/>
      <c r="Y3218" s="33"/>
      <c r="Z3218" s="33"/>
      <c r="AA3218" s="33"/>
      <c r="AB3218" s="33"/>
    </row>
    <row r="3219" spans="1:28" x14ac:dyDescent="0.15">
      <c r="A3219" s="46" t="s">
        <v>6489</v>
      </c>
      <c r="B3219" s="52" t="s">
        <v>7361</v>
      </c>
      <c r="C3219" s="53" t="s">
        <v>6490</v>
      </c>
      <c r="D3219" s="54" t="s">
        <v>10656</v>
      </c>
      <c r="E3219" s="50">
        <f t="shared" ref="E3219:F3249" si="110">VALUE(C3219)</f>
        <v>44.041095890000001</v>
      </c>
      <c r="F3219" s="51">
        <f t="shared" si="110"/>
        <v>4.6385961599999996</v>
      </c>
      <c r="H3219" s="33"/>
      <c r="I3219" s="33"/>
      <c r="J3219" s="33"/>
      <c r="K3219" s="33"/>
      <c r="L3219" s="33"/>
      <c r="M3219" s="33"/>
      <c r="N3219" s="33"/>
      <c r="O3219" s="33"/>
      <c r="P3219" s="33"/>
      <c r="Q3219" s="33"/>
      <c r="R3219" s="33"/>
      <c r="S3219" s="33"/>
      <c r="T3219" s="33"/>
      <c r="U3219" s="33"/>
      <c r="V3219" s="33"/>
      <c r="W3219" s="33"/>
      <c r="X3219" s="33"/>
      <c r="Y3219" s="33"/>
      <c r="Z3219" s="33"/>
      <c r="AA3219" s="33"/>
      <c r="AB3219" s="33"/>
    </row>
    <row r="3220" spans="1:28" x14ac:dyDescent="0.15">
      <c r="A3220" s="46" t="s">
        <v>6491</v>
      </c>
      <c r="B3220" s="52" t="s">
        <v>7361</v>
      </c>
      <c r="C3220" s="53" t="s">
        <v>6492</v>
      </c>
      <c r="D3220" s="54" t="s">
        <v>10657</v>
      </c>
      <c r="E3220" s="50">
        <f t="shared" si="110"/>
        <v>44.054794520000002</v>
      </c>
      <c r="F3220" s="51">
        <f t="shared" si="110"/>
        <v>4.6385805199999997</v>
      </c>
      <c r="H3220" s="33"/>
      <c r="I3220" s="33"/>
      <c r="J3220" s="33"/>
      <c r="K3220" s="33"/>
      <c r="L3220" s="33"/>
      <c r="M3220" s="33"/>
      <c r="N3220" s="33"/>
      <c r="O3220" s="33"/>
      <c r="P3220" s="33"/>
      <c r="Q3220" s="33"/>
      <c r="R3220" s="33"/>
      <c r="S3220" s="33"/>
      <c r="T3220" s="33"/>
      <c r="U3220" s="33"/>
      <c r="V3220" s="33"/>
      <c r="W3220" s="33"/>
      <c r="X3220" s="33"/>
      <c r="Y3220" s="33"/>
      <c r="Z3220" s="33"/>
      <c r="AA3220" s="33"/>
      <c r="AB3220" s="33"/>
    </row>
    <row r="3221" spans="1:28" x14ac:dyDescent="0.15">
      <c r="A3221" s="46" t="s">
        <v>6493</v>
      </c>
      <c r="B3221" s="52" t="s">
        <v>7361</v>
      </c>
      <c r="C3221" s="53" t="s">
        <v>6494</v>
      </c>
      <c r="D3221" s="54" t="s">
        <v>10658</v>
      </c>
      <c r="E3221" s="50">
        <f t="shared" si="110"/>
        <v>44.068493150000002</v>
      </c>
      <c r="F3221" s="51">
        <f t="shared" si="110"/>
        <v>4.6385643600000002</v>
      </c>
      <c r="H3221" s="33"/>
      <c r="I3221" s="33"/>
      <c r="J3221" s="33"/>
      <c r="K3221" s="33"/>
      <c r="L3221" s="33"/>
      <c r="M3221" s="33"/>
      <c r="N3221" s="33"/>
      <c r="O3221" s="33"/>
      <c r="P3221" s="33"/>
      <c r="Q3221" s="33"/>
      <c r="R3221" s="33"/>
      <c r="S3221" s="33"/>
      <c r="T3221" s="33"/>
      <c r="U3221" s="33"/>
      <c r="V3221" s="33"/>
      <c r="W3221" s="33"/>
      <c r="X3221" s="33"/>
      <c r="Y3221" s="33"/>
      <c r="Z3221" s="33"/>
      <c r="AA3221" s="33"/>
      <c r="AB3221" s="33"/>
    </row>
    <row r="3222" spans="1:28" x14ac:dyDescent="0.15">
      <c r="A3222" s="46" t="s">
        <v>6495</v>
      </c>
      <c r="B3222" s="52" t="s">
        <v>7361</v>
      </c>
      <c r="C3222" s="53" t="s">
        <v>6496</v>
      </c>
      <c r="D3222" s="54" t="s">
        <v>10659</v>
      </c>
      <c r="E3222" s="50">
        <f t="shared" si="110"/>
        <v>44.082191780000002</v>
      </c>
      <c r="F3222" s="51">
        <f t="shared" si="110"/>
        <v>4.63854772</v>
      </c>
      <c r="H3222" s="33"/>
      <c r="I3222" s="33"/>
      <c r="J3222" s="33"/>
      <c r="K3222" s="33"/>
      <c r="L3222" s="33"/>
      <c r="M3222" s="33"/>
      <c r="N3222" s="33"/>
      <c r="O3222" s="33"/>
      <c r="P3222" s="33"/>
      <c r="Q3222" s="33"/>
      <c r="R3222" s="33"/>
      <c r="S3222" s="33"/>
      <c r="T3222" s="33"/>
      <c r="U3222" s="33"/>
      <c r="V3222" s="33"/>
      <c r="W3222" s="33"/>
      <c r="X3222" s="33"/>
      <c r="Y3222" s="33"/>
      <c r="Z3222" s="33"/>
      <c r="AA3222" s="33"/>
      <c r="AB3222" s="33"/>
    </row>
    <row r="3223" spans="1:28" x14ac:dyDescent="0.15">
      <c r="A3223" s="46" t="s">
        <v>6497</v>
      </c>
      <c r="B3223" s="52" t="s">
        <v>7361</v>
      </c>
      <c r="C3223" s="53" t="s">
        <v>6498</v>
      </c>
      <c r="D3223" s="54" t="s">
        <v>10660</v>
      </c>
      <c r="E3223" s="50">
        <f t="shared" si="110"/>
        <v>44.095890410000003</v>
      </c>
      <c r="F3223" s="51">
        <f t="shared" si="110"/>
        <v>4.6385306000000002</v>
      </c>
      <c r="H3223" s="33"/>
      <c r="I3223" s="33"/>
      <c r="J3223" s="33"/>
      <c r="K3223" s="33"/>
      <c r="L3223" s="33"/>
      <c r="M3223" s="33"/>
      <c r="N3223" s="33"/>
      <c r="O3223" s="33"/>
      <c r="P3223" s="33"/>
      <c r="Q3223" s="33"/>
      <c r="R3223" s="33"/>
      <c r="S3223" s="33"/>
      <c r="T3223" s="33"/>
      <c r="U3223" s="33"/>
      <c r="V3223" s="33"/>
      <c r="W3223" s="33"/>
      <c r="X3223" s="33"/>
      <c r="Y3223" s="33"/>
      <c r="Z3223" s="33"/>
      <c r="AA3223" s="33"/>
      <c r="AB3223" s="33"/>
    </row>
    <row r="3224" spans="1:28" x14ac:dyDescent="0.15">
      <c r="A3224" s="46" t="s">
        <v>6499</v>
      </c>
      <c r="B3224" s="52" t="s">
        <v>7361</v>
      </c>
      <c r="C3224" s="53" t="s">
        <v>6500</v>
      </c>
      <c r="D3224" s="54" t="s">
        <v>10661</v>
      </c>
      <c r="E3224" s="50">
        <f t="shared" si="110"/>
        <v>44.109589040000003</v>
      </c>
      <c r="F3224" s="51">
        <f t="shared" si="110"/>
        <v>4.6385130500000002</v>
      </c>
      <c r="H3224" s="33"/>
      <c r="I3224" s="33"/>
      <c r="J3224" s="33"/>
      <c r="K3224" s="33"/>
      <c r="L3224" s="33"/>
      <c r="M3224" s="33"/>
      <c r="N3224" s="33"/>
      <c r="O3224" s="33"/>
      <c r="P3224" s="33"/>
      <c r="Q3224" s="33"/>
      <c r="R3224" s="33"/>
      <c r="S3224" s="33"/>
      <c r="T3224" s="33"/>
      <c r="U3224" s="33"/>
      <c r="V3224" s="33"/>
      <c r="W3224" s="33"/>
      <c r="X3224" s="33"/>
      <c r="Y3224" s="33"/>
      <c r="Z3224" s="33"/>
      <c r="AA3224" s="33"/>
      <c r="AB3224" s="33"/>
    </row>
    <row r="3225" spans="1:28" x14ac:dyDescent="0.15">
      <c r="A3225" s="46" t="s">
        <v>6501</v>
      </c>
      <c r="B3225" s="52" t="s">
        <v>7361</v>
      </c>
      <c r="C3225" s="53" t="s">
        <v>6502</v>
      </c>
      <c r="D3225" s="54" t="s">
        <v>10662</v>
      </c>
      <c r="E3225" s="50">
        <f t="shared" si="110"/>
        <v>44.123287670000003</v>
      </c>
      <c r="F3225" s="51">
        <f t="shared" si="110"/>
        <v>4.6384950700000003</v>
      </c>
      <c r="H3225" s="33"/>
      <c r="I3225" s="33"/>
      <c r="J3225" s="33"/>
      <c r="K3225" s="33"/>
      <c r="L3225" s="33"/>
      <c r="M3225" s="33"/>
      <c r="N3225" s="33"/>
      <c r="O3225" s="33"/>
      <c r="P3225" s="33"/>
      <c r="Q3225" s="33"/>
      <c r="R3225" s="33"/>
      <c r="S3225" s="33"/>
      <c r="T3225" s="33"/>
      <c r="U3225" s="33"/>
      <c r="V3225" s="33"/>
      <c r="W3225" s="33"/>
      <c r="X3225" s="33"/>
      <c r="Y3225" s="33"/>
      <c r="Z3225" s="33"/>
      <c r="AA3225" s="33"/>
      <c r="AB3225" s="33"/>
    </row>
    <row r="3226" spans="1:28" x14ac:dyDescent="0.15">
      <c r="A3226" s="46" t="s">
        <v>6503</v>
      </c>
      <c r="B3226" s="52" t="s">
        <v>7361</v>
      </c>
      <c r="C3226" s="53" t="s">
        <v>6504</v>
      </c>
      <c r="D3226" s="54" t="s">
        <v>10663</v>
      </c>
      <c r="E3226" s="50">
        <f t="shared" si="110"/>
        <v>44.136986299999997</v>
      </c>
      <c r="F3226" s="51">
        <f t="shared" si="110"/>
        <v>4.6384767099999999</v>
      </c>
      <c r="H3226" s="33"/>
      <c r="I3226" s="33"/>
      <c r="J3226" s="33"/>
      <c r="K3226" s="33"/>
      <c r="L3226" s="33"/>
      <c r="M3226" s="33"/>
      <c r="N3226" s="33"/>
      <c r="O3226" s="33"/>
      <c r="P3226" s="33"/>
      <c r="Q3226" s="33"/>
      <c r="R3226" s="33"/>
      <c r="S3226" s="33"/>
      <c r="T3226" s="33"/>
      <c r="U3226" s="33"/>
      <c r="V3226" s="33"/>
      <c r="W3226" s="33"/>
      <c r="X3226" s="33"/>
      <c r="Y3226" s="33"/>
      <c r="Z3226" s="33"/>
      <c r="AA3226" s="33"/>
      <c r="AB3226" s="33"/>
    </row>
    <row r="3227" spans="1:28" x14ac:dyDescent="0.15">
      <c r="A3227" s="46" t="s">
        <v>6505</v>
      </c>
      <c r="B3227" s="52" t="s">
        <v>7361</v>
      </c>
      <c r="C3227" s="53" t="s">
        <v>6506</v>
      </c>
      <c r="D3227" s="54" t="s">
        <v>10664</v>
      </c>
      <c r="E3227" s="50">
        <f t="shared" si="110"/>
        <v>44.150684929999997</v>
      </c>
      <c r="F3227" s="51">
        <f t="shared" si="110"/>
        <v>4.63845799</v>
      </c>
      <c r="H3227" s="33"/>
      <c r="I3227" s="33"/>
      <c r="J3227" s="33"/>
      <c r="K3227" s="33"/>
      <c r="L3227" s="33"/>
      <c r="M3227" s="33"/>
      <c r="N3227" s="33"/>
      <c r="O3227" s="33"/>
      <c r="P3227" s="33"/>
      <c r="Q3227" s="33"/>
      <c r="R3227" s="33"/>
      <c r="S3227" s="33"/>
      <c r="T3227" s="33"/>
      <c r="U3227" s="33"/>
      <c r="V3227" s="33"/>
      <c r="W3227" s="33"/>
      <c r="X3227" s="33"/>
      <c r="Y3227" s="33"/>
      <c r="Z3227" s="33"/>
      <c r="AA3227" s="33"/>
      <c r="AB3227" s="33"/>
    </row>
    <row r="3228" spans="1:28" x14ac:dyDescent="0.15">
      <c r="A3228" s="46" t="s">
        <v>6507</v>
      </c>
      <c r="B3228" s="52" t="s">
        <v>7361</v>
      </c>
      <c r="C3228" s="53" t="s">
        <v>6508</v>
      </c>
      <c r="D3228" s="54" t="s">
        <v>10665</v>
      </c>
      <c r="E3228" s="50">
        <f t="shared" si="110"/>
        <v>44.164383559999997</v>
      </c>
      <c r="F3228" s="51">
        <f t="shared" si="110"/>
        <v>4.6384389300000004</v>
      </c>
      <c r="H3228" s="33"/>
      <c r="I3228" s="33"/>
      <c r="J3228" s="33"/>
      <c r="K3228" s="33"/>
      <c r="L3228" s="33"/>
      <c r="M3228" s="33"/>
      <c r="N3228" s="33"/>
      <c r="O3228" s="33"/>
      <c r="P3228" s="33"/>
      <c r="Q3228" s="33"/>
      <c r="R3228" s="33"/>
      <c r="S3228" s="33"/>
      <c r="T3228" s="33"/>
      <c r="U3228" s="33"/>
      <c r="V3228" s="33"/>
      <c r="W3228" s="33"/>
      <c r="X3228" s="33"/>
      <c r="Y3228" s="33"/>
      <c r="Z3228" s="33"/>
      <c r="AA3228" s="33"/>
      <c r="AB3228" s="33"/>
    </row>
    <row r="3229" spans="1:28" x14ac:dyDescent="0.15">
      <c r="A3229" s="46" t="s">
        <v>6509</v>
      </c>
      <c r="B3229" s="52" t="s">
        <v>7361</v>
      </c>
      <c r="C3229" s="53" t="s">
        <v>6510</v>
      </c>
      <c r="D3229" s="54" t="s">
        <v>10666</v>
      </c>
      <c r="E3229" s="50">
        <f t="shared" si="110"/>
        <v>44.178082189999998</v>
      </c>
      <c r="F3229" s="51">
        <f t="shared" si="110"/>
        <v>4.6384195500000001</v>
      </c>
      <c r="H3229" s="33"/>
      <c r="I3229" s="33"/>
      <c r="J3229" s="33"/>
      <c r="K3229" s="33"/>
      <c r="L3229" s="33"/>
      <c r="M3229" s="33"/>
      <c r="N3229" s="33"/>
      <c r="O3229" s="33"/>
      <c r="P3229" s="33"/>
      <c r="Q3229" s="33"/>
      <c r="R3229" s="33"/>
      <c r="S3229" s="33"/>
      <c r="T3229" s="33"/>
      <c r="U3229" s="33"/>
      <c r="V3229" s="33"/>
      <c r="W3229" s="33"/>
      <c r="X3229" s="33"/>
      <c r="Y3229" s="33"/>
      <c r="Z3229" s="33"/>
      <c r="AA3229" s="33"/>
      <c r="AB3229" s="33"/>
    </row>
    <row r="3230" spans="1:28" x14ac:dyDescent="0.15">
      <c r="A3230" s="46" t="s">
        <v>6511</v>
      </c>
      <c r="B3230" s="52" t="s">
        <v>7361</v>
      </c>
      <c r="C3230" s="53" t="s">
        <v>6512</v>
      </c>
      <c r="D3230" s="54" t="s">
        <v>10667</v>
      </c>
      <c r="E3230" s="50">
        <f t="shared" si="110"/>
        <v>44.191780819999998</v>
      </c>
      <c r="F3230" s="51">
        <f t="shared" si="110"/>
        <v>4.6383998899999996</v>
      </c>
      <c r="H3230" s="33"/>
      <c r="I3230" s="33"/>
      <c r="J3230" s="33"/>
      <c r="K3230" s="33"/>
      <c r="L3230" s="33"/>
      <c r="M3230" s="33"/>
      <c r="N3230" s="33"/>
      <c r="O3230" s="33"/>
      <c r="P3230" s="33"/>
      <c r="Q3230" s="33"/>
      <c r="R3230" s="33"/>
      <c r="S3230" s="33"/>
      <c r="T3230" s="33"/>
      <c r="U3230" s="33"/>
      <c r="V3230" s="33"/>
      <c r="W3230" s="33"/>
      <c r="X3230" s="33"/>
      <c r="Y3230" s="33"/>
      <c r="Z3230" s="33"/>
      <c r="AA3230" s="33"/>
      <c r="AB3230" s="33"/>
    </row>
    <row r="3231" spans="1:28" x14ac:dyDescent="0.15">
      <c r="A3231" s="46" t="s">
        <v>6513</v>
      </c>
      <c r="B3231" s="52" t="s">
        <v>7361</v>
      </c>
      <c r="C3231" s="53" t="s">
        <v>6514</v>
      </c>
      <c r="D3231" s="54" t="s">
        <v>10668</v>
      </c>
      <c r="E3231" s="50">
        <f t="shared" si="110"/>
        <v>44.205479449999999</v>
      </c>
      <c r="F3231" s="51">
        <f t="shared" si="110"/>
        <v>4.63837996</v>
      </c>
      <c r="H3231" s="33"/>
      <c r="I3231" s="33"/>
      <c r="J3231" s="33"/>
      <c r="K3231" s="33"/>
      <c r="L3231" s="33"/>
      <c r="M3231" s="33"/>
      <c r="N3231" s="33"/>
      <c r="O3231" s="33"/>
      <c r="P3231" s="33"/>
      <c r="Q3231" s="33"/>
      <c r="R3231" s="33"/>
      <c r="S3231" s="33"/>
      <c r="T3231" s="33"/>
      <c r="U3231" s="33"/>
      <c r="V3231" s="33"/>
      <c r="W3231" s="33"/>
      <c r="X3231" s="33"/>
      <c r="Y3231" s="33"/>
      <c r="Z3231" s="33"/>
      <c r="AA3231" s="33"/>
      <c r="AB3231" s="33"/>
    </row>
    <row r="3232" spans="1:28" x14ac:dyDescent="0.15">
      <c r="A3232" s="46" t="s">
        <v>6515</v>
      </c>
      <c r="B3232" s="52" t="s">
        <v>7361</v>
      </c>
      <c r="C3232" s="53" t="s">
        <v>6516</v>
      </c>
      <c r="D3232" s="54" t="s">
        <v>10669</v>
      </c>
      <c r="E3232" s="50">
        <f t="shared" si="110"/>
        <v>44.219178079999999</v>
      </c>
      <c r="F3232" s="51">
        <f t="shared" si="110"/>
        <v>4.63835979</v>
      </c>
      <c r="H3232" s="33"/>
      <c r="I3232" s="33"/>
      <c r="J3232" s="33"/>
      <c r="K3232" s="33"/>
      <c r="L3232" s="33"/>
      <c r="M3232" s="33"/>
      <c r="N3232" s="33"/>
      <c r="O3232" s="33"/>
      <c r="P3232" s="33"/>
      <c r="Q3232" s="33"/>
      <c r="R3232" s="33"/>
      <c r="S3232" s="33"/>
      <c r="T3232" s="33"/>
      <c r="U3232" s="33"/>
      <c r="V3232" s="33"/>
      <c r="W3232" s="33"/>
      <c r="X3232" s="33"/>
      <c r="Y3232" s="33"/>
      <c r="Z3232" s="33"/>
      <c r="AA3232" s="33"/>
      <c r="AB3232" s="33"/>
    </row>
    <row r="3233" spans="1:28" x14ac:dyDescent="0.15">
      <c r="A3233" s="46" t="s">
        <v>6517</v>
      </c>
      <c r="B3233" s="52" t="s">
        <v>7361</v>
      </c>
      <c r="C3233" s="53" t="s">
        <v>6518</v>
      </c>
      <c r="D3233" s="54" t="s">
        <v>10670</v>
      </c>
      <c r="E3233" s="50">
        <f t="shared" si="110"/>
        <v>44.232876709999999</v>
      </c>
      <c r="F3233" s="51">
        <f t="shared" si="110"/>
        <v>4.6383394200000003</v>
      </c>
      <c r="H3233" s="33"/>
      <c r="I3233" s="33"/>
      <c r="J3233" s="33"/>
      <c r="K3233" s="33"/>
      <c r="L3233" s="33"/>
      <c r="M3233" s="33"/>
      <c r="N3233" s="33"/>
      <c r="O3233" s="33"/>
      <c r="P3233" s="33"/>
      <c r="Q3233" s="33"/>
      <c r="R3233" s="33"/>
      <c r="S3233" s="33"/>
      <c r="T3233" s="33"/>
      <c r="U3233" s="33"/>
      <c r="V3233" s="33"/>
      <c r="W3233" s="33"/>
      <c r="X3233" s="33"/>
      <c r="Y3233" s="33"/>
      <c r="Z3233" s="33"/>
      <c r="AA3233" s="33"/>
      <c r="AB3233" s="33"/>
    </row>
    <row r="3234" spans="1:28" x14ac:dyDescent="0.15">
      <c r="A3234" s="46" t="s">
        <v>6519</v>
      </c>
      <c r="B3234" s="52" t="s">
        <v>7361</v>
      </c>
      <c r="C3234" s="53" t="s">
        <v>6520</v>
      </c>
      <c r="D3234" s="54" t="s">
        <v>10671</v>
      </c>
      <c r="E3234" s="50">
        <f t="shared" si="110"/>
        <v>44.24657534</v>
      </c>
      <c r="F3234" s="51">
        <f t="shared" si="110"/>
        <v>4.6383188500000001</v>
      </c>
      <c r="H3234" s="33"/>
      <c r="I3234" s="33"/>
      <c r="J3234" s="33"/>
      <c r="K3234" s="33"/>
      <c r="L3234" s="33"/>
      <c r="M3234" s="33"/>
      <c r="N3234" s="33"/>
      <c r="O3234" s="33"/>
      <c r="P3234" s="33"/>
      <c r="Q3234" s="33"/>
      <c r="R3234" s="33"/>
      <c r="S3234" s="33"/>
      <c r="T3234" s="33"/>
      <c r="U3234" s="33"/>
      <c r="V3234" s="33"/>
      <c r="W3234" s="33"/>
      <c r="X3234" s="33"/>
      <c r="Y3234" s="33"/>
      <c r="Z3234" s="33"/>
      <c r="AA3234" s="33"/>
      <c r="AB3234" s="33"/>
    </row>
    <row r="3235" spans="1:28" x14ac:dyDescent="0.15">
      <c r="A3235" s="46" t="s">
        <v>6521</v>
      </c>
      <c r="B3235" s="52" t="s">
        <v>7361</v>
      </c>
      <c r="C3235" s="53" t="s">
        <v>6522</v>
      </c>
      <c r="D3235" s="54" t="s">
        <v>10672</v>
      </c>
      <c r="E3235" s="50">
        <f t="shared" si="110"/>
        <v>44.26027397</v>
      </c>
      <c r="F3235" s="51">
        <f t="shared" si="110"/>
        <v>4.6382981299999999</v>
      </c>
      <c r="H3235" s="33"/>
      <c r="I3235" s="33"/>
      <c r="J3235" s="33"/>
      <c r="K3235" s="33"/>
      <c r="L3235" s="33"/>
      <c r="M3235" s="33"/>
      <c r="N3235" s="33"/>
      <c r="O3235" s="33"/>
      <c r="P3235" s="33"/>
      <c r="Q3235" s="33"/>
      <c r="R3235" s="33"/>
      <c r="S3235" s="33"/>
      <c r="T3235" s="33"/>
      <c r="U3235" s="33"/>
      <c r="V3235" s="33"/>
      <c r="W3235" s="33"/>
      <c r="X3235" s="33"/>
      <c r="Y3235" s="33"/>
      <c r="Z3235" s="33"/>
      <c r="AA3235" s="33"/>
      <c r="AB3235" s="33"/>
    </row>
    <row r="3236" spans="1:28" x14ac:dyDescent="0.15">
      <c r="A3236" s="46" t="s">
        <v>6523</v>
      </c>
      <c r="B3236" s="52" t="s">
        <v>7361</v>
      </c>
      <c r="C3236" s="53" t="s">
        <v>6524</v>
      </c>
      <c r="D3236" s="54" t="s">
        <v>10673</v>
      </c>
      <c r="E3236" s="50">
        <f t="shared" si="110"/>
        <v>44.2739726</v>
      </c>
      <c r="F3236" s="51">
        <f t="shared" si="110"/>
        <v>4.6382772699999997</v>
      </c>
      <c r="H3236" s="33"/>
      <c r="I3236" s="33"/>
      <c r="J3236" s="33"/>
      <c r="K3236" s="33"/>
      <c r="L3236" s="33"/>
      <c r="M3236" s="33"/>
      <c r="N3236" s="33"/>
      <c r="O3236" s="33"/>
      <c r="P3236" s="33"/>
      <c r="Q3236" s="33"/>
      <c r="R3236" s="33"/>
      <c r="S3236" s="33"/>
      <c r="T3236" s="33"/>
      <c r="U3236" s="33"/>
      <c r="V3236" s="33"/>
      <c r="W3236" s="33"/>
      <c r="X3236" s="33"/>
      <c r="Y3236" s="33"/>
      <c r="Z3236" s="33"/>
      <c r="AA3236" s="33"/>
      <c r="AB3236" s="33"/>
    </row>
    <row r="3237" spans="1:28" x14ac:dyDescent="0.15">
      <c r="A3237" s="46" t="s">
        <v>6525</v>
      </c>
      <c r="B3237" s="52" t="s">
        <v>7361</v>
      </c>
      <c r="C3237" s="53" t="s">
        <v>6526</v>
      </c>
      <c r="D3237" s="54" t="s">
        <v>10674</v>
      </c>
      <c r="E3237" s="50">
        <f t="shared" si="110"/>
        <v>44.287671230000001</v>
      </c>
      <c r="F3237" s="51">
        <f t="shared" si="110"/>
        <v>4.6382563000000001</v>
      </c>
      <c r="H3237" s="33"/>
      <c r="I3237" s="33"/>
      <c r="J3237" s="33"/>
      <c r="K3237" s="33"/>
      <c r="L3237" s="33"/>
      <c r="M3237" s="33"/>
      <c r="N3237" s="33"/>
      <c r="O3237" s="33"/>
      <c r="P3237" s="33"/>
      <c r="Q3237" s="33"/>
      <c r="R3237" s="33"/>
      <c r="S3237" s="33"/>
      <c r="T3237" s="33"/>
      <c r="U3237" s="33"/>
      <c r="V3237" s="33"/>
      <c r="W3237" s="33"/>
      <c r="X3237" s="33"/>
      <c r="Y3237" s="33"/>
      <c r="Z3237" s="33"/>
      <c r="AA3237" s="33"/>
      <c r="AB3237" s="33"/>
    </row>
    <row r="3238" spans="1:28" x14ac:dyDescent="0.15">
      <c r="A3238" s="46" t="s">
        <v>6527</v>
      </c>
      <c r="B3238" s="52" t="s">
        <v>7361</v>
      </c>
      <c r="C3238" s="53" t="s">
        <v>6528</v>
      </c>
      <c r="D3238" s="54" t="s">
        <v>10675</v>
      </c>
      <c r="E3238" s="50">
        <f t="shared" si="110"/>
        <v>44.301369860000001</v>
      </c>
      <c r="F3238" s="51">
        <f t="shared" si="110"/>
        <v>4.6382352500000001</v>
      </c>
      <c r="H3238" s="33"/>
      <c r="I3238" s="33"/>
      <c r="J3238" s="33"/>
      <c r="K3238" s="33"/>
      <c r="L3238" s="33"/>
      <c r="M3238" s="33"/>
      <c r="N3238" s="33"/>
      <c r="O3238" s="33"/>
      <c r="P3238" s="33"/>
      <c r="Q3238" s="33"/>
      <c r="R3238" s="33"/>
      <c r="S3238" s="33"/>
      <c r="T3238" s="33"/>
      <c r="U3238" s="33"/>
      <c r="V3238" s="33"/>
      <c r="W3238" s="33"/>
      <c r="X3238" s="33"/>
      <c r="Y3238" s="33"/>
      <c r="Z3238" s="33"/>
      <c r="AA3238" s="33"/>
      <c r="AB3238" s="33"/>
    </row>
    <row r="3239" spans="1:28" x14ac:dyDescent="0.15">
      <c r="A3239" s="46" t="s">
        <v>6529</v>
      </c>
      <c r="B3239" s="52" t="s">
        <v>7361</v>
      </c>
      <c r="C3239" s="53" t="s">
        <v>6530</v>
      </c>
      <c r="D3239" s="54" t="s">
        <v>10676</v>
      </c>
      <c r="E3239" s="50">
        <f t="shared" si="110"/>
        <v>44.315068490000002</v>
      </c>
      <c r="F3239" s="51">
        <f t="shared" si="110"/>
        <v>4.6382141299999997</v>
      </c>
      <c r="H3239" s="33"/>
      <c r="I3239" s="33"/>
      <c r="J3239" s="33"/>
      <c r="K3239" s="33"/>
      <c r="L3239" s="33"/>
      <c r="M3239" s="33"/>
      <c r="N3239" s="33"/>
      <c r="O3239" s="33"/>
      <c r="P3239" s="33"/>
      <c r="Q3239" s="33"/>
      <c r="R3239" s="33"/>
      <c r="S3239" s="33"/>
      <c r="T3239" s="33"/>
      <c r="U3239" s="33"/>
      <c r="V3239" s="33"/>
      <c r="W3239" s="33"/>
      <c r="X3239" s="33"/>
      <c r="Y3239" s="33"/>
      <c r="Z3239" s="33"/>
      <c r="AA3239" s="33"/>
      <c r="AB3239" s="33"/>
    </row>
    <row r="3240" spans="1:28" x14ac:dyDescent="0.15">
      <c r="A3240" s="46" t="s">
        <v>6531</v>
      </c>
      <c r="B3240" s="52" t="s">
        <v>7361</v>
      </c>
      <c r="C3240" s="53" t="s">
        <v>6532</v>
      </c>
      <c r="D3240" s="54" t="s">
        <v>10677</v>
      </c>
      <c r="E3240" s="50">
        <f t="shared" si="110"/>
        <v>44.328767120000002</v>
      </c>
      <c r="F3240" s="51">
        <f t="shared" si="110"/>
        <v>4.6381929900000003</v>
      </c>
      <c r="H3240" s="33"/>
      <c r="I3240" s="33"/>
      <c r="J3240" s="33"/>
      <c r="K3240" s="33"/>
      <c r="L3240" s="33"/>
      <c r="M3240" s="33"/>
      <c r="N3240" s="33"/>
      <c r="O3240" s="33"/>
      <c r="P3240" s="33"/>
      <c r="Q3240" s="33"/>
      <c r="R3240" s="33"/>
      <c r="S3240" s="33"/>
      <c r="T3240" s="33"/>
      <c r="U3240" s="33"/>
      <c r="V3240" s="33"/>
      <c r="W3240" s="33"/>
      <c r="X3240" s="33"/>
      <c r="Y3240" s="33"/>
      <c r="Z3240" s="33"/>
      <c r="AA3240" s="33"/>
      <c r="AB3240" s="33"/>
    </row>
    <row r="3241" spans="1:28" x14ac:dyDescent="0.15">
      <c r="A3241" s="46" t="s">
        <v>6533</v>
      </c>
      <c r="B3241" s="52" t="s">
        <v>7361</v>
      </c>
      <c r="C3241" s="53" t="s">
        <v>6534</v>
      </c>
      <c r="D3241" s="54" t="s">
        <v>10678</v>
      </c>
      <c r="E3241" s="50">
        <f t="shared" si="110"/>
        <v>44.342465750000002</v>
      </c>
      <c r="F3241" s="51">
        <f t="shared" si="110"/>
        <v>4.6381718300000001</v>
      </c>
      <c r="H3241" s="33"/>
      <c r="I3241" s="33"/>
      <c r="J3241" s="33"/>
      <c r="K3241" s="33"/>
      <c r="L3241" s="33"/>
      <c r="M3241" s="33"/>
      <c r="N3241" s="33"/>
      <c r="O3241" s="33"/>
      <c r="P3241" s="33"/>
      <c r="Q3241" s="33"/>
      <c r="R3241" s="33"/>
      <c r="S3241" s="33"/>
      <c r="T3241" s="33"/>
      <c r="U3241" s="33"/>
      <c r="V3241" s="33"/>
      <c r="W3241" s="33"/>
      <c r="X3241" s="33"/>
      <c r="Y3241" s="33"/>
      <c r="Z3241" s="33"/>
      <c r="AA3241" s="33"/>
      <c r="AB3241" s="33"/>
    </row>
    <row r="3242" spans="1:28" x14ac:dyDescent="0.15">
      <c r="A3242" s="46" t="s">
        <v>6535</v>
      </c>
      <c r="B3242" s="52" t="s">
        <v>7361</v>
      </c>
      <c r="C3242" s="53" t="s">
        <v>6536</v>
      </c>
      <c r="D3242" s="54" t="s">
        <v>10679</v>
      </c>
      <c r="E3242" s="50">
        <f t="shared" si="110"/>
        <v>44.356164380000003</v>
      </c>
      <c r="F3242" s="51">
        <f t="shared" si="110"/>
        <v>4.6381506899999998</v>
      </c>
      <c r="H3242" s="33"/>
      <c r="I3242" s="33"/>
      <c r="J3242" s="33"/>
      <c r="K3242" s="33"/>
      <c r="L3242" s="33"/>
      <c r="M3242" s="33"/>
      <c r="N3242" s="33"/>
      <c r="O3242" s="33"/>
      <c r="P3242" s="33"/>
      <c r="Q3242" s="33"/>
      <c r="R3242" s="33"/>
      <c r="S3242" s="33"/>
      <c r="T3242" s="33"/>
      <c r="U3242" s="33"/>
      <c r="V3242" s="33"/>
      <c r="W3242" s="33"/>
      <c r="X3242" s="33"/>
      <c r="Y3242" s="33"/>
      <c r="Z3242" s="33"/>
      <c r="AA3242" s="33"/>
      <c r="AB3242" s="33"/>
    </row>
    <row r="3243" spans="1:28" x14ac:dyDescent="0.15">
      <c r="A3243" s="46" t="s">
        <v>6537</v>
      </c>
      <c r="B3243" s="52" t="s">
        <v>7361</v>
      </c>
      <c r="C3243" s="53" t="s">
        <v>6538</v>
      </c>
      <c r="D3243" s="54" t="s">
        <v>10680</v>
      </c>
      <c r="E3243" s="50">
        <f t="shared" si="110"/>
        <v>44.369863010000003</v>
      </c>
      <c r="F3243" s="51">
        <f t="shared" si="110"/>
        <v>4.6381295900000001</v>
      </c>
      <c r="H3243" s="33"/>
      <c r="I3243" s="33"/>
      <c r="J3243" s="33"/>
      <c r="K3243" s="33"/>
      <c r="L3243" s="33"/>
      <c r="M3243" s="33"/>
      <c r="N3243" s="33"/>
      <c r="O3243" s="33"/>
      <c r="P3243" s="33"/>
      <c r="Q3243" s="33"/>
      <c r="R3243" s="33"/>
      <c r="S3243" s="33"/>
      <c r="T3243" s="33"/>
      <c r="U3243" s="33"/>
      <c r="V3243" s="33"/>
      <c r="W3243" s="33"/>
      <c r="X3243" s="33"/>
      <c r="Y3243" s="33"/>
      <c r="Z3243" s="33"/>
      <c r="AA3243" s="33"/>
      <c r="AB3243" s="33"/>
    </row>
    <row r="3244" spans="1:28" x14ac:dyDescent="0.15">
      <c r="A3244" s="46" t="s">
        <v>6539</v>
      </c>
      <c r="B3244" s="52" t="s">
        <v>7361</v>
      </c>
      <c r="C3244" s="53" t="s">
        <v>6540</v>
      </c>
      <c r="D3244" s="54" t="s">
        <v>10681</v>
      </c>
      <c r="E3244" s="50">
        <f t="shared" si="110"/>
        <v>44.383561640000003</v>
      </c>
      <c r="F3244" s="51">
        <f t="shared" si="110"/>
        <v>4.63810857</v>
      </c>
      <c r="H3244" s="33"/>
      <c r="I3244" s="33"/>
      <c r="J3244" s="33"/>
      <c r="K3244" s="33"/>
      <c r="L3244" s="33"/>
      <c r="M3244" s="33"/>
      <c r="N3244" s="33"/>
      <c r="O3244" s="33"/>
      <c r="P3244" s="33"/>
      <c r="Q3244" s="33"/>
      <c r="R3244" s="33"/>
      <c r="S3244" s="33"/>
      <c r="T3244" s="33"/>
      <c r="U3244" s="33"/>
      <c r="V3244" s="33"/>
      <c r="W3244" s="33"/>
      <c r="X3244" s="33"/>
      <c r="Y3244" s="33"/>
      <c r="Z3244" s="33"/>
      <c r="AA3244" s="33"/>
      <c r="AB3244" s="33"/>
    </row>
    <row r="3245" spans="1:28" x14ac:dyDescent="0.15">
      <c r="A3245" s="46" t="s">
        <v>6541</v>
      </c>
      <c r="B3245" s="52" t="s">
        <v>7361</v>
      </c>
      <c r="C3245" s="53" t="s">
        <v>6542</v>
      </c>
      <c r="D3245" s="54" t="s">
        <v>10682</v>
      </c>
      <c r="E3245" s="50">
        <f t="shared" si="110"/>
        <v>44.397260269999997</v>
      </c>
      <c r="F3245" s="51">
        <f t="shared" si="110"/>
        <v>4.6380876300000002</v>
      </c>
      <c r="H3245" s="33"/>
      <c r="I3245" s="33"/>
      <c r="J3245" s="33"/>
      <c r="K3245" s="33"/>
      <c r="L3245" s="33"/>
      <c r="M3245" s="33"/>
      <c r="N3245" s="33"/>
      <c r="O3245" s="33"/>
      <c r="P3245" s="33"/>
      <c r="Q3245" s="33"/>
      <c r="R3245" s="33"/>
      <c r="S3245" s="33"/>
      <c r="T3245" s="33"/>
      <c r="U3245" s="33"/>
      <c r="V3245" s="33"/>
      <c r="W3245" s="33"/>
      <c r="X3245" s="33"/>
      <c r="Y3245" s="33"/>
      <c r="Z3245" s="33"/>
      <c r="AA3245" s="33"/>
      <c r="AB3245" s="33"/>
    </row>
    <row r="3246" spans="1:28" x14ac:dyDescent="0.15">
      <c r="A3246" s="46" t="s">
        <v>6543</v>
      </c>
      <c r="B3246" s="52" t="s">
        <v>7361</v>
      </c>
      <c r="C3246" s="53" t="s">
        <v>6544</v>
      </c>
      <c r="D3246" s="54" t="s">
        <v>10683</v>
      </c>
      <c r="E3246" s="50">
        <f t="shared" si="110"/>
        <v>44.410958899999997</v>
      </c>
      <c r="F3246" s="51">
        <f t="shared" si="110"/>
        <v>4.6380668099999998</v>
      </c>
      <c r="H3246" s="33"/>
      <c r="I3246" s="33"/>
      <c r="J3246" s="33"/>
      <c r="K3246" s="33"/>
      <c r="L3246" s="33"/>
      <c r="M3246" s="33"/>
      <c r="N3246" s="33"/>
      <c r="O3246" s="33"/>
      <c r="P3246" s="33"/>
      <c r="Q3246" s="33"/>
      <c r="R3246" s="33"/>
      <c r="S3246" s="33"/>
      <c r="T3246" s="33"/>
      <c r="U3246" s="33"/>
      <c r="V3246" s="33"/>
      <c r="W3246" s="33"/>
      <c r="X3246" s="33"/>
      <c r="Y3246" s="33"/>
      <c r="Z3246" s="33"/>
      <c r="AA3246" s="33"/>
      <c r="AB3246" s="33"/>
    </row>
    <row r="3247" spans="1:28" x14ac:dyDescent="0.15">
      <c r="A3247" s="46" t="s">
        <v>6545</v>
      </c>
      <c r="B3247" s="52" t="s">
        <v>7361</v>
      </c>
      <c r="C3247" s="53" t="s">
        <v>6546</v>
      </c>
      <c r="D3247" s="54" t="s">
        <v>10684</v>
      </c>
      <c r="E3247" s="50">
        <f t="shared" si="110"/>
        <v>44.424657529999998</v>
      </c>
      <c r="F3247" s="51">
        <f t="shared" si="110"/>
        <v>4.6380461400000002</v>
      </c>
      <c r="H3247" s="33"/>
      <c r="I3247" s="33"/>
      <c r="J3247" s="33"/>
      <c r="K3247" s="33"/>
      <c r="L3247" s="33"/>
      <c r="M3247" s="33"/>
      <c r="N3247" s="33"/>
      <c r="O3247" s="33"/>
      <c r="P3247" s="33"/>
      <c r="Q3247" s="33"/>
      <c r="R3247" s="33"/>
      <c r="S3247" s="33"/>
      <c r="T3247" s="33"/>
      <c r="U3247" s="33"/>
      <c r="V3247" s="33"/>
      <c r="W3247" s="33"/>
      <c r="X3247" s="33"/>
      <c r="Y3247" s="33"/>
      <c r="Z3247" s="33"/>
      <c r="AA3247" s="33"/>
      <c r="AB3247" s="33"/>
    </row>
    <row r="3248" spans="1:28" x14ac:dyDescent="0.15">
      <c r="A3248" s="46" t="s">
        <v>6547</v>
      </c>
      <c r="B3248" s="52" t="s">
        <v>7361</v>
      </c>
      <c r="C3248" s="53" t="s">
        <v>6548</v>
      </c>
      <c r="D3248" s="54" t="s">
        <v>10685</v>
      </c>
      <c r="E3248" s="50">
        <f t="shared" si="110"/>
        <v>44.438356159999998</v>
      </c>
      <c r="F3248" s="51">
        <f t="shared" si="110"/>
        <v>4.6380256400000004</v>
      </c>
      <c r="H3248" s="33"/>
      <c r="I3248" s="33"/>
      <c r="J3248" s="33"/>
      <c r="K3248" s="33"/>
      <c r="L3248" s="33"/>
      <c r="M3248" s="33"/>
      <c r="N3248" s="33"/>
      <c r="O3248" s="33"/>
      <c r="P3248" s="33"/>
      <c r="Q3248" s="33"/>
      <c r="R3248" s="33"/>
      <c r="S3248" s="33"/>
      <c r="T3248" s="33"/>
      <c r="U3248" s="33"/>
      <c r="V3248" s="33"/>
      <c r="W3248" s="33"/>
      <c r="X3248" s="33"/>
      <c r="Y3248" s="33"/>
      <c r="Z3248" s="33"/>
      <c r="AA3248" s="33"/>
      <c r="AB3248" s="33"/>
    </row>
    <row r="3249" spans="1:28" x14ac:dyDescent="0.15">
      <c r="A3249" s="46" t="s">
        <v>6549</v>
      </c>
      <c r="B3249" s="52" t="s">
        <v>7361</v>
      </c>
      <c r="C3249" s="53" t="s">
        <v>6550</v>
      </c>
      <c r="D3249" s="54" t="s">
        <v>10686</v>
      </c>
      <c r="E3249" s="50">
        <f t="shared" si="110"/>
        <v>44.452054789999998</v>
      </c>
      <c r="F3249" s="51">
        <f t="shared" si="110"/>
        <v>4.6380053300000004</v>
      </c>
      <c r="H3249" s="33"/>
      <c r="I3249" s="33"/>
      <c r="J3249" s="33"/>
      <c r="K3249" s="33"/>
      <c r="L3249" s="33"/>
      <c r="M3249" s="33"/>
      <c r="N3249" s="33"/>
      <c r="O3249" s="33"/>
      <c r="P3249" s="33"/>
      <c r="Q3249" s="33"/>
      <c r="R3249" s="33"/>
      <c r="S3249" s="33"/>
      <c r="T3249" s="33"/>
      <c r="U3249" s="33"/>
      <c r="V3249" s="33"/>
      <c r="W3249" s="33"/>
      <c r="X3249" s="33"/>
      <c r="Y3249" s="33"/>
      <c r="Z3249" s="33"/>
      <c r="AA3249" s="33"/>
      <c r="AB3249" s="33"/>
    </row>
    <row r="3250" spans="1:28" x14ac:dyDescent="0.15">
      <c r="A3250" s="46" t="s">
        <v>6551</v>
      </c>
      <c r="B3250" s="52" t="s">
        <v>7361</v>
      </c>
      <c r="C3250" s="53" t="s">
        <v>6552</v>
      </c>
      <c r="D3250" s="54" t="s">
        <v>10687</v>
      </c>
      <c r="E3250" s="50">
        <f t="shared" ref="E3250:F3279" si="111">VALUE(C3250)</f>
        <v>44.465753419999999</v>
      </c>
      <c r="F3250" s="51">
        <f t="shared" si="111"/>
        <v>4.6379852399999999</v>
      </c>
      <c r="H3250" s="33"/>
      <c r="I3250" s="33"/>
      <c r="J3250" s="33"/>
      <c r="K3250" s="33"/>
      <c r="L3250" s="33"/>
      <c r="M3250" s="33"/>
      <c r="N3250" s="33"/>
      <c r="O3250" s="33"/>
      <c r="P3250" s="33"/>
      <c r="Q3250" s="33"/>
      <c r="R3250" s="33"/>
      <c r="S3250" s="33"/>
      <c r="T3250" s="33"/>
      <c r="U3250" s="33"/>
      <c r="V3250" s="33"/>
      <c r="W3250" s="33"/>
      <c r="X3250" s="33"/>
      <c r="Y3250" s="33"/>
      <c r="Z3250" s="33"/>
      <c r="AA3250" s="33"/>
      <c r="AB3250" s="33"/>
    </row>
    <row r="3251" spans="1:28" x14ac:dyDescent="0.15">
      <c r="A3251" s="46" t="s">
        <v>6553</v>
      </c>
      <c r="B3251" s="52" t="s">
        <v>7361</v>
      </c>
      <c r="C3251" s="53" t="s">
        <v>6554</v>
      </c>
      <c r="D3251" s="54" t="s">
        <v>10688</v>
      </c>
      <c r="E3251" s="50">
        <f t="shared" si="111"/>
        <v>44.479452049999999</v>
      </c>
      <c r="F3251" s="51">
        <f t="shared" si="111"/>
        <v>4.6379653999999997</v>
      </c>
      <c r="H3251" s="33"/>
      <c r="I3251" s="33"/>
      <c r="J3251" s="33"/>
      <c r="K3251" s="33"/>
      <c r="L3251" s="33"/>
      <c r="M3251" s="33"/>
      <c r="N3251" s="33"/>
      <c r="O3251" s="33"/>
      <c r="P3251" s="33"/>
      <c r="Q3251" s="33"/>
      <c r="R3251" s="33"/>
      <c r="S3251" s="33"/>
      <c r="T3251" s="33"/>
      <c r="U3251" s="33"/>
      <c r="V3251" s="33"/>
      <c r="W3251" s="33"/>
      <c r="X3251" s="33"/>
      <c r="Y3251" s="33"/>
      <c r="Z3251" s="33"/>
      <c r="AA3251" s="33"/>
      <c r="AB3251" s="33"/>
    </row>
    <row r="3252" spans="1:28" x14ac:dyDescent="0.15">
      <c r="A3252" s="46" t="s">
        <v>6555</v>
      </c>
      <c r="B3252" s="52" t="s">
        <v>7361</v>
      </c>
      <c r="C3252" s="53" t="s">
        <v>6556</v>
      </c>
      <c r="D3252" s="54" t="s">
        <v>10689</v>
      </c>
      <c r="E3252" s="50">
        <f t="shared" si="111"/>
        <v>44.493150679999999</v>
      </c>
      <c r="F3252" s="51">
        <f t="shared" si="111"/>
        <v>4.6379458299999996</v>
      </c>
      <c r="H3252" s="33"/>
      <c r="I3252" s="33"/>
      <c r="J3252" s="33"/>
      <c r="K3252" s="33"/>
      <c r="L3252" s="33"/>
      <c r="M3252" s="33"/>
      <c r="N3252" s="33"/>
      <c r="O3252" s="33"/>
      <c r="P3252" s="33"/>
      <c r="Q3252" s="33"/>
      <c r="R3252" s="33"/>
      <c r="S3252" s="33"/>
      <c r="T3252" s="33"/>
      <c r="U3252" s="33"/>
      <c r="V3252" s="33"/>
      <c r="W3252" s="33"/>
      <c r="X3252" s="33"/>
      <c r="Y3252" s="33"/>
      <c r="Z3252" s="33"/>
      <c r="AA3252" s="33"/>
      <c r="AB3252" s="33"/>
    </row>
    <row r="3253" spans="1:28" x14ac:dyDescent="0.15">
      <c r="A3253" s="46" t="s">
        <v>6557</v>
      </c>
      <c r="B3253" s="52" t="s">
        <v>7361</v>
      </c>
      <c r="C3253" s="53" t="s">
        <v>6558</v>
      </c>
      <c r="D3253" s="54" t="s">
        <v>10690</v>
      </c>
      <c r="E3253" s="50">
        <f t="shared" si="111"/>
        <v>44.506849320000001</v>
      </c>
      <c r="F3253" s="51">
        <f t="shared" si="111"/>
        <v>4.6379264500000001</v>
      </c>
      <c r="H3253" s="33"/>
      <c r="I3253" s="33"/>
      <c r="J3253" s="33"/>
      <c r="K3253" s="33"/>
      <c r="L3253" s="33"/>
      <c r="M3253" s="33"/>
      <c r="N3253" s="33"/>
      <c r="O3253" s="33"/>
      <c r="P3253" s="33"/>
      <c r="Q3253" s="33"/>
      <c r="R3253" s="33"/>
      <c r="S3253" s="33"/>
      <c r="T3253" s="33"/>
      <c r="U3253" s="33"/>
      <c r="V3253" s="33"/>
      <c r="W3253" s="33"/>
      <c r="X3253" s="33"/>
      <c r="Y3253" s="33"/>
      <c r="Z3253" s="33"/>
      <c r="AA3253" s="33"/>
      <c r="AB3253" s="33"/>
    </row>
    <row r="3254" spans="1:28" x14ac:dyDescent="0.15">
      <c r="A3254" s="46" t="s">
        <v>6559</v>
      </c>
      <c r="B3254" s="52" t="s">
        <v>7361</v>
      </c>
      <c r="C3254" s="53" t="s">
        <v>6560</v>
      </c>
      <c r="D3254" s="54" t="s">
        <v>10691</v>
      </c>
      <c r="E3254" s="50">
        <f t="shared" si="111"/>
        <v>44.520547950000001</v>
      </c>
      <c r="F3254" s="51">
        <f t="shared" si="111"/>
        <v>4.6379066900000003</v>
      </c>
      <c r="H3254" s="33"/>
      <c r="I3254" s="33"/>
      <c r="J3254" s="33"/>
      <c r="K3254" s="33"/>
      <c r="L3254" s="33"/>
      <c r="M3254" s="33"/>
      <c r="N3254" s="33"/>
      <c r="O3254" s="33"/>
      <c r="P3254" s="33"/>
      <c r="Q3254" s="33"/>
      <c r="R3254" s="33"/>
      <c r="S3254" s="33"/>
      <c r="T3254" s="33"/>
      <c r="U3254" s="33"/>
      <c r="V3254" s="33"/>
      <c r="W3254" s="33"/>
      <c r="X3254" s="33"/>
      <c r="Y3254" s="33"/>
      <c r="Z3254" s="33"/>
      <c r="AA3254" s="33"/>
      <c r="AB3254" s="33"/>
    </row>
    <row r="3255" spans="1:28" x14ac:dyDescent="0.15">
      <c r="A3255" s="46" t="s">
        <v>6561</v>
      </c>
      <c r="B3255" s="52" t="s">
        <v>7361</v>
      </c>
      <c r="C3255" s="53" t="s">
        <v>6562</v>
      </c>
      <c r="D3255" s="54" t="s">
        <v>10692</v>
      </c>
      <c r="E3255" s="50">
        <f t="shared" si="111"/>
        <v>44.534246580000001</v>
      </c>
      <c r="F3255" s="51">
        <f t="shared" si="111"/>
        <v>4.6378864699999998</v>
      </c>
      <c r="H3255" s="33"/>
      <c r="I3255" s="33"/>
      <c r="J3255" s="33"/>
      <c r="K3255" s="33"/>
      <c r="L3255" s="33"/>
      <c r="M3255" s="33"/>
      <c r="N3255" s="33"/>
      <c r="O3255" s="33"/>
      <c r="P3255" s="33"/>
      <c r="Q3255" s="33"/>
      <c r="R3255" s="33"/>
      <c r="S3255" s="33"/>
      <c r="T3255" s="33"/>
      <c r="U3255" s="33"/>
      <c r="V3255" s="33"/>
      <c r="W3255" s="33"/>
      <c r="X3255" s="33"/>
      <c r="Y3255" s="33"/>
      <c r="Z3255" s="33"/>
      <c r="AA3255" s="33"/>
      <c r="AB3255" s="33"/>
    </row>
    <row r="3256" spans="1:28" x14ac:dyDescent="0.15">
      <c r="A3256" s="46" t="s">
        <v>6563</v>
      </c>
      <c r="B3256" s="52" t="s">
        <v>7361</v>
      </c>
      <c r="C3256" s="53" t="s">
        <v>6564</v>
      </c>
      <c r="D3256" s="54" t="s">
        <v>10693</v>
      </c>
      <c r="E3256" s="50">
        <f t="shared" si="111"/>
        <v>44.547945210000002</v>
      </c>
      <c r="F3256" s="51">
        <f t="shared" si="111"/>
        <v>4.6378658100000001</v>
      </c>
      <c r="H3256" s="33"/>
      <c r="I3256" s="33"/>
      <c r="J3256" s="33"/>
      <c r="K3256" s="33"/>
      <c r="L3256" s="33"/>
      <c r="M3256" s="33"/>
      <c r="N3256" s="33"/>
      <c r="O3256" s="33"/>
      <c r="P3256" s="33"/>
      <c r="Q3256" s="33"/>
      <c r="R3256" s="33"/>
      <c r="S3256" s="33"/>
      <c r="T3256" s="33"/>
      <c r="U3256" s="33"/>
      <c r="V3256" s="33"/>
      <c r="W3256" s="33"/>
      <c r="X3256" s="33"/>
      <c r="Y3256" s="33"/>
      <c r="Z3256" s="33"/>
      <c r="AA3256" s="33"/>
      <c r="AB3256" s="33"/>
    </row>
    <row r="3257" spans="1:28" x14ac:dyDescent="0.15">
      <c r="A3257" s="46" t="s">
        <v>6565</v>
      </c>
      <c r="B3257" s="52" t="s">
        <v>7361</v>
      </c>
      <c r="C3257" s="53" t="s">
        <v>6566</v>
      </c>
      <c r="D3257" s="54" t="s">
        <v>10694</v>
      </c>
      <c r="E3257" s="50">
        <f t="shared" si="111"/>
        <v>44.561643840000002</v>
      </c>
      <c r="F3257" s="51">
        <f t="shared" si="111"/>
        <v>4.6378447300000003</v>
      </c>
      <c r="H3257" s="33"/>
      <c r="I3257" s="33"/>
      <c r="J3257" s="33"/>
      <c r="K3257" s="33"/>
      <c r="L3257" s="33"/>
      <c r="M3257" s="33"/>
      <c r="N3257" s="33"/>
      <c r="O3257" s="33"/>
      <c r="P3257" s="33"/>
      <c r="Q3257" s="33"/>
      <c r="R3257" s="33"/>
      <c r="S3257" s="33"/>
      <c r="T3257" s="33"/>
      <c r="U3257" s="33"/>
      <c r="V3257" s="33"/>
      <c r="W3257" s="33"/>
      <c r="X3257" s="33"/>
      <c r="Y3257" s="33"/>
      <c r="Z3257" s="33"/>
      <c r="AA3257" s="33"/>
      <c r="AB3257" s="33"/>
    </row>
    <row r="3258" spans="1:28" x14ac:dyDescent="0.15">
      <c r="A3258" s="46" t="s">
        <v>6567</v>
      </c>
      <c r="B3258" s="52" t="s">
        <v>7361</v>
      </c>
      <c r="C3258" s="53" t="s">
        <v>6568</v>
      </c>
      <c r="D3258" s="54" t="s">
        <v>10695</v>
      </c>
      <c r="E3258" s="50">
        <f t="shared" si="111"/>
        <v>44.575342470000002</v>
      </c>
      <c r="F3258" s="51">
        <f t="shared" si="111"/>
        <v>4.6378232400000003</v>
      </c>
      <c r="H3258" s="33"/>
      <c r="I3258" s="33"/>
      <c r="J3258" s="33"/>
      <c r="K3258" s="33"/>
      <c r="L3258" s="33"/>
      <c r="M3258" s="33"/>
      <c r="N3258" s="33"/>
      <c r="O3258" s="33"/>
      <c r="P3258" s="33"/>
      <c r="Q3258" s="33"/>
      <c r="R3258" s="33"/>
      <c r="S3258" s="33"/>
      <c r="T3258" s="33"/>
      <c r="U3258" s="33"/>
      <c r="V3258" s="33"/>
      <c r="W3258" s="33"/>
      <c r="X3258" s="33"/>
      <c r="Y3258" s="33"/>
      <c r="Z3258" s="33"/>
      <c r="AA3258" s="33"/>
      <c r="AB3258" s="33"/>
    </row>
    <row r="3259" spans="1:28" x14ac:dyDescent="0.15">
      <c r="A3259" s="46" t="s">
        <v>6569</v>
      </c>
      <c r="B3259" s="52" t="s">
        <v>7361</v>
      </c>
      <c r="C3259" s="53" t="s">
        <v>6570</v>
      </c>
      <c r="D3259" s="54" t="s">
        <v>10696</v>
      </c>
      <c r="E3259" s="50">
        <f t="shared" si="111"/>
        <v>44.589041100000003</v>
      </c>
      <c r="F3259" s="51">
        <f t="shared" si="111"/>
        <v>4.63780137</v>
      </c>
      <c r="H3259" s="33"/>
      <c r="I3259" s="33"/>
      <c r="J3259" s="33"/>
      <c r="K3259" s="33"/>
      <c r="L3259" s="33"/>
      <c r="M3259" s="33"/>
      <c r="N3259" s="33"/>
      <c r="O3259" s="33"/>
      <c r="P3259" s="33"/>
      <c r="Q3259" s="33"/>
      <c r="R3259" s="33"/>
      <c r="S3259" s="33"/>
      <c r="T3259" s="33"/>
      <c r="U3259" s="33"/>
      <c r="V3259" s="33"/>
      <c r="W3259" s="33"/>
      <c r="X3259" s="33"/>
      <c r="Y3259" s="33"/>
      <c r="Z3259" s="33"/>
      <c r="AA3259" s="33"/>
      <c r="AB3259" s="33"/>
    </row>
    <row r="3260" spans="1:28" x14ac:dyDescent="0.15">
      <c r="A3260" s="46" t="s">
        <v>6571</v>
      </c>
      <c r="B3260" s="52" t="s">
        <v>7361</v>
      </c>
      <c r="C3260" s="53" t="s">
        <v>6572</v>
      </c>
      <c r="D3260" s="54" t="s">
        <v>10697</v>
      </c>
      <c r="E3260" s="50">
        <f t="shared" si="111"/>
        <v>44.602739730000003</v>
      </c>
      <c r="F3260" s="51">
        <f t="shared" si="111"/>
        <v>4.6377791400000001</v>
      </c>
      <c r="H3260" s="33"/>
      <c r="I3260" s="33"/>
      <c r="J3260" s="33"/>
      <c r="K3260" s="33"/>
      <c r="L3260" s="33"/>
      <c r="M3260" s="33"/>
      <c r="N3260" s="33"/>
      <c r="O3260" s="33"/>
      <c r="P3260" s="33"/>
      <c r="Q3260" s="33"/>
      <c r="R3260" s="33"/>
      <c r="S3260" s="33"/>
      <c r="T3260" s="33"/>
      <c r="U3260" s="33"/>
      <c r="V3260" s="33"/>
      <c r="W3260" s="33"/>
      <c r="X3260" s="33"/>
      <c r="Y3260" s="33"/>
      <c r="Z3260" s="33"/>
      <c r="AA3260" s="33"/>
      <c r="AB3260" s="33"/>
    </row>
    <row r="3261" spans="1:28" x14ac:dyDescent="0.15">
      <c r="A3261" s="46" t="s">
        <v>6573</v>
      </c>
      <c r="B3261" s="52" t="s">
        <v>7361</v>
      </c>
      <c r="C3261" s="53" t="s">
        <v>6574</v>
      </c>
      <c r="D3261" s="54" t="s">
        <v>10698</v>
      </c>
      <c r="E3261" s="50">
        <f t="shared" si="111"/>
        <v>44.616438359999997</v>
      </c>
      <c r="F3261" s="51">
        <f t="shared" si="111"/>
        <v>4.6377565699999996</v>
      </c>
      <c r="H3261" s="33"/>
      <c r="I3261" s="33"/>
      <c r="J3261" s="33"/>
      <c r="K3261" s="33"/>
      <c r="L3261" s="33"/>
      <c r="M3261" s="33"/>
      <c r="N3261" s="33"/>
      <c r="O3261" s="33"/>
      <c r="P3261" s="33"/>
      <c r="Q3261" s="33"/>
      <c r="R3261" s="33"/>
      <c r="S3261" s="33"/>
      <c r="T3261" s="33"/>
      <c r="U3261" s="33"/>
      <c r="V3261" s="33"/>
      <c r="W3261" s="33"/>
      <c r="X3261" s="33"/>
      <c r="Y3261" s="33"/>
      <c r="Z3261" s="33"/>
      <c r="AA3261" s="33"/>
      <c r="AB3261" s="33"/>
    </row>
    <row r="3262" spans="1:28" x14ac:dyDescent="0.15">
      <c r="A3262" s="46" t="s">
        <v>6575</v>
      </c>
      <c r="B3262" s="52" t="s">
        <v>7361</v>
      </c>
      <c r="C3262" s="53" t="s">
        <v>6576</v>
      </c>
      <c r="D3262" s="54" t="s">
        <v>10699</v>
      </c>
      <c r="E3262" s="50">
        <f t="shared" si="111"/>
        <v>44.630136989999997</v>
      </c>
      <c r="F3262" s="51">
        <f t="shared" si="111"/>
        <v>4.6377336800000002</v>
      </c>
      <c r="H3262" s="33"/>
      <c r="I3262" s="33"/>
      <c r="J3262" s="33"/>
      <c r="K3262" s="33"/>
      <c r="L3262" s="33"/>
      <c r="M3262" s="33"/>
      <c r="N3262" s="33"/>
      <c r="O3262" s="33"/>
      <c r="P3262" s="33"/>
      <c r="Q3262" s="33"/>
      <c r="R3262" s="33"/>
      <c r="S3262" s="33"/>
      <c r="T3262" s="33"/>
      <c r="U3262" s="33"/>
      <c r="V3262" s="33"/>
      <c r="W3262" s="33"/>
      <c r="X3262" s="33"/>
      <c r="Y3262" s="33"/>
      <c r="Z3262" s="33"/>
      <c r="AA3262" s="33"/>
      <c r="AB3262" s="33"/>
    </row>
    <row r="3263" spans="1:28" x14ac:dyDescent="0.15">
      <c r="A3263" s="46" t="s">
        <v>6577</v>
      </c>
      <c r="B3263" s="52" t="s">
        <v>7361</v>
      </c>
      <c r="C3263" s="53" t="s">
        <v>6578</v>
      </c>
      <c r="D3263" s="54" t="s">
        <v>10700</v>
      </c>
      <c r="E3263" s="50">
        <f t="shared" si="111"/>
        <v>44.643835619999997</v>
      </c>
      <c r="F3263" s="51">
        <f t="shared" si="111"/>
        <v>4.6377104899999999</v>
      </c>
      <c r="H3263" s="33"/>
      <c r="I3263" s="33"/>
      <c r="J3263" s="33"/>
      <c r="K3263" s="33"/>
      <c r="L3263" s="33"/>
      <c r="M3263" s="33"/>
      <c r="N3263" s="33"/>
      <c r="O3263" s="33"/>
      <c r="P3263" s="33"/>
      <c r="Q3263" s="33"/>
      <c r="R3263" s="33"/>
      <c r="S3263" s="33"/>
      <c r="T3263" s="33"/>
      <c r="U3263" s="33"/>
      <c r="V3263" s="33"/>
      <c r="W3263" s="33"/>
      <c r="X3263" s="33"/>
      <c r="Y3263" s="33"/>
      <c r="Z3263" s="33"/>
      <c r="AA3263" s="33"/>
      <c r="AB3263" s="33"/>
    </row>
    <row r="3264" spans="1:28" x14ac:dyDescent="0.15">
      <c r="A3264" s="46" t="s">
        <v>6579</v>
      </c>
      <c r="B3264" s="52" t="s">
        <v>7361</v>
      </c>
      <c r="C3264" s="53" t="s">
        <v>6580</v>
      </c>
      <c r="D3264" s="54" t="s">
        <v>10701</v>
      </c>
      <c r="E3264" s="50">
        <f t="shared" si="111"/>
        <v>44.657534249999998</v>
      </c>
      <c r="F3264" s="51">
        <f t="shared" si="111"/>
        <v>4.6376870200000004</v>
      </c>
      <c r="H3264" s="33"/>
      <c r="I3264" s="33"/>
      <c r="J3264" s="33"/>
      <c r="K3264" s="33"/>
      <c r="L3264" s="33"/>
      <c r="M3264" s="33"/>
      <c r="N3264" s="33"/>
      <c r="O3264" s="33"/>
      <c r="P3264" s="33"/>
      <c r="Q3264" s="33"/>
      <c r="R3264" s="33"/>
      <c r="S3264" s="33"/>
      <c r="T3264" s="33"/>
      <c r="U3264" s="33"/>
      <c r="V3264" s="33"/>
      <c r="W3264" s="33"/>
      <c r="X3264" s="33"/>
      <c r="Y3264" s="33"/>
      <c r="Z3264" s="33"/>
      <c r="AA3264" s="33"/>
      <c r="AB3264" s="33"/>
    </row>
    <row r="3265" spans="1:28" x14ac:dyDescent="0.15">
      <c r="A3265" s="46" t="s">
        <v>6581</v>
      </c>
      <c r="B3265" s="52" t="s">
        <v>7361</v>
      </c>
      <c r="C3265" s="53" t="s">
        <v>6582</v>
      </c>
      <c r="D3265" s="54" t="s">
        <v>10702</v>
      </c>
      <c r="E3265" s="50">
        <f t="shared" si="111"/>
        <v>44.671232879999998</v>
      </c>
      <c r="F3265" s="51">
        <f t="shared" si="111"/>
        <v>4.6376632899999999</v>
      </c>
      <c r="H3265" s="33"/>
      <c r="I3265" s="33"/>
      <c r="J3265" s="33"/>
      <c r="K3265" s="33"/>
      <c r="L3265" s="33"/>
      <c r="M3265" s="33"/>
      <c r="N3265" s="33"/>
      <c r="O3265" s="33"/>
      <c r="P3265" s="33"/>
      <c r="Q3265" s="33"/>
      <c r="R3265" s="33"/>
      <c r="S3265" s="33"/>
      <c r="T3265" s="33"/>
      <c r="U3265" s="33"/>
      <c r="V3265" s="33"/>
      <c r="W3265" s="33"/>
      <c r="X3265" s="33"/>
      <c r="Y3265" s="33"/>
      <c r="Z3265" s="33"/>
      <c r="AA3265" s="33"/>
      <c r="AB3265" s="33"/>
    </row>
    <row r="3266" spans="1:28" x14ac:dyDescent="0.15">
      <c r="A3266" s="46" t="s">
        <v>6583</v>
      </c>
      <c r="B3266" s="52" t="s">
        <v>7361</v>
      </c>
      <c r="C3266" s="53" t="s">
        <v>6584</v>
      </c>
      <c r="D3266" s="54" t="s">
        <v>10703</v>
      </c>
      <c r="E3266" s="50">
        <f t="shared" si="111"/>
        <v>44.684931509999998</v>
      </c>
      <c r="F3266" s="51">
        <f t="shared" si="111"/>
        <v>4.6376393199999999</v>
      </c>
      <c r="H3266" s="33"/>
      <c r="I3266" s="33"/>
      <c r="J3266" s="33"/>
      <c r="K3266" s="33"/>
      <c r="L3266" s="33"/>
      <c r="M3266" s="33"/>
      <c r="N3266" s="33"/>
      <c r="O3266" s="33"/>
      <c r="P3266" s="33"/>
      <c r="Q3266" s="33"/>
      <c r="R3266" s="33"/>
      <c r="S3266" s="33"/>
      <c r="T3266" s="33"/>
      <c r="U3266" s="33"/>
      <c r="V3266" s="33"/>
      <c r="W3266" s="33"/>
      <c r="X3266" s="33"/>
      <c r="Y3266" s="33"/>
      <c r="Z3266" s="33"/>
      <c r="AA3266" s="33"/>
      <c r="AB3266" s="33"/>
    </row>
    <row r="3267" spans="1:28" x14ac:dyDescent="0.15">
      <c r="A3267" s="46" t="s">
        <v>6585</v>
      </c>
      <c r="B3267" s="52" t="s">
        <v>7361</v>
      </c>
      <c r="C3267" s="53" t="s">
        <v>6586</v>
      </c>
      <c r="D3267" s="54" t="s">
        <v>10704</v>
      </c>
      <c r="E3267" s="50">
        <f t="shared" si="111"/>
        <v>44.698630139999999</v>
      </c>
      <c r="F3267" s="51">
        <f t="shared" si="111"/>
        <v>4.6376151200000004</v>
      </c>
      <c r="H3267" s="33"/>
      <c r="I3267" s="33"/>
      <c r="J3267" s="33"/>
      <c r="K3267" s="33"/>
      <c r="L3267" s="33"/>
      <c r="M3267" s="33"/>
      <c r="N3267" s="33"/>
      <c r="O3267" s="33"/>
      <c r="P3267" s="33"/>
      <c r="Q3267" s="33"/>
      <c r="R3267" s="33"/>
      <c r="S3267" s="33"/>
      <c r="T3267" s="33"/>
      <c r="U3267" s="33"/>
      <c r="V3267" s="33"/>
      <c r="W3267" s="33"/>
      <c r="X3267" s="33"/>
      <c r="Y3267" s="33"/>
      <c r="Z3267" s="33"/>
      <c r="AA3267" s="33"/>
      <c r="AB3267" s="33"/>
    </row>
    <row r="3268" spans="1:28" x14ac:dyDescent="0.15">
      <c r="A3268" s="46" t="s">
        <v>6587</v>
      </c>
      <c r="B3268" s="52" t="s">
        <v>7361</v>
      </c>
      <c r="C3268" s="53" t="s">
        <v>6588</v>
      </c>
      <c r="D3268" s="54" t="s">
        <v>10705</v>
      </c>
      <c r="E3268" s="50">
        <f t="shared" si="111"/>
        <v>44.712328769999999</v>
      </c>
      <c r="F3268" s="51">
        <f t="shared" si="111"/>
        <v>4.6375907300000003</v>
      </c>
      <c r="H3268" s="33"/>
      <c r="I3268" s="33"/>
      <c r="J3268" s="33"/>
      <c r="K3268" s="33"/>
      <c r="L3268" s="33"/>
      <c r="M3268" s="33"/>
      <c r="N3268" s="33"/>
      <c r="O3268" s="33"/>
      <c r="P3268" s="33"/>
      <c r="Q3268" s="33"/>
      <c r="R3268" s="33"/>
      <c r="S3268" s="33"/>
      <c r="T3268" s="33"/>
      <c r="U3268" s="33"/>
      <c r="V3268" s="33"/>
      <c r="W3268" s="33"/>
      <c r="X3268" s="33"/>
      <c r="Y3268" s="33"/>
      <c r="Z3268" s="33"/>
      <c r="AA3268" s="33"/>
      <c r="AB3268" s="33"/>
    </row>
    <row r="3269" spans="1:28" x14ac:dyDescent="0.15">
      <c r="A3269" s="46" t="s">
        <v>6589</v>
      </c>
      <c r="B3269" s="52" t="s">
        <v>7361</v>
      </c>
      <c r="C3269" s="53" t="s">
        <v>6590</v>
      </c>
      <c r="D3269" s="54" t="s">
        <v>10706</v>
      </c>
      <c r="E3269" s="50">
        <f t="shared" si="111"/>
        <v>44.7260274</v>
      </c>
      <c r="F3269" s="51">
        <f t="shared" si="111"/>
        <v>4.6375661700000004</v>
      </c>
      <c r="H3269" s="33"/>
      <c r="I3269" s="33"/>
      <c r="J3269" s="33"/>
      <c r="K3269" s="33"/>
      <c r="L3269" s="33"/>
      <c r="M3269" s="33"/>
      <c r="N3269" s="33"/>
      <c r="O3269" s="33"/>
      <c r="P3269" s="33"/>
      <c r="Q3269" s="33"/>
      <c r="R3269" s="33"/>
      <c r="S3269" s="33"/>
      <c r="T3269" s="33"/>
      <c r="U3269" s="33"/>
      <c r="V3269" s="33"/>
      <c r="W3269" s="33"/>
      <c r="X3269" s="33"/>
      <c r="Y3269" s="33"/>
      <c r="Z3269" s="33"/>
      <c r="AA3269" s="33"/>
      <c r="AB3269" s="33"/>
    </row>
    <row r="3270" spans="1:28" x14ac:dyDescent="0.15">
      <c r="A3270" s="46" t="s">
        <v>6591</v>
      </c>
      <c r="B3270" s="52" t="s">
        <v>7361</v>
      </c>
      <c r="C3270" s="53" t="s">
        <v>6592</v>
      </c>
      <c r="D3270" s="54" t="s">
        <v>10707</v>
      </c>
      <c r="E3270" s="50">
        <f t="shared" si="111"/>
        <v>44.73972603</v>
      </c>
      <c r="F3270" s="51">
        <f t="shared" si="111"/>
        <v>4.6375414399999997</v>
      </c>
      <c r="H3270" s="33"/>
      <c r="I3270" s="33"/>
      <c r="J3270" s="33"/>
      <c r="K3270" s="33"/>
      <c r="L3270" s="33"/>
      <c r="M3270" s="33"/>
      <c r="N3270" s="33"/>
      <c r="O3270" s="33"/>
      <c r="P3270" s="33"/>
      <c r="Q3270" s="33"/>
      <c r="R3270" s="33"/>
      <c r="S3270" s="33"/>
      <c r="T3270" s="33"/>
      <c r="U3270" s="33"/>
      <c r="V3270" s="33"/>
      <c r="W3270" s="33"/>
      <c r="X3270" s="33"/>
      <c r="Y3270" s="33"/>
      <c r="Z3270" s="33"/>
      <c r="AA3270" s="33"/>
      <c r="AB3270" s="33"/>
    </row>
    <row r="3271" spans="1:28" x14ac:dyDescent="0.15">
      <c r="A3271" s="46" t="s">
        <v>6593</v>
      </c>
      <c r="B3271" s="52" t="s">
        <v>7361</v>
      </c>
      <c r="C3271" s="53" t="s">
        <v>6594</v>
      </c>
      <c r="D3271" s="54" t="s">
        <v>10708</v>
      </c>
      <c r="E3271" s="50">
        <f t="shared" si="111"/>
        <v>44.75342466</v>
      </c>
      <c r="F3271" s="51">
        <f t="shared" si="111"/>
        <v>4.6375165699999998</v>
      </c>
      <c r="H3271" s="33"/>
      <c r="I3271" s="33"/>
      <c r="J3271" s="33"/>
      <c r="K3271" s="33"/>
      <c r="L3271" s="33"/>
      <c r="M3271" s="33"/>
      <c r="N3271" s="33"/>
      <c r="O3271" s="33"/>
      <c r="P3271" s="33"/>
      <c r="Q3271" s="33"/>
      <c r="R3271" s="33"/>
      <c r="S3271" s="33"/>
      <c r="T3271" s="33"/>
      <c r="U3271" s="33"/>
      <c r="V3271" s="33"/>
      <c r="W3271" s="33"/>
      <c r="X3271" s="33"/>
      <c r="Y3271" s="33"/>
      <c r="Z3271" s="33"/>
      <c r="AA3271" s="33"/>
      <c r="AB3271" s="33"/>
    </row>
    <row r="3272" spans="1:28" x14ac:dyDescent="0.15">
      <c r="A3272" s="46" t="s">
        <v>6595</v>
      </c>
      <c r="B3272" s="52" t="s">
        <v>7361</v>
      </c>
      <c r="C3272" s="53" t="s">
        <v>6596</v>
      </c>
      <c r="D3272" s="54" t="s">
        <v>10709</v>
      </c>
      <c r="E3272" s="50">
        <f t="shared" si="111"/>
        <v>44.767123290000001</v>
      </c>
      <c r="F3272" s="51">
        <f t="shared" si="111"/>
        <v>4.6374915899999998</v>
      </c>
      <c r="H3272" s="33"/>
      <c r="I3272" s="33"/>
      <c r="J3272" s="33"/>
      <c r="K3272" s="33"/>
      <c r="L3272" s="33"/>
      <c r="M3272" s="33"/>
      <c r="N3272" s="33"/>
      <c r="O3272" s="33"/>
      <c r="P3272" s="33"/>
      <c r="Q3272" s="33"/>
      <c r="R3272" s="33"/>
      <c r="S3272" s="33"/>
      <c r="T3272" s="33"/>
      <c r="U3272" s="33"/>
      <c r="V3272" s="33"/>
      <c r="W3272" s="33"/>
      <c r="X3272" s="33"/>
      <c r="Y3272" s="33"/>
      <c r="Z3272" s="33"/>
      <c r="AA3272" s="33"/>
      <c r="AB3272" s="33"/>
    </row>
    <row r="3273" spans="1:28" x14ac:dyDescent="0.15">
      <c r="A3273" s="46" t="s">
        <v>6597</v>
      </c>
      <c r="B3273" s="52" t="s">
        <v>7361</v>
      </c>
      <c r="C3273" s="53" t="s">
        <v>6598</v>
      </c>
      <c r="D3273" s="54" t="s">
        <v>10710</v>
      </c>
      <c r="E3273" s="50">
        <f t="shared" si="111"/>
        <v>44.780821920000001</v>
      </c>
      <c r="F3273" s="51">
        <f t="shared" si="111"/>
        <v>4.6374665100000003</v>
      </c>
      <c r="H3273" s="33"/>
      <c r="I3273" s="33"/>
      <c r="J3273" s="33"/>
      <c r="K3273" s="33"/>
      <c r="L3273" s="33"/>
      <c r="M3273" s="33"/>
      <c r="N3273" s="33"/>
      <c r="O3273" s="33"/>
      <c r="P3273" s="33"/>
      <c r="Q3273" s="33"/>
      <c r="R3273" s="33"/>
      <c r="S3273" s="33"/>
      <c r="T3273" s="33"/>
      <c r="U3273" s="33"/>
      <c r="V3273" s="33"/>
      <c r="W3273" s="33"/>
      <c r="X3273" s="33"/>
      <c r="Y3273" s="33"/>
      <c r="Z3273" s="33"/>
      <c r="AA3273" s="33"/>
      <c r="AB3273" s="33"/>
    </row>
    <row r="3274" spans="1:28" x14ac:dyDescent="0.15">
      <c r="A3274" s="46" t="s">
        <v>6599</v>
      </c>
      <c r="B3274" s="52" t="s">
        <v>7361</v>
      </c>
      <c r="C3274" s="53" t="s">
        <v>6600</v>
      </c>
      <c r="D3274" s="54" t="s">
        <v>10711</v>
      </c>
      <c r="E3274" s="50">
        <f t="shared" si="111"/>
        <v>44.794520550000001</v>
      </c>
      <c r="F3274" s="51">
        <f t="shared" si="111"/>
        <v>4.6374413499999996</v>
      </c>
      <c r="H3274" s="33"/>
      <c r="I3274" s="33"/>
      <c r="J3274" s="33"/>
      <c r="K3274" s="33"/>
      <c r="L3274" s="33"/>
      <c r="M3274" s="33"/>
      <c r="N3274" s="33"/>
      <c r="O3274" s="33"/>
      <c r="P3274" s="33"/>
      <c r="Q3274" s="33"/>
      <c r="R3274" s="33"/>
      <c r="S3274" s="33"/>
      <c r="T3274" s="33"/>
      <c r="U3274" s="33"/>
      <c r="V3274" s="33"/>
      <c r="W3274" s="33"/>
      <c r="X3274" s="33"/>
      <c r="Y3274" s="33"/>
      <c r="Z3274" s="33"/>
      <c r="AA3274" s="33"/>
      <c r="AB3274" s="33"/>
    </row>
    <row r="3275" spans="1:28" x14ac:dyDescent="0.15">
      <c r="A3275" s="46" t="s">
        <v>6601</v>
      </c>
      <c r="B3275" s="52" t="s">
        <v>7361</v>
      </c>
      <c r="C3275" s="53" t="s">
        <v>6602</v>
      </c>
      <c r="D3275" s="54" t="s">
        <v>10712</v>
      </c>
      <c r="E3275" s="50">
        <f t="shared" si="111"/>
        <v>44.808219180000002</v>
      </c>
      <c r="F3275" s="51">
        <f t="shared" si="111"/>
        <v>4.6374161300000001</v>
      </c>
      <c r="H3275" s="33"/>
      <c r="I3275" s="33"/>
      <c r="J3275" s="33"/>
      <c r="K3275" s="33"/>
      <c r="L3275" s="33"/>
      <c r="M3275" s="33"/>
      <c r="N3275" s="33"/>
      <c r="O3275" s="33"/>
      <c r="P3275" s="33"/>
      <c r="Q3275" s="33"/>
      <c r="R3275" s="33"/>
      <c r="S3275" s="33"/>
      <c r="T3275" s="33"/>
      <c r="U3275" s="33"/>
      <c r="V3275" s="33"/>
      <c r="W3275" s="33"/>
      <c r="X3275" s="33"/>
      <c r="Y3275" s="33"/>
      <c r="Z3275" s="33"/>
      <c r="AA3275" s="33"/>
      <c r="AB3275" s="33"/>
    </row>
    <row r="3276" spans="1:28" x14ac:dyDescent="0.15">
      <c r="A3276" s="46" t="s">
        <v>6603</v>
      </c>
      <c r="B3276" s="52" t="s">
        <v>7361</v>
      </c>
      <c r="C3276" s="53" t="s">
        <v>6604</v>
      </c>
      <c r="D3276" s="54" t="s">
        <v>10713</v>
      </c>
      <c r="E3276" s="50">
        <f t="shared" si="111"/>
        <v>44.821917810000002</v>
      </c>
      <c r="F3276" s="51">
        <f t="shared" si="111"/>
        <v>4.6373908799999999</v>
      </c>
      <c r="H3276" s="33"/>
      <c r="I3276" s="33"/>
      <c r="J3276" s="33"/>
      <c r="K3276" s="33"/>
      <c r="L3276" s="33"/>
      <c r="M3276" s="33"/>
      <c r="N3276" s="33"/>
      <c r="O3276" s="33"/>
      <c r="P3276" s="33"/>
      <c r="Q3276" s="33"/>
      <c r="R3276" s="33"/>
      <c r="S3276" s="33"/>
      <c r="T3276" s="33"/>
      <c r="U3276" s="33"/>
      <c r="V3276" s="33"/>
      <c r="W3276" s="33"/>
      <c r="X3276" s="33"/>
      <c r="Y3276" s="33"/>
      <c r="Z3276" s="33"/>
      <c r="AA3276" s="33"/>
      <c r="AB3276" s="33"/>
    </row>
    <row r="3277" spans="1:28" x14ac:dyDescent="0.15">
      <c r="A3277" s="46" t="s">
        <v>6605</v>
      </c>
      <c r="B3277" s="52" t="s">
        <v>7361</v>
      </c>
      <c r="C3277" s="53" t="s">
        <v>6606</v>
      </c>
      <c r="D3277" s="54" t="s">
        <v>10714</v>
      </c>
      <c r="E3277" s="50">
        <f t="shared" si="111"/>
        <v>44.835616440000003</v>
      </c>
      <c r="F3277" s="51">
        <f t="shared" si="111"/>
        <v>4.6373656099999998</v>
      </c>
      <c r="H3277" s="33"/>
      <c r="I3277" s="33"/>
      <c r="J3277" s="33"/>
      <c r="K3277" s="33"/>
      <c r="L3277" s="33"/>
      <c r="M3277" s="33"/>
      <c r="N3277" s="33"/>
      <c r="O3277" s="33"/>
      <c r="P3277" s="33"/>
      <c r="Q3277" s="33"/>
      <c r="R3277" s="33"/>
      <c r="S3277" s="33"/>
      <c r="T3277" s="33"/>
      <c r="U3277" s="33"/>
      <c r="V3277" s="33"/>
      <c r="W3277" s="33"/>
      <c r="X3277" s="33"/>
      <c r="Y3277" s="33"/>
      <c r="Z3277" s="33"/>
      <c r="AA3277" s="33"/>
      <c r="AB3277" s="33"/>
    </row>
    <row r="3278" spans="1:28" x14ac:dyDescent="0.15">
      <c r="A3278" s="46" t="s">
        <v>6607</v>
      </c>
      <c r="B3278" s="52" t="s">
        <v>7361</v>
      </c>
      <c r="C3278" s="53" t="s">
        <v>6608</v>
      </c>
      <c r="D3278" s="54" t="s">
        <v>10715</v>
      </c>
      <c r="E3278" s="50">
        <f t="shared" si="111"/>
        <v>44.849315070000003</v>
      </c>
      <c r="F3278" s="51">
        <f t="shared" si="111"/>
        <v>4.6373403399999997</v>
      </c>
      <c r="H3278" s="33"/>
      <c r="I3278" s="33"/>
      <c r="J3278" s="33"/>
      <c r="K3278" s="33"/>
      <c r="L3278" s="33"/>
      <c r="M3278" s="33"/>
      <c r="N3278" s="33"/>
      <c r="O3278" s="33"/>
      <c r="P3278" s="33"/>
      <c r="Q3278" s="33"/>
      <c r="R3278" s="33"/>
      <c r="S3278" s="33"/>
      <c r="T3278" s="33"/>
      <c r="U3278" s="33"/>
      <c r="V3278" s="33"/>
      <c r="W3278" s="33"/>
      <c r="X3278" s="33"/>
      <c r="Y3278" s="33"/>
      <c r="Z3278" s="33"/>
      <c r="AA3278" s="33"/>
      <c r="AB3278" s="33"/>
    </row>
    <row r="3279" spans="1:28" x14ac:dyDescent="0.15">
      <c r="A3279" s="46" t="s">
        <v>6609</v>
      </c>
      <c r="B3279" s="52" t="s">
        <v>7361</v>
      </c>
      <c r="C3279" s="53" t="s">
        <v>6610</v>
      </c>
      <c r="D3279" s="54" t="s">
        <v>10716</v>
      </c>
      <c r="E3279" s="50">
        <f t="shared" si="111"/>
        <v>44.863013700000003</v>
      </c>
      <c r="F3279" s="51">
        <f t="shared" si="111"/>
        <v>4.6373150900000004</v>
      </c>
      <c r="H3279" s="33"/>
      <c r="I3279" s="33"/>
      <c r="J3279" s="33"/>
      <c r="K3279" s="33"/>
      <c r="L3279" s="33"/>
      <c r="M3279" s="33"/>
      <c r="N3279" s="33"/>
      <c r="O3279" s="33"/>
      <c r="P3279" s="33"/>
      <c r="Q3279" s="33"/>
      <c r="R3279" s="33"/>
      <c r="S3279" s="33"/>
      <c r="T3279" s="33"/>
      <c r="U3279" s="33"/>
      <c r="V3279" s="33"/>
      <c r="W3279" s="33"/>
      <c r="X3279" s="33"/>
      <c r="Y3279" s="33"/>
      <c r="Z3279" s="33"/>
      <c r="AA3279" s="33"/>
      <c r="AB3279" s="33"/>
    </row>
    <row r="3280" spans="1:28" x14ac:dyDescent="0.15">
      <c r="A3280" s="46" t="s">
        <v>6611</v>
      </c>
      <c r="B3280" s="52" t="s">
        <v>7361</v>
      </c>
      <c r="C3280" s="53" t="s">
        <v>6612</v>
      </c>
      <c r="D3280" s="54" t="s">
        <v>10717</v>
      </c>
      <c r="E3280" s="50">
        <f t="shared" ref="E3280:F3310" si="112">VALUE(C3280)</f>
        <v>44.876712329999997</v>
      </c>
      <c r="F3280" s="51">
        <f t="shared" si="112"/>
        <v>4.6372898899999999</v>
      </c>
      <c r="H3280" s="33"/>
      <c r="I3280" s="33"/>
      <c r="J3280" s="33"/>
      <c r="K3280" s="33"/>
      <c r="L3280" s="33"/>
      <c r="M3280" s="33"/>
      <c r="N3280" s="33"/>
      <c r="O3280" s="33"/>
      <c r="P3280" s="33"/>
      <c r="Q3280" s="33"/>
      <c r="R3280" s="33"/>
      <c r="S3280" s="33"/>
      <c r="T3280" s="33"/>
      <c r="U3280" s="33"/>
      <c r="V3280" s="33"/>
      <c r="W3280" s="33"/>
      <c r="X3280" s="33"/>
      <c r="Y3280" s="33"/>
      <c r="Z3280" s="33"/>
      <c r="AA3280" s="33"/>
      <c r="AB3280" s="33"/>
    </row>
    <row r="3281" spans="1:28" x14ac:dyDescent="0.15">
      <c r="A3281" s="46" t="s">
        <v>6613</v>
      </c>
      <c r="B3281" s="52" t="s">
        <v>7361</v>
      </c>
      <c r="C3281" s="53" t="s">
        <v>6614</v>
      </c>
      <c r="D3281" s="54" t="s">
        <v>10718</v>
      </c>
      <c r="E3281" s="50">
        <f t="shared" si="112"/>
        <v>44.890410959999997</v>
      </c>
      <c r="F3281" s="51">
        <f t="shared" si="112"/>
        <v>4.6372647599999999</v>
      </c>
      <c r="H3281" s="33"/>
      <c r="I3281" s="33"/>
      <c r="J3281" s="33"/>
      <c r="K3281" s="33"/>
      <c r="L3281" s="33"/>
      <c r="M3281" s="33"/>
      <c r="N3281" s="33"/>
      <c r="O3281" s="33"/>
      <c r="P3281" s="33"/>
      <c r="Q3281" s="33"/>
      <c r="R3281" s="33"/>
      <c r="S3281" s="33"/>
      <c r="T3281" s="33"/>
      <c r="U3281" s="33"/>
      <c r="V3281" s="33"/>
      <c r="W3281" s="33"/>
      <c r="X3281" s="33"/>
      <c r="Y3281" s="33"/>
      <c r="Z3281" s="33"/>
      <c r="AA3281" s="33"/>
      <c r="AB3281" s="33"/>
    </row>
    <row r="3282" spans="1:28" x14ac:dyDescent="0.15">
      <c r="A3282" s="46" t="s">
        <v>6615</v>
      </c>
      <c r="B3282" s="52" t="s">
        <v>7361</v>
      </c>
      <c r="C3282" s="53" t="s">
        <v>6616</v>
      </c>
      <c r="D3282" s="54" t="s">
        <v>10719</v>
      </c>
      <c r="E3282" s="50">
        <f t="shared" si="112"/>
        <v>44.904109589999997</v>
      </c>
      <c r="F3282" s="51">
        <f t="shared" si="112"/>
        <v>4.6372397100000002</v>
      </c>
      <c r="H3282" s="33"/>
      <c r="I3282" s="33"/>
      <c r="J3282" s="33"/>
      <c r="K3282" s="33"/>
      <c r="L3282" s="33"/>
      <c r="M3282" s="33"/>
      <c r="N3282" s="33"/>
      <c r="O3282" s="33"/>
      <c r="P3282" s="33"/>
      <c r="Q3282" s="33"/>
      <c r="R3282" s="33"/>
      <c r="S3282" s="33"/>
      <c r="T3282" s="33"/>
      <c r="U3282" s="33"/>
      <c r="V3282" s="33"/>
      <c r="W3282" s="33"/>
      <c r="X3282" s="33"/>
      <c r="Y3282" s="33"/>
      <c r="Z3282" s="33"/>
      <c r="AA3282" s="33"/>
      <c r="AB3282" s="33"/>
    </row>
    <row r="3283" spans="1:28" x14ac:dyDescent="0.15">
      <c r="A3283" s="46" t="s">
        <v>6617</v>
      </c>
      <c r="B3283" s="52" t="s">
        <v>7361</v>
      </c>
      <c r="C3283" s="53" t="s">
        <v>6618</v>
      </c>
      <c r="D3283" s="54" t="s">
        <v>10720</v>
      </c>
      <c r="E3283" s="50">
        <f t="shared" si="112"/>
        <v>44.917808219999998</v>
      </c>
      <c r="F3283" s="51">
        <f t="shared" si="112"/>
        <v>4.63721476</v>
      </c>
      <c r="H3283" s="33"/>
      <c r="I3283" s="33"/>
      <c r="J3283" s="33"/>
      <c r="K3283" s="33"/>
      <c r="L3283" s="33"/>
      <c r="M3283" s="33"/>
      <c r="N3283" s="33"/>
      <c r="O3283" s="33"/>
      <c r="P3283" s="33"/>
      <c r="Q3283" s="33"/>
      <c r="R3283" s="33"/>
      <c r="S3283" s="33"/>
      <c r="T3283" s="33"/>
      <c r="U3283" s="33"/>
      <c r="V3283" s="33"/>
      <c r="W3283" s="33"/>
      <c r="X3283" s="33"/>
      <c r="Y3283" s="33"/>
      <c r="Z3283" s="33"/>
      <c r="AA3283" s="33"/>
      <c r="AB3283" s="33"/>
    </row>
    <row r="3284" spans="1:28" x14ac:dyDescent="0.15">
      <c r="A3284" s="46" t="s">
        <v>6619</v>
      </c>
      <c r="B3284" s="52" t="s">
        <v>7361</v>
      </c>
      <c r="C3284" s="53" t="s">
        <v>6620</v>
      </c>
      <c r="D3284" s="54" t="s">
        <v>10721</v>
      </c>
      <c r="E3284" s="50">
        <f t="shared" si="112"/>
        <v>44.931506849999998</v>
      </c>
      <c r="F3284" s="51">
        <f t="shared" si="112"/>
        <v>4.6371899399999998</v>
      </c>
      <c r="H3284" s="33"/>
      <c r="I3284" s="33"/>
      <c r="J3284" s="33"/>
      <c r="K3284" s="33"/>
      <c r="L3284" s="33"/>
      <c r="M3284" s="33"/>
      <c r="N3284" s="33"/>
      <c r="O3284" s="33"/>
      <c r="P3284" s="33"/>
      <c r="Q3284" s="33"/>
      <c r="R3284" s="33"/>
      <c r="S3284" s="33"/>
      <c r="T3284" s="33"/>
      <c r="U3284" s="33"/>
      <c r="V3284" s="33"/>
      <c r="W3284" s="33"/>
      <c r="X3284" s="33"/>
      <c r="Y3284" s="33"/>
      <c r="Z3284" s="33"/>
      <c r="AA3284" s="33"/>
      <c r="AB3284" s="33"/>
    </row>
    <row r="3285" spans="1:28" x14ac:dyDescent="0.15">
      <c r="A3285" s="46" t="s">
        <v>6621</v>
      </c>
      <c r="B3285" s="52" t="s">
        <v>7361</v>
      </c>
      <c r="C3285" s="53" t="s">
        <v>6622</v>
      </c>
      <c r="D3285" s="54" t="s">
        <v>10722</v>
      </c>
      <c r="E3285" s="50">
        <f t="shared" si="112"/>
        <v>44.945205479999998</v>
      </c>
      <c r="F3285" s="51">
        <f t="shared" si="112"/>
        <v>4.6371652599999997</v>
      </c>
      <c r="H3285" s="33"/>
      <c r="I3285" s="33"/>
      <c r="J3285" s="33"/>
      <c r="K3285" s="33"/>
      <c r="L3285" s="33"/>
      <c r="M3285" s="33"/>
      <c r="N3285" s="33"/>
      <c r="O3285" s="33"/>
      <c r="P3285" s="33"/>
      <c r="Q3285" s="33"/>
      <c r="R3285" s="33"/>
      <c r="S3285" s="33"/>
      <c r="T3285" s="33"/>
      <c r="U3285" s="33"/>
      <c r="V3285" s="33"/>
      <c r="W3285" s="33"/>
      <c r="X3285" s="33"/>
      <c r="Y3285" s="33"/>
      <c r="Z3285" s="33"/>
      <c r="AA3285" s="33"/>
      <c r="AB3285" s="33"/>
    </row>
    <row r="3286" spans="1:28" x14ac:dyDescent="0.15">
      <c r="A3286" s="46" t="s">
        <v>6623</v>
      </c>
      <c r="B3286" s="52" t="s">
        <v>7361</v>
      </c>
      <c r="C3286" s="53" t="s">
        <v>6624</v>
      </c>
      <c r="D3286" s="54" t="s">
        <v>10723</v>
      </c>
      <c r="E3286" s="50">
        <f t="shared" si="112"/>
        <v>44.958904109999999</v>
      </c>
      <c r="F3286" s="51">
        <f t="shared" si="112"/>
        <v>4.6371407500000004</v>
      </c>
      <c r="H3286" s="33"/>
      <c r="I3286" s="33"/>
      <c r="J3286" s="33"/>
      <c r="K3286" s="33"/>
      <c r="L3286" s="33"/>
      <c r="M3286" s="33"/>
      <c r="N3286" s="33"/>
      <c r="O3286" s="33"/>
      <c r="P3286" s="33"/>
      <c r="Q3286" s="33"/>
      <c r="R3286" s="33"/>
      <c r="S3286" s="33"/>
      <c r="T3286" s="33"/>
      <c r="U3286" s="33"/>
      <c r="V3286" s="33"/>
      <c r="W3286" s="33"/>
      <c r="X3286" s="33"/>
      <c r="Y3286" s="33"/>
      <c r="Z3286" s="33"/>
      <c r="AA3286" s="33"/>
      <c r="AB3286" s="33"/>
    </row>
    <row r="3287" spans="1:28" x14ac:dyDescent="0.15">
      <c r="A3287" s="46" t="s">
        <v>6625</v>
      </c>
      <c r="B3287" s="52" t="s">
        <v>7361</v>
      </c>
      <c r="C3287" s="53" t="s">
        <v>6626</v>
      </c>
      <c r="D3287" s="54" t="s">
        <v>10724</v>
      </c>
      <c r="E3287" s="50">
        <f t="shared" si="112"/>
        <v>44.972602739999999</v>
      </c>
      <c r="F3287" s="51">
        <f t="shared" si="112"/>
        <v>4.6371164199999999</v>
      </c>
      <c r="H3287" s="33"/>
      <c r="I3287" s="33"/>
      <c r="J3287" s="33"/>
      <c r="K3287" s="33"/>
      <c r="L3287" s="33"/>
      <c r="M3287" s="33"/>
      <c r="N3287" s="33"/>
      <c r="O3287" s="33"/>
      <c r="P3287" s="33"/>
      <c r="Q3287" s="33"/>
      <c r="R3287" s="33"/>
      <c r="S3287" s="33"/>
      <c r="T3287" s="33"/>
      <c r="U3287" s="33"/>
      <c r="V3287" s="33"/>
      <c r="W3287" s="33"/>
      <c r="X3287" s="33"/>
      <c r="Y3287" s="33"/>
      <c r="Z3287" s="33"/>
      <c r="AA3287" s="33"/>
      <c r="AB3287" s="33"/>
    </row>
    <row r="3288" spans="1:28" x14ac:dyDescent="0.15">
      <c r="A3288" s="46" t="s">
        <v>6627</v>
      </c>
      <c r="B3288" s="52" t="s">
        <v>7361</v>
      </c>
      <c r="C3288" s="53" t="s">
        <v>6628</v>
      </c>
      <c r="D3288" s="54" t="s">
        <v>10725</v>
      </c>
      <c r="E3288" s="50">
        <f t="shared" si="112"/>
        <v>44.98630137</v>
      </c>
      <c r="F3288" s="51">
        <f t="shared" si="112"/>
        <v>4.6370922999999999</v>
      </c>
      <c r="H3288" s="33"/>
      <c r="I3288" s="33"/>
      <c r="J3288" s="33"/>
      <c r="K3288" s="33"/>
      <c r="L3288" s="33"/>
      <c r="M3288" s="33"/>
      <c r="N3288" s="33"/>
      <c r="O3288" s="33"/>
      <c r="P3288" s="33"/>
      <c r="Q3288" s="33"/>
      <c r="R3288" s="33"/>
      <c r="S3288" s="33"/>
      <c r="T3288" s="33"/>
      <c r="U3288" s="33"/>
      <c r="V3288" s="33"/>
      <c r="W3288" s="33"/>
      <c r="X3288" s="33"/>
      <c r="Y3288" s="33"/>
      <c r="Z3288" s="33"/>
      <c r="AA3288" s="33"/>
      <c r="AB3288" s="33"/>
    </row>
    <row r="3289" spans="1:28" x14ac:dyDescent="0.15">
      <c r="A3289" s="46" t="s">
        <v>6629</v>
      </c>
      <c r="B3289" s="52" t="s">
        <v>7361</v>
      </c>
      <c r="C3289" s="53" t="s">
        <v>6630</v>
      </c>
      <c r="D3289" s="54" t="s">
        <v>10726</v>
      </c>
      <c r="E3289" s="50">
        <f t="shared" si="112"/>
        <v>45</v>
      </c>
      <c r="F3289" s="51">
        <f t="shared" si="112"/>
        <v>4.6370684100000004</v>
      </c>
      <c r="H3289" s="33"/>
      <c r="I3289" s="33"/>
      <c r="J3289" s="33"/>
      <c r="K3289" s="33"/>
      <c r="L3289" s="33"/>
      <c r="M3289" s="33"/>
      <c r="N3289" s="33"/>
      <c r="O3289" s="33"/>
      <c r="P3289" s="33"/>
      <c r="Q3289" s="33"/>
      <c r="R3289" s="33"/>
      <c r="S3289" s="33"/>
      <c r="T3289" s="33"/>
      <c r="U3289" s="33"/>
      <c r="V3289" s="33"/>
      <c r="W3289" s="33"/>
      <c r="X3289" s="33"/>
      <c r="Y3289" s="33"/>
      <c r="Z3289" s="33"/>
      <c r="AA3289" s="33"/>
      <c r="AB3289" s="33"/>
    </row>
    <row r="3290" spans="1:28" x14ac:dyDescent="0.15">
      <c r="A3290" s="46" t="s">
        <v>6631</v>
      </c>
      <c r="B3290" s="52" t="s">
        <v>7361</v>
      </c>
      <c r="C3290" s="53" t="s">
        <v>6632</v>
      </c>
      <c r="D3290" s="54" t="s">
        <v>10727</v>
      </c>
      <c r="E3290" s="50">
        <f t="shared" si="112"/>
        <v>45.01369863</v>
      </c>
      <c r="F3290" s="51">
        <f t="shared" si="112"/>
        <v>4.6370444600000003</v>
      </c>
      <c r="H3290" s="33"/>
      <c r="I3290" s="33"/>
      <c r="J3290" s="33"/>
      <c r="K3290" s="33"/>
      <c r="L3290" s="33"/>
      <c r="M3290" s="33"/>
      <c r="N3290" s="33"/>
      <c r="O3290" s="33"/>
      <c r="P3290" s="33"/>
      <c r="Q3290" s="33"/>
      <c r="R3290" s="33"/>
      <c r="S3290" s="33"/>
      <c r="T3290" s="33"/>
      <c r="U3290" s="33"/>
      <c r="V3290" s="33"/>
      <c r="W3290" s="33"/>
      <c r="X3290" s="33"/>
      <c r="Y3290" s="33"/>
      <c r="Z3290" s="33"/>
      <c r="AA3290" s="33"/>
      <c r="AB3290" s="33"/>
    </row>
    <row r="3291" spans="1:28" x14ac:dyDescent="0.15">
      <c r="A3291" s="46" t="s">
        <v>6633</v>
      </c>
      <c r="B3291" s="52" t="s">
        <v>7361</v>
      </c>
      <c r="C3291" s="53" t="s">
        <v>6634</v>
      </c>
      <c r="D3291" s="54" t="s">
        <v>10728</v>
      </c>
      <c r="E3291" s="50">
        <f t="shared" si="112"/>
        <v>45.027397260000001</v>
      </c>
      <c r="F3291" s="51">
        <f t="shared" si="112"/>
        <v>4.6370201599999996</v>
      </c>
      <c r="H3291" s="33"/>
      <c r="I3291" s="33"/>
      <c r="J3291" s="33"/>
      <c r="K3291" s="33"/>
      <c r="L3291" s="33"/>
      <c r="M3291" s="33"/>
      <c r="N3291" s="33"/>
      <c r="O3291" s="33"/>
      <c r="P3291" s="33"/>
      <c r="Q3291" s="33"/>
      <c r="R3291" s="33"/>
      <c r="S3291" s="33"/>
      <c r="T3291" s="33"/>
      <c r="U3291" s="33"/>
      <c r="V3291" s="33"/>
      <c r="W3291" s="33"/>
      <c r="X3291" s="33"/>
      <c r="Y3291" s="33"/>
      <c r="Z3291" s="33"/>
      <c r="AA3291" s="33"/>
      <c r="AB3291" s="33"/>
    </row>
    <row r="3292" spans="1:28" x14ac:dyDescent="0.15">
      <c r="A3292" s="46" t="s">
        <v>6635</v>
      </c>
      <c r="B3292" s="52" t="s">
        <v>7361</v>
      </c>
      <c r="C3292" s="53" t="s">
        <v>6636</v>
      </c>
      <c r="D3292" s="54" t="s">
        <v>10729</v>
      </c>
      <c r="E3292" s="50">
        <f t="shared" si="112"/>
        <v>45.041095890000001</v>
      </c>
      <c r="F3292" s="51">
        <f t="shared" si="112"/>
        <v>4.6369955200000001</v>
      </c>
      <c r="H3292" s="33"/>
      <c r="I3292" s="33"/>
      <c r="J3292" s="33"/>
      <c r="K3292" s="33"/>
      <c r="L3292" s="33"/>
      <c r="M3292" s="33"/>
      <c r="N3292" s="33"/>
      <c r="O3292" s="33"/>
      <c r="P3292" s="33"/>
      <c r="Q3292" s="33"/>
      <c r="R3292" s="33"/>
      <c r="S3292" s="33"/>
      <c r="T3292" s="33"/>
      <c r="U3292" s="33"/>
      <c r="V3292" s="33"/>
      <c r="W3292" s="33"/>
      <c r="X3292" s="33"/>
      <c r="Y3292" s="33"/>
      <c r="Z3292" s="33"/>
      <c r="AA3292" s="33"/>
      <c r="AB3292" s="33"/>
    </row>
    <row r="3293" spans="1:28" x14ac:dyDescent="0.15">
      <c r="A3293" s="46" t="s">
        <v>6637</v>
      </c>
      <c r="B3293" s="52" t="s">
        <v>7361</v>
      </c>
      <c r="C3293" s="53" t="s">
        <v>6638</v>
      </c>
      <c r="D3293" s="54" t="s">
        <v>10730</v>
      </c>
      <c r="E3293" s="50">
        <f t="shared" si="112"/>
        <v>45.054794520000002</v>
      </c>
      <c r="F3293" s="51">
        <f t="shared" si="112"/>
        <v>4.6369705699999999</v>
      </c>
      <c r="H3293" s="33"/>
      <c r="I3293" s="33"/>
      <c r="J3293" s="33"/>
      <c r="K3293" s="33"/>
      <c r="L3293" s="33"/>
      <c r="M3293" s="33"/>
      <c r="N3293" s="33"/>
      <c r="O3293" s="33"/>
      <c r="P3293" s="33"/>
      <c r="Q3293" s="33"/>
      <c r="R3293" s="33"/>
      <c r="S3293" s="33"/>
      <c r="T3293" s="33"/>
      <c r="U3293" s="33"/>
      <c r="V3293" s="33"/>
      <c r="W3293" s="33"/>
      <c r="X3293" s="33"/>
      <c r="Y3293" s="33"/>
      <c r="Z3293" s="33"/>
      <c r="AA3293" s="33"/>
      <c r="AB3293" s="33"/>
    </row>
    <row r="3294" spans="1:28" x14ac:dyDescent="0.15">
      <c r="A3294" s="46" t="s">
        <v>6639</v>
      </c>
      <c r="B3294" s="52" t="s">
        <v>7361</v>
      </c>
      <c r="C3294" s="53" t="s">
        <v>6640</v>
      </c>
      <c r="D3294" s="54" t="s">
        <v>10731</v>
      </c>
      <c r="E3294" s="50">
        <f t="shared" si="112"/>
        <v>45.068493150000002</v>
      </c>
      <c r="F3294" s="51">
        <f t="shared" si="112"/>
        <v>4.6369453199999997</v>
      </c>
      <c r="H3294" s="33"/>
      <c r="I3294" s="33"/>
      <c r="J3294" s="33"/>
      <c r="K3294" s="33"/>
      <c r="L3294" s="33"/>
      <c r="M3294" s="33"/>
      <c r="N3294" s="33"/>
      <c r="O3294" s="33"/>
      <c r="P3294" s="33"/>
      <c r="Q3294" s="33"/>
      <c r="R3294" s="33"/>
      <c r="S3294" s="33"/>
      <c r="T3294" s="33"/>
      <c r="U3294" s="33"/>
      <c r="V3294" s="33"/>
      <c r="W3294" s="33"/>
      <c r="X3294" s="33"/>
      <c r="Y3294" s="33"/>
      <c r="Z3294" s="33"/>
      <c r="AA3294" s="33"/>
      <c r="AB3294" s="33"/>
    </row>
    <row r="3295" spans="1:28" x14ac:dyDescent="0.15">
      <c r="A3295" s="46" t="s">
        <v>6641</v>
      </c>
      <c r="B3295" s="52" t="s">
        <v>7361</v>
      </c>
      <c r="C3295" s="53" t="s">
        <v>6642</v>
      </c>
      <c r="D3295" s="54" t="s">
        <v>10732</v>
      </c>
      <c r="E3295" s="50">
        <f t="shared" si="112"/>
        <v>45.082191780000002</v>
      </c>
      <c r="F3295" s="51">
        <f t="shared" si="112"/>
        <v>4.6369197800000004</v>
      </c>
      <c r="H3295" s="33"/>
      <c r="I3295" s="33"/>
      <c r="J3295" s="33"/>
      <c r="K3295" s="33"/>
      <c r="L3295" s="33"/>
      <c r="M3295" s="33"/>
      <c r="N3295" s="33"/>
      <c r="O3295" s="33"/>
      <c r="P3295" s="33"/>
      <c r="Q3295" s="33"/>
      <c r="R3295" s="33"/>
      <c r="S3295" s="33"/>
      <c r="T3295" s="33"/>
      <c r="U3295" s="33"/>
      <c r="V3295" s="33"/>
      <c r="W3295" s="33"/>
      <c r="X3295" s="33"/>
      <c r="Y3295" s="33"/>
      <c r="Z3295" s="33"/>
      <c r="AA3295" s="33"/>
      <c r="AB3295" s="33"/>
    </row>
    <row r="3296" spans="1:28" x14ac:dyDescent="0.15">
      <c r="A3296" s="46" t="s">
        <v>6643</v>
      </c>
      <c r="B3296" s="52" t="s">
        <v>7361</v>
      </c>
      <c r="C3296" s="53" t="s">
        <v>6644</v>
      </c>
      <c r="D3296" s="54" t="s">
        <v>10733</v>
      </c>
      <c r="E3296" s="50">
        <f t="shared" si="112"/>
        <v>45.095890410000003</v>
      </c>
      <c r="F3296" s="51">
        <f t="shared" si="112"/>
        <v>4.63689397</v>
      </c>
      <c r="H3296" s="33"/>
      <c r="I3296" s="33"/>
      <c r="J3296" s="33"/>
      <c r="K3296" s="33"/>
      <c r="L3296" s="33"/>
      <c r="M3296" s="33"/>
      <c r="N3296" s="33"/>
      <c r="O3296" s="33"/>
      <c r="P3296" s="33"/>
      <c r="Q3296" s="33"/>
      <c r="R3296" s="33"/>
      <c r="S3296" s="33"/>
      <c r="T3296" s="33"/>
      <c r="U3296" s="33"/>
      <c r="V3296" s="33"/>
      <c r="W3296" s="33"/>
      <c r="X3296" s="33"/>
      <c r="Y3296" s="33"/>
      <c r="Z3296" s="33"/>
      <c r="AA3296" s="33"/>
      <c r="AB3296" s="33"/>
    </row>
    <row r="3297" spans="1:28" x14ac:dyDescent="0.15">
      <c r="A3297" s="46" t="s">
        <v>6645</v>
      </c>
      <c r="B3297" s="52" t="s">
        <v>7361</v>
      </c>
      <c r="C3297" s="53" t="s">
        <v>6646</v>
      </c>
      <c r="D3297" s="54" t="s">
        <v>10734</v>
      </c>
      <c r="E3297" s="50">
        <f t="shared" si="112"/>
        <v>45.109589040000003</v>
      </c>
      <c r="F3297" s="51">
        <f t="shared" si="112"/>
        <v>4.6368678900000004</v>
      </c>
      <c r="H3297" s="33"/>
      <c r="I3297" s="33"/>
      <c r="J3297" s="33"/>
      <c r="K3297" s="33"/>
      <c r="L3297" s="33"/>
      <c r="M3297" s="33"/>
      <c r="N3297" s="33"/>
      <c r="O3297" s="33"/>
      <c r="P3297" s="33"/>
      <c r="Q3297" s="33"/>
      <c r="R3297" s="33"/>
      <c r="S3297" s="33"/>
      <c r="T3297" s="33"/>
      <c r="U3297" s="33"/>
      <c r="V3297" s="33"/>
      <c r="W3297" s="33"/>
      <c r="X3297" s="33"/>
      <c r="Y3297" s="33"/>
      <c r="Z3297" s="33"/>
      <c r="AA3297" s="33"/>
      <c r="AB3297" s="33"/>
    </row>
    <row r="3298" spans="1:28" x14ac:dyDescent="0.15">
      <c r="A3298" s="46" t="s">
        <v>6647</v>
      </c>
      <c r="B3298" s="52" t="s">
        <v>7361</v>
      </c>
      <c r="C3298" s="53" t="s">
        <v>6648</v>
      </c>
      <c r="D3298" s="54" t="s">
        <v>10735</v>
      </c>
      <c r="E3298" s="50">
        <f t="shared" si="112"/>
        <v>45.123287670000003</v>
      </c>
      <c r="F3298" s="51">
        <f t="shared" si="112"/>
        <v>4.6368415799999996</v>
      </c>
      <c r="H3298" s="33"/>
      <c r="I3298" s="33"/>
      <c r="J3298" s="33"/>
      <c r="K3298" s="33"/>
      <c r="L3298" s="33"/>
      <c r="M3298" s="33"/>
      <c r="N3298" s="33"/>
      <c r="O3298" s="33"/>
      <c r="P3298" s="33"/>
      <c r="Q3298" s="33"/>
      <c r="R3298" s="33"/>
      <c r="S3298" s="33"/>
      <c r="T3298" s="33"/>
      <c r="U3298" s="33"/>
      <c r="V3298" s="33"/>
      <c r="W3298" s="33"/>
      <c r="X3298" s="33"/>
      <c r="Y3298" s="33"/>
      <c r="Z3298" s="33"/>
      <c r="AA3298" s="33"/>
      <c r="AB3298" s="33"/>
    </row>
    <row r="3299" spans="1:28" x14ac:dyDescent="0.15">
      <c r="A3299" s="46" t="s">
        <v>6649</v>
      </c>
      <c r="B3299" s="52" t="s">
        <v>7361</v>
      </c>
      <c r="C3299" s="53" t="s">
        <v>6650</v>
      </c>
      <c r="D3299" s="54" t="s">
        <v>10736</v>
      </c>
      <c r="E3299" s="50">
        <f t="shared" si="112"/>
        <v>45.136986299999997</v>
      </c>
      <c r="F3299" s="51">
        <f t="shared" si="112"/>
        <v>4.6368150300000002</v>
      </c>
      <c r="H3299" s="33"/>
      <c r="I3299" s="33"/>
      <c r="J3299" s="33"/>
      <c r="K3299" s="33"/>
      <c r="L3299" s="33"/>
      <c r="M3299" s="33"/>
      <c r="N3299" s="33"/>
      <c r="O3299" s="33"/>
      <c r="P3299" s="33"/>
      <c r="Q3299" s="33"/>
      <c r="R3299" s="33"/>
      <c r="S3299" s="33"/>
      <c r="T3299" s="33"/>
      <c r="U3299" s="33"/>
      <c r="V3299" s="33"/>
      <c r="W3299" s="33"/>
      <c r="X3299" s="33"/>
      <c r="Y3299" s="33"/>
      <c r="Z3299" s="33"/>
      <c r="AA3299" s="33"/>
      <c r="AB3299" s="33"/>
    </row>
    <row r="3300" spans="1:28" x14ac:dyDescent="0.15">
      <c r="A3300" s="46" t="s">
        <v>6651</v>
      </c>
      <c r="B3300" s="52" t="s">
        <v>7361</v>
      </c>
      <c r="C3300" s="53" t="s">
        <v>6652</v>
      </c>
      <c r="D3300" s="54" t="s">
        <v>10737</v>
      </c>
      <c r="E3300" s="50">
        <f t="shared" si="112"/>
        <v>45.150684929999997</v>
      </c>
      <c r="F3300" s="51">
        <f t="shared" si="112"/>
        <v>4.6367882800000002</v>
      </c>
      <c r="H3300" s="33"/>
      <c r="I3300" s="33"/>
      <c r="J3300" s="33"/>
      <c r="K3300" s="33"/>
      <c r="L3300" s="33"/>
      <c r="M3300" s="33"/>
      <c r="N3300" s="33"/>
      <c r="O3300" s="33"/>
      <c r="P3300" s="33"/>
      <c r="Q3300" s="33"/>
      <c r="R3300" s="33"/>
      <c r="S3300" s="33"/>
      <c r="T3300" s="33"/>
      <c r="U3300" s="33"/>
      <c r="V3300" s="33"/>
      <c r="W3300" s="33"/>
      <c r="X3300" s="33"/>
      <c r="Y3300" s="33"/>
      <c r="Z3300" s="33"/>
      <c r="AA3300" s="33"/>
      <c r="AB3300" s="33"/>
    </row>
    <row r="3301" spans="1:28" x14ac:dyDescent="0.15">
      <c r="A3301" s="46" t="s">
        <v>6653</v>
      </c>
      <c r="B3301" s="52" t="s">
        <v>7361</v>
      </c>
      <c r="C3301" s="53" t="s">
        <v>6654</v>
      </c>
      <c r="D3301" s="54" t="s">
        <v>10738</v>
      </c>
      <c r="E3301" s="50">
        <f t="shared" si="112"/>
        <v>45.164383559999997</v>
      </c>
      <c r="F3301" s="51">
        <f t="shared" si="112"/>
        <v>4.6367613199999997</v>
      </c>
      <c r="H3301" s="33"/>
      <c r="I3301" s="33"/>
      <c r="J3301" s="33"/>
      <c r="K3301" s="33"/>
      <c r="L3301" s="33"/>
      <c r="M3301" s="33"/>
      <c r="N3301" s="33"/>
      <c r="O3301" s="33"/>
      <c r="P3301" s="33"/>
      <c r="Q3301" s="33"/>
      <c r="R3301" s="33"/>
      <c r="S3301" s="33"/>
      <c r="T3301" s="33"/>
      <c r="U3301" s="33"/>
      <c r="V3301" s="33"/>
      <c r="W3301" s="33"/>
      <c r="X3301" s="33"/>
      <c r="Y3301" s="33"/>
      <c r="Z3301" s="33"/>
      <c r="AA3301" s="33"/>
      <c r="AB3301" s="33"/>
    </row>
    <row r="3302" spans="1:28" x14ac:dyDescent="0.15">
      <c r="A3302" s="46" t="s">
        <v>6655</v>
      </c>
      <c r="B3302" s="52" t="s">
        <v>7361</v>
      </c>
      <c r="C3302" s="53" t="s">
        <v>6656</v>
      </c>
      <c r="D3302" s="54" t="s">
        <v>10739</v>
      </c>
      <c r="E3302" s="50">
        <f t="shared" si="112"/>
        <v>45.178082189999998</v>
      </c>
      <c r="F3302" s="51">
        <f t="shared" si="112"/>
        <v>4.6367341800000004</v>
      </c>
      <c r="H3302" s="33"/>
      <c r="I3302" s="33"/>
      <c r="J3302" s="33"/>
      <c r="K3302" s="33"/>
      <c r="L3302" s="33"/>
      <c r="M3302" s="33"/>
      <c r="N3302" s="33"/>
      <c r="O3302" s="33"/>
      <c r="P3302" s="33"/>
      <c r="Q3302" s="33"/>
      <c r="R3302" s="33"/>
      <c r="S3302" s="33"/>
      <c r="T3302" s="33"/>
      <c r="U3302" s="33"/>
      <c r="V3302" s="33"/>
      <c r="W3302" s="33"/>
      <c r="X3302" s="33"/>
      <c r="Y3302" s="33"/>
      <c r="Z3302" s="33"/>
      <c r="AA3302" s="33"/>
      <c r="AB3302" s="33"/>
    </row>
    <row r="3303" spans="1:28" x14ac:dyDescent="0.15">
      <c r="A3303" s="46" t="s">
        <v>6657</v>
      </c>
      <c r="B3303" s="52" t="s">
        <v>7361</v>
      </c>
      <c r="C3303" s="53" t="s">
        <v>6658</v>
      </c>
      <c r="D3303" s="54" t="s">
        <v>10740</v>
      </c>
      <c r="E3303" s="50">
        <f t="shared" si="112"/>
        <v>45.191780819999998</v>
      </c>
      <c r="F3303" s="51">
        <f t="shared" si="112"/>
        <v>4.6367068700000003</v>
      </c>
      <c r="H3303" s="33"/>
      <c r="I3303" s="33"/>
      <c r="J3303" s="33"/>
      <c r="K3303" s="33"/>
      <c r="L3303" s="33"/>
      <c r="M3303" s="33"/>
      <c r="N3303" s="33"/>
      <c r="O3303" s="33"/>
      <c r="P3303" s="33"/>
      <c r="Q3303" s="33"/>
      <c r="R3303" s="33"/>
      <c r="S3303" s="33"/>
      <c r="T3303" s="33"/>
      <c r="U3303" s="33"/>
      <c r="V3303" s="33"/>
      <c r="W3303" s="33"/>
      <c r="X3303" s="33"/>
      <c r="Y3303" s="33"/>
      <c r="Z3303" s="33"/>
      <c r="AA3303" s="33"/>
      <c r="AB3303" s="33"/>
    </row>
    <row r="3304" spans="1:28" x14ac:dyDescent="0.15">
      <c r="A3304" s="46" t="s">
        <v>6659</v>
      </c>
      <c r="B3304" s="52" t="s">
        <v>7361</v>
      </c>
      <c r="C3304" s="53" t="s">
        <v>6660</v>
      </c>
      <c r="D3304" s="54" t="s">
        <v>10741</v>
      </c>
      <c r="E3304" s="50">
        <f t="shared" si="112"/>
        <v>45.205479449999999</v>
      </c>
      <c r="F3304" s="51">
        <f t="shared" si="112"/>
        <v>4.6366794100000002</v>
      </c>
      <c r="H3304" s="33"/>
      <c r="I3304" s="33"/>
      <c r="J3304" s="33"/>
      <c r="K3304" s="33"/>
      <c r="L3304" s="33"/>
      <c r="M3304" s="33"/>
      <c r="N3304" s="33"/>
      <c r="O3304" s="33"/>
      <c r="P3304" s="33"/>
      <c r="Q3304" s="33"/>
      <c r="R3304" s="33"/>
      <c r="S3304" s="33"/>
      <c r="T3304" s="33"/>
      <c r="U3304" s="33"/>
      <c r="V3304" s="33"/>
      <c r="W3304" s="33"/>
      <c r="X3304" s="33"/>
      <c r="Y3304" s="33"/>
      <c r="Z3304" s="33"/>
      <c r="AA3304" s="33"/>
      <c r="AB3304" s="33"/>
    </row>
    <row r="3305" spans="1:28" x14ac:dyDescent="0.15">
      <c r="A3305" s="46" t="s">
        <v>6661</v>
      </c>
      <c r="B3305" s="52" t="s">
        <v>7361</v>
      </c>
      <c r="C3305" s="53" t="s">
        <v>6662</v>
      </c>
      <c r="D3305" s="54" t="s">
        <v>10742</v>
      </c>
      <c r="E3305" s="50">
        <f t="shared" si="112"/>
        <v>45.219178079999999</v>
      </c>
      <c r="F3305" s="51">
        <f t="shared" si="112"/>
        <v>4.63665181</v>
      </c>
      <c r="H3305" s="33"/>
      <c r="I3305" s="33"/>
      <c r="J3305" s="33"/>
      <c r="K3305" s="33"/>
      <c r="L3305" s="33"/>
      <c r="M3305" s="33"/>
      <c r="N3305" s="33"/>
      <c r="O3305" s="33"/>
      <c r="P3305" s="33"/>
      <c r="Q3305" s="33"/>
      <c r="R3305" s="33"/>
      <c r="S3305" s="33"/>
      <c r="T3305" s="33"/>
      <c r="U3305" s="33"/>
      <c r="V3305" s="33"/>
      <c r="W3305" s="33"/>
      <c r="X3305" s="33"/>
      <c r="Y3305" s="33"/>
      <c r="Z3305" s="33"/>
      <c r="AA3305" s="33"/>
      <c r="AB3305" s="33"/>
    </row>
    <row r="3306" spans="1:28" x14ac:dyDescent="0.15">
      <c r="A3306" s="46" t="s">
        <v>6663</v>
      </c>
      <c r="B3306" s="52" t="s">
        <v>7361</v>
      </c>
      <c r="C3306" s="53" t="s">
        <v>6664</v>
      </c>
      <c r="D3306" s="54" t="s">
        <v>10743</v>
      </c>
      <c r="E3306" s="50">
        <f t="shared" si="112"/>
        <v>45.232876709999999</v>
      </c>
      <c r="F3306" s="51">
        <f t="shared" si="112"/>
        <v>4.6366240899999998</v>
      </c>
      <c r="H3306" s="33"/>
      <c r="I3306" s="33"/>
      <c r="J3306" s="33"/>
      <c r="K3306" s="33"/>
      <c r="L3306" s="33"/>
      <c r="M3306" s="33"/>
      <c r="N3306" s="33"/>
      <c r="O3306" s="33"/>
      <c r="P3306" s="33"/>
      <c r="Q3306" s="33"/>
      <c r="R3306" s="33"/>
      <c r="S3306" s="33"/>
      <c r="T3306" s="33"/>
      <c r="U3306" s="33"/>
      <c r="V3306" s="33"/>
      <c r="W3306" s="33"/>
      <c r="X3306" s="33"/>
      <c r="Y3306" s="33"/>
      <c r="Z3306" s="33"/>
      <c r="AA3306" s="33"/>
      <c r="AB3306" s="33"/>
    </row>
    <row r="3307" spans="1:28" x14ac:dyDescent="0.15">
      <c r="A3307" s="46" t="s">
        <v>6665</v>
      </c>
      <c r="B3307" s="52" t="s">
        <v>7361</v>
      </c>
      <c r="C3307" s="53" t="s">
        <v>6666</v>
      </c>
      <c r="D3307" s="54" t="s">
        <v>10744</v>
      </c>
      <c r="E3307" s="50">
        <f t="shared" si="112"/>
        <v>45.24657534</v>
      </c>
      <c r="F3307" s="51">
        <f t="shared" si="112"/>
        <v>4.6365962500000002</v>
      </c>
      <c r="H3307" s="33"/>
      <c r="I3307" s="33"/>
      <c r="J3307" s="33"/>
      <c r="K3307" s="33"/>
      <c r="L3307" s="33"/>
      <c r="M3307" s="33"/>
      <c r="N3307" s="33"/>
      <c r="O3307" s="33"/>
      <c r="P3307" s="33"/>
      <c r="Q3307" s="33"/>
      <c r="R3307" s="33"/>
      <c r="S3307" s="33"/>
      <c r="T3307" s="33"/>
      <c r="U3307" s="33"/>
      <c r="V3307" s="33"/>
      <c r="W3307" s="33"/>
      <c r="X3307" s="33"/>
      <c r="Y3307" s="33"/>
      <c r="Z3307" s="33"/>
      <c r="AA3307" s="33"/>
      <c r="AB3307" s="33"/>
    </row>
    <row r="3308" spans="1:28" x14ac:dyDescent="0.15">
      <c r="A3308" s="46" t="s">
        <v>6667</v>
      </c>
      <c r="B3308" s="52" t="s">
        <v>7361</v>
      </c>
      <c r="C3308" s="53" t="s">
        <v>6668</v>
      </c>
      <c r="D3308" s="54" t="s">
        <v>10745</v>
      </c>
      <c r="E3308" s="50">
        <f t="shared" si="112"/>
        <v>45.26027397</v>
      </c>
      <c r="F3308" s="51">
        <f t="shared" si="112"/>
        <v>4.6365683200000003</v>
      </c>
      <c r="H3308" s="33"/>
      <c r="I3308" s="33"/>
      <c r="J3308" s="33"/>
      <c r="K3308" s="33"/>
      <c r="L3308" s="33"/>
      <c r="M3308" s="33"/>
      <c r="N3308" s="33"/>
      <c r="O3308" s="33"/>
      <c r="P3308" s="33"/>
      <c r="Q3308" s="33"/>
      <c r="R3308" s="33"/>
      <c r="S3308" s="33"/>
      <c r="T3308" s="33"/>
      <c r="U3308" s="33"/>
      <c r="V3308" s="33"/>
      <c r="W3308" s="33"/>
      <c r="X3308" s="33"/>
      <c r="Y3308" s="33"/>
      <c r="Z3308" s="33"/>
      <c r="AA3308" s="33"/>
      <c r="AB3308" s="33"/>
    </row>
    <row r="3309" spans="1:28" x14ac:dyDescent="0.15">
      <c r="A3309" s="46" t="s">
        <v>6669</v>
      </c>
      <c r="B3309" s="52" t="s">
        <v>7361</v>
      </c>
      <c r="C3309" s="53" t="s">
        <v>6670</v>
      </c>
      <c r="D3309" s="54" t="s">
        <v>10746</v>
      </c>
      <c r="E3309" s="50">
        <f t="shared" si="112"/>
        <v>45.2739726</v>
      </c>
      <c r="F3309" s="51">
        <f t="shared" si="112"/>
        <v>4.63654031</v>
      </c>
      <c r="H3309" s="33"/>
      <c r="I3309" s="33"/>
      <c r="J3309" s="33"/>
      <c r="K3309" s="33"/>
      <c r="L3309" s="33"/>
      <c r="M3309" s="33"/>
      <c r="N3309" s="33"/>
      <c r="O3309" s="33"/>
      <c r="P3309" s="33"/>
      <c r="Q3309" s="33"/>
      <c r="R3309" s="33"/>
      <c r="S3309" s="33"/>
      <c r="T3309" s="33"/>
      <c r="U3309" s="33"/>
      <c r="V3309" s="33"/>
      <c r="W3309" s="33"/>
      <c r="X3309" s="33"/>
      <c r="Y3309" s="33"/>
      <c r="Z3309" s="33"/>
      <c r="AA3309" s="33"/>
      <c r="AB3309" s="33"/>
    </row>
    <row r="3310" spans="1:28" x14ac:dyDescent="0.15">
      <c r="A3310" s="46" t="s">
        <v>6671</v>
      </c>
      <c r="B3310" s="52" t="s">
        <v>7361</v>
      </c>
      <c r="C3310" s="53" t="s">
        <v>6672</v>
      </c>
      <c r="D3310" s="54" t="s">
        <v>10747</v>
      </c>
      <c r="E3310" s="50">
        <f t="shared" si="112"/>
        <v>45.287671230000001</v>
      </c>
      <c r="F3310" s="51">
        <f t="shared" si="112"/>
        <v>4.6365122400000001</v>
      </c>
      <c r="H3310" s="33"/>
      <c r="I3310" s="33"/>
      <c r="J3310" s="33"/>
      <c r="K3310" s="33"/>
      <c r="L3310" s="33"/>
      <c r="M3310" s="33"/>
      <c r="N3310" s="33"/>
      <c r="O3310" s="33"/>
      <c r="P3310" s="33"/>
      <c r="Q3310" s="33"/>
      <c r="R3310" s="33"/>
      <c r="S3310" s="33"/>
      <c r="T3310" s="33"/>
      <c r="U3310" s="33"/>
      <c r="V3310" s="33"/>
      <c r="W3310" s="33"/>
      <c r="X3310" s="33"/>
      <c r="Y3310" s="33"/>
      <c r="Z3310" s="33"/>
      <c r="AA3310" s="33"/>
      <c r="AB3310" s="33"/>
    </row>
    <row r="3311" spans="1:28" x14ac:dyDescent="0.15">
      <c r="A3311" s="46" t="s">
        <v>6673</v>
      </c>
      <c r="B3311" s="52" t="s">
        <v>7361</v>
      </c>
      <c r="C3311" s="53" t="s">
        <v>6674</v>
      </c>
      <c r="D3311" s="54" t="s">
        <v>10748</v>
      </c>
      <c r="E3311" s="50">
        <f t="shared" ref="E3311:F3340" si="113">VALUE(C3311)</f>
        <v>45.301369860000001</v>
      </c>
      <c r="F3311" s="51">
        <f t="shared" si="113"/>
        <v>4.6364841200000004</v>
      </c>
      <c r="H3311" s="33"/>
      <c r="I3311" s="33"/>
      <c r="J3311" s="33"/>
      <c r="K3311" s="33"/>
      <c r="L3311" s="33"/>
      <c r="M3311" s="33"/>
      <c r="N3311" s="33"/>
      <c r="O3311" s="33"/>
      <c r="P3311" s="33"/>
      <c r="Q3311" s="33"/>
      <c r="R3311" s="33"/>
      <c r="S3311" s="33"/>
      <c r="T3311" s="33"/>
      <c r="U3311" s="33"/>
      <c r="V3311" s="33"/>
      <c r="W3311" s="33"/>
      <c r="X3311" s="33"/>
      <c r="Y3311" s="33"/>
      <c r="Z3311" s="33"/>
      <c r="AA3311" s="33"/>
      <c r="AB3311" s="33"/>
    </row>
    <row r="3312" spans="1:28" x14ac:dyDescent="0.15">
      <c r="A3312" s="46" t="s">
        <v>6675</v>
      </c>
      <c r="B3312" s="52" t="s">
        <v>7361</v>
      </c>
      <c r="C3312" s="53" t="s">
        <v>6676</v>
      </c>
      <c r="D3312" s="54" t="s">
        <v>10749</v>
      </c>
      <c r="E3312" s="50">
        <f t="shared" si="113"/>
        <v>45.315068490000002</v>
      </c>
      <c r="F3312" s="51">
        <f t="shared" si="113"/>
        <v>4.6364559600000002</v>
      </c>
      <c r="H3312" s="33"/>
      <c r="I3312" s="33"/>
      <c r="J3312" s="33"/>
      <c r="K3312" s="33"/>
      <c r="L3312" s="33"/>
      <c r="M3312" s="33"/>
      <c r="N3312" s="33"/>
      <c r="O3312" s="33"/>
      <c r="P3312" s="33"/>
      <c r="Q3312" s="33"/>
      <c r="R3312" s="33"/>
      <c r="S3312" s="33"/>
      <c r="T3312" s="33"/>
      <c r="U3312" s="33"/>
      <c r="V3312" s="33"/>
      <c r="W3312" s="33"/>
      <c r="X3312" s="33"/>
      <c r="Y3312" s="33"/>
      <c r="Z3312" s="33"/>
      <c r="AA3312" s="33"/>
      <c r="AB3312" s="33"/>
    </row>
    <row r="3313" spans="1:28" x14ac:dyDescent="0.15">
      <c r="A3313" s="46" t="s">
        <v>6677</v>
      </c>
      <c r="B3313" s="52" t="s">
        <v>7361</v>
      </c>
      <c r="C3313" s="53" t="s">
        <v>6678</v>
      </c>
      <c r="D3313" s="54" t="s">
        <v>10750</v>
      </c>
      <c r="E3313" s="50">
        <f t="shared" si="113"/>
        <v>45.328767120000002</v>
      </c>
      <c r="F3313" s="51">
        <f t="shared" si="113"/>
        <v>4.63642778</v>
      </c>
      <c r="H3313" s="33"/>
      <c r="I3313" s="33"/>
      <c r="J3313" s="33"/>
      <c r="K3313" s="33"/>
      <c r="L3313" s="33"/>
      <c r="M3313" s="33"/>
      <c r="N3313" s="33"/>
      <c r="O3313" s="33"/>
      <c r="P3313" s="33"/>
      <c r="Q3313" s="33"/>
      <c r="R3313" s="33"/>
      <c r="S3313" s="33"/>
      <c r="T3313" s="33"/>
      <c r="U3313" s="33"/>
      <c r="V3313" s="33"/>
      <c r="W3313" s="33"/>
      <c r="X3313" s="33"/>
      <c r="Y3313" s="33"/>
      <c r="Z3313" s="33"/>
      <c r="AA3313" s="33"/>
      <c r="AB3313" s="33"/>
    </row>
    <row r="3314" spans="1:28" x14ac:dyDescent="0.15">
      <c r="A3314" s="46" t="s">
        <v>6679</v>
      </c>
      <c r="B3314" s="52" t="s">
        <v>7361</v>
      </c>
      <c r="C3314" s="53" t="s">
        <v>6680</v>
      </c>
      <c r="D3314" s="54" t="s">
        <v>10751</v>
      </c>
      <c r="E3314" s="50">
        <f t="shared" si="113"/>
        <v>45.342465750000002</v>
      </c>
      <c r="F3314" s="51">
        <f t="shared" si="113"/>
        <v>4.6363995999999998</v>
      </c>
      <c r="H3314" s="33"/>
      <c r="I3314" s="33"/>
      <c r="J3314" s="33"/>
      <c r="K3314" s="33"/>
      <c r="L3314" s="33"/>
      <c r="M3314" s="33"/>
      <c r="N3314" s="33"/>
      <c r="O3314" s="33"/>
      <c r="P3314" s="33"/>
      <c r="Q3314" s="33"/>
      <c r="R3314" s="33"/>
      <c r="S3314" s="33"/>
      <c r="T3314" s="33"/>
      <c r="U3314" s="33"/>
      <c r="V3314" s="33"/>
      <c r="W3314" s="33"/>
      <c r="X3314" s="33"/>
      <c r="Y3314" s="33"/>
      <c r="Z3314" s="33"/>
      <c r="AA3314" s="33"/>
      <c r="AB3314" s="33"/>
    </row>
    <row r="3315" spans="1:28" x14ac:dyDescent="0.15">
      <c r="A3315" s="46" t="s">
        <v>6681</v>
      </c>
      <c r="B3315" s="52" t="s">
        <v>7361</v>
      </c>
      <c r="C3315" s="53" t="s">
        <v>6682</v>
      </c>
      <c r="D3315" s="54" t="s">
        <v>10752</v>
      </c>
      <c r="E3315" s="50">
        <f t="shared" si="113"/>
        <v>45.356164380000003</v>
      </c>
      <c r="F3315" s="51">
        <f t="shared" si="113"/>
        <v>4.6363714299999996</v>
      </c>
      <c r="H3315" s="33"/>
      <c r="I3315" s="33"/>
      <c r="J3315" s="33"/>
      <c r="K3315" s="33"/>
      <c r="L3315" s="33"/>
      <c r="M3315" s="33"/>
      <c r="N3315" s="33"/>
      <c r="O3315" s="33"/>
      <c r="P3315" s="33"/>
      <c r="Q3315" s="33"/>
      <c r="R3315" s="33"/>
      <c r="S3315" s="33"/>
      <c r="T3315" s="33"/>
      <c r="U3315" s="33"/>
      <c r="V3315" s="33"/>
      <c r="W3315" s="33"/>
      <c r="X3315" s="33"/>
      <c r="Y3315" s="33"/>
      <c r="Z3315" s="33"/>
      <c r="AA3315" s="33"/>
      <c r="AB3315" s="33"/>
    </row>
    <row r="3316" spans="1:28" x14ac:dyDescent="0.15">
      <c r="A3316" s="46" t="s">
        <v>6683</v>
      </c>
      <c r="B3316" s="52" t="s">
        <v>7361</v>
      </c>
      <c r="C3316" s="53" t="s">
        <v>6684</v>
      </c>
      <c r="D3316" s="54" t="s">
        <v>10753</v>
      </c>
      <c r="E3316" s="50">
        <f t="shared" si="113"/>
        <v>45.369863010000003</v>
      </c>
      <c r="F3316" s="51">
        <f t="shared" si="113"/>
        <v>4.6363432800000002</v>
      </c>
      <c r="H3316" s="33"/>
      <c r="I3316" s="33"/>
      <c r="J3316" s="33"/>
      <c r="K3316" s="33"/>
      <c r="L3316" s="33"/>
      <c r="M3316" s="33"/>
      <c r="N3316" s="33"/>
      <c r="O3316" s="33"/>
      <c r="P3316" s="33"/>
      <c r="Q3316" s="33"/>
      <c r="R3316" s="33"/>
      <c r="S3316" s="33"/>
      <c r="T3316" s="33"/>
      <c r="U3316" s="33"/>
      <c r="V3316" s="33"/>
      <c r="W3316" s="33"/>
      <c r="X3316" s="33"/>
      <c r="Y3316" s="33"/>
      <c r="Z3316" s="33"/>
      <c r="AA3316" s="33"/>
      <c r="AB3316" s="33"/>
    </row>
    <row r="3317" spans="1:28" x14ac:dyDescent="0.15">
      <c r="A3317" s="46" t="s">
        <v>6685</v>
      </c>
      <c r="B3317" s="52" t="s">
        <v>7361</v>
      </c>
      <c r="C3317" s="53" t="s">
        <v>6686</v>
      </c>
      <c r="D3317" s="54" t="s">
        <v>10754</v>
      </c>
      <c r="E3317" s="50">
        <f t="shared" si="113"/>
        <v>45.383561640000003</v>
      </c>
      <c r="F3317" s="51">
        <f t="shared" si="113"/>
        <v>4.6363151800000004</v>
      </c>
      <c r="H3317" s="33"/>
      <c r="I3317" s="33"/>
      <c r="J3317" s="33"/>
      <c r="K3317" s="33"/>
      <c r="L3317" s="33"/>
      <c r="M3317" s="33"/>
      <c r="N3317" s="33"/>
      <c r="O3317" s="33"/>
      <c r="P3317" s="33"/>
      <c r="Q3317" s="33"/>
      <c r="R3317" s="33"/>
      <c r="S3317" s="33"/>
      <c r="T3317" s="33"/>
      <c r="U3317" s="33"/>
      <c r="V3317" s="33"/>
      <c r="W3317" s="33"/>
      <c r="X3317" s="33"/>
      <c r="Y3317" s="33"/>
      <c r="Z3317" s="33"/>
      <c r="AA3317" s="33"/>
      <c r="AB3317" s="33"/>
    </row>
    <row r="3318" spans="1:28" x14ac:dyDescent="0.15">
      <c r="A3318" s="46" t="s">
        <v>6687</v>
      </c>
      <c r="B3318" s="52" t="s">
        <v>7361</v>
      </c>
      <c r="C3318" s="53" t="s">
        <v>6688</v>
      </c>
      <c r="D3318" s="54" t="s">
        <v>10755</v>
      </c>
      <c r="E3318" s="50">
        <f t="shared" si="113"/>
        <v>45.397260269999997</v>
      </c>
      <c r="F3318" s="51">
        <f t="shared" si="113"/>
        <v>4.6362871200000004</v>
      </c>
      <c r="H3318" s="33"/>
      <c r="I3318" s="33"/>
      <c r="J3318" s="33"/>
      <c r="K3318" s="33"/>
      <c r="L3318" s="33"/>
      <c r="M3318" s="33"/>
      <c r="N3318" s="33"/>
      <c r="O3318" s="33"/>
      <c r="P3318" s="33"/>
      <c r="Q3318" s="33"/>
      <c r="R3318" s="33"/>
      <c r="S3318" s="33"/>
      <c r="T3318" s="33"/>
      <c r="U3318" s="33"/>
      <c r="V3318" s="33"/>
      <c r="W3318" s="33"/>
      <c r="X3318" s="33"/>
      <c r="Y3318" s="33"/>
      <c r="Z3318" s="33"/>
      <c r="AA3318" s="33"/>
      <c r="AB3318" s="33"/>
    </row>
    <row r="3319" spans="1:28" x14ac:dyDescent="0.15">
      <c r="A3319" s="46" t="s">
        <v>6689</v>
      </c>
      <c r="B3319" s="52" t="s">
        <v>7361</v>
      </c>
      <c r="C3319" s="53" t="s">
        <v>6690</v>
      </c>
      <c r="D3319" s="54" t="s">
        <v>10756</v>
      </c>
      <c r="E3319" s="50">
        <f t="shared" si="113"/>
        <v>45.410958899999997</v>
      </c>
      <c r="F3319" s="51">
        <f t="shared" si="113"/>
        <v>4.6362591399999999</v>
      </c>
      <c r="H3319" s="33"/>
      <c r="I3319" s="33"/>
      <c r="J3319" s="33"/>
      <c r="K3319" s="33"/>
      <c r="L3319" s="33"/>
      <c r="M3319" s="33"/>
      <c r="N3319" s="33"/>
      <c r="O3319" s="33"/>
      <c r="P3319" s="33"/>
      <c r="Q3319" s="33"/>
      <c r="R3319" s="33"/>
      <c r="S3319" s="33"/>
      <c r="T3319" s="33"/>
      <c r="U3319" s="33"/>
      <c r="V3319" s="33"/>
      <c r="W3319" s="33"/>
      <c r="X3319" s="33"/>
      <c r="Y3319" s="33"/>
      <c r="Z3319" s="33"/>
      <c r="AA3319" s="33"/>
      <c r="AB3319" s="33"/>
    </row>
    <row r="3320" spans="1:28" x14ac:dyDescent="0.15">
      <c r="A3320" s="46" t="s">
        <v>6691</v>
      </c>
      <c r="B3320" s="52" t="s">
        <v>7361</v>
      </c>
      <c r="C3320" s="53" t="s">
        <v>6692</v>
      </c>
      <c r="D3320" s="54" t="s">
        <v>10757</v>
      </c>
      <c r="E3320" s="50">
        <f t="shared" si="113"/>
        <v>45.424657529999998</v>
      </c>
      <c r="F3320" s="51">
        <f t="shared" si="113"/>
        <v>4.6362312399999999</v>
      </c>
      <c r="H3320" s="33"/>
      <c r="I3320" s="33"/>
      <c r="J3320" s="33"/>
      <c r="K3320" s="33"/>
      <c r="L3320" s="33"/>
      <c r="M3320" s="33"/>
      <c r="N3320" s="33"/>
      <c r="O3320" s="33"/>
      <c r="P3320" s="33"/>
      <c r="Q3320" s="33"/>
      <c r="R3320" s="33"/>
      <c r="S3320" s="33"/>
      <c r="T3320" s="33"/>
      <c r="U3320" s="33"/>
      <c r="V3320" s="33"/>
      <c r="W3320" s="33"/>
      <c r="X3320" s="33"/>
      <c r="Y3320" s="33"/>
      <c r="Z3320" s="33"/>
      <c r="AA3320" s="33"/>
      <c r="AB3320" s="33"/>
    </row>
    <row r="3321" spans="1:28" x14ac:dyDescent="0.15">
      <c r="A3321" s="46" t="s">
        <v>6693</v>
      </c>
      <c r="B3321" s="52" t="s">
        <v>7361</v>
      </c>
      <c r="C3321" s="53" t="s">
        <v>6694</v>
      </c>
      <c r="D3321" s="54" t="s">
        <v>10758</v>
      </c>
      <c r="E3321" s="50">
        <f t="shared" si="113"/>
        <v>45.438356159999998</v>
      </c>
      <c r="F3321" s="51">
        <f t="shared" si="113"/>
        <v>4.6362034400000001</v>
      </c>
      <c r="H3321" s="33"/>
      <c r="I3321" s="33"/>
      <c r="J3321" s="33"/>
      <c r="K3321" s="33"/>
      <c r="L3321" s="33"/>
      <c r="M3321" s="33"/>
      <c r="N3321" s="33"/>
      <c r="O3321" s="33"/>
      <c r="P3321" s="33"/>
      <c r="Q3321" s="33"/>
      <c r="R3321" s="33"/>
      <c r="S3321" s="33"/>
      <c r="T3321" s="33"/>
      <c r="U3321" s="33"/>
      <c r="V3321" s="33"/>
      <c r="W3321" s="33"/>
      <c r="X3321" s="33"/>
      <c r="Y3321" s="33"/>
      <c r="Z3321" s="33"/>
      <c r="AA3321" s="33"/>
      <c r="AB3321" s="33"/>
    </row>
    <row r="3322" spans="1:28" x14ac:dyDescent="0.15">
      <c r="A3322" s="46" t="s">
        <v>6695</v>
      </c>
      <c r="B3322" s="52" t="s">
        <v>7361</v>
      </c>
      <c r="C3322" s="53" t="s">
        <v>6696</v>
      </c>
      <c r="D3322" s="54" t="s">
        <v>10759</v>
      </c>
      <c r="E3322" s="50">
        <f t="shared" si="113"/>
        <v>45.452054789999998</v>
      </c>
      <c r="F3322" s="51">
        <f t="shared" si="113"/>
        <v>4.6361757600000004</v>
      </c>
      <c r="H3322" s="33"/>
      <c r="I3322" s="33"/>
      <c r="J3322" s="33"/>
      <c r="K3322" s="33"/>
      <c r="L3322" s="33"/>
      <c r="M3322" s="33"/>
      <c r="N3322" s="33"/>
      <c r="O3322" s="33"/>
      <c r="P3322" s="33"/>
      <c r="Q3322" s="33"/>
      <c r="R3322" s="33"/>
      <c r="S3322" s="33"/>
      <c r="T3322" s="33"/>
      <c r="U3322" s="33"/>
      <c r="V3322" s="33"/>
      <c r="W3322" s="33"/>
      <c r="X3322" s="33"/>
      <c r="Y3322" s="33"/>
      <c r="Z3322" s="33"/>
      <c r="AA3322" s="33"/>
      <c r="AB3322" s="33"/>
    </row>
    <row r="3323" spans="1:28" x14ac:dyDescent="0.15">
      <c r="A3323" s="46" t="s">
        <v>6697</v>
      </c>
      <c r="B3323" s="52" t="s">
        <v>7361</v>
      </c>
      <c r="C3323" s="53" t="s">
        <v>6698</v>
      </c>
      <c r="D3323" s="54" t="s">
        <v>10760</v>
      </c>
      <c r="E3323" s="50">
        <f t="shared" si="113"/>
        <v>45.465753419999999</v>
      </c>
      <c r="F3323" s="51">
        <f t="shared" si="113"/>
        <v>4.6361482000000001</v>
      </c>
      <c r="H3323" s="33"/>
      <c r="I3323" s="33"/>
      <c r="J3323" s="33"/>
      <c r="K3323" s="33"/>
      <c r="L3323" s="33"/>
      <c r="M3323" s="33"/>
      <c r="N3323" s="33"/>
      <c r="O3323" s="33"/>
      <c r="P3323" s="33"/>
      <c r="Q3323" s="33"/>
      <c r="R3323" s="33"/>
      <c r="S3323" s="33"/>
      <c r="T3323" s="33"/>
      <c r="U3323" s="33"/>
      <c r="V3323" s="33"/>
      <c r="W3323" s="33"/>
      <c r="X3323" s="33"/>
      <c r="Y3323" s="33"/>
      <c r="Z3323" s="33"/>
      <c r="AA3323" s="33"/>
      <c r="AB3323" s="33"/>
    </row>
    <row r="3324" spans="1:28" x14ac:dyDescent="0.15">
      <c r="A3324" s="46" t="s">
        <v>6699</v>
      </c>
      <c r="B3324" s="52" t="s">
        <v>7361</v>
      </c>
      <c r="C3324" s="53" t="s">
        <v>6700</v>
      </c>
      <c r="D3324" s="54" t="s">
        <v>10761</v>
      </c>
      <c r="E3324" s="50">
        <f t="shared" si="113"/>
        <v>45.479452049999999</v>
      </c>
      <c r="F3324" s="51">
        <f t="shared" si="113"/>
        <v>4.6361207899999997</v>
      </c>
      <c r="H3324" s="33"/>
      <c r="I3324" s="33"/>
      <c r="J3324" s="33"/>
      <c r="K3324" s="33"/>
      <c r="L3324" s="33"/>
      <c r="M3324" s="33"/>
      <c r="N3324" s="33"/>
      <c r="O3324" s="33"/>
      <c r="P3324" s="33"/>
      <c r="Q3324" s="33"/>
      <c r="R3324" s="33"/>
      <c r="S3324" s="33"/>
      <c r="T3324" s="33"/>
      <c r="U3324" s="33"/>
      <c r="V3324" s="33"/>
      <c r="W3324" s="33"/>
      <c r="X3324" s="33"/>
      <c r="Y3324" s="33"/>
      <c r="Z3324" s="33"/>
      <c r="AA3324" s="33"/>
      <c r="AB3324" s="33"/>
    </row>
    <row r="3325" spans="1:28" x14ac:dyDescent="0.15">
      <c r="A3325" s="46" t="s">
        <v>6701</v>
      </c>
      <c r="B3325" s="52" t="s">
        <v>7361</v>
      </c>
      <c r="C3325" s="53" t="s">
        <v>6702</v>
      </c>
      <c r="D3325" s="54" t="s">
        <v>10762</v>
      </c>
      <c r="E3325" s="50">
        <f t="shared" si="113"/>
        <v>45.493150679999999</v>
      </c>
      <c r="F3325" s="51">
        <f t="shared" si="113"/>
        <v>4.6360935300000001</v>
      </c>
      <c r="H3325" s="33"/>
      <c r="I3325" s="33"/>
      <c r="J3325" s="33"/>
      <c r="K3325" s="33"/>
      <c r="L3325" s="33"/>
      <c r="M3325" s="33"/>
      <c r="N3325" s="33"/>
      <c r="O3325" s="33"/>
      <c r="P3325" s="33"/>
      <c r="Q3325" s="33"/>
      <c r="R3325" s="33"/>
      <c r="S3325" s="33"/>
      <c r="T3325" s="33"/>
      <c r="U3325" s="33"/>
      <c r="V3325" s="33"/>
      <c r="W3325" s="33"/>
      <c r="X3325" s="33"/>
      <c r="Y3325" s="33"/>
      <c r="Z3325" s="33"/>
      <c r="AA3325" s="33"/>
      <c r="AB3325" s="33"/>
    </row>
    <row r="3326" spans="1:28" x14ac:dyDescent="0.15">
      <c r="A3326" s="46" t="s">
        <v>6703</v>
      </c>
      <c r="B3326" s="52" t="s">
        <v>7361</v>
      </c>
      <c r="C3326" s="53" t="s">
        <v>6704</v>
      </c>
      <c r="D3326" s="54" t="s">
        <v>10763</v>
      </c>
      <c r="E3326" s="50">
        <f t="shared" si="113"/>
        <v>45.506849320000001</v>
      </c>
      <c r="F3326" s="51">
        <f t="shared" si="113"/>
        <v>4.6360663999999998</v>
      </c>
      <c r="H3326" s="33"/>
      <c r="I3326" s="33"/>
      <c r="J3326" s="33"/>
      <c r="K3326" s="33"/>
      <c r="L3326" s="33"/>
      <c r="M3326" s="33"/>
      <c r="N3326" s="33"/>
      <c r="O3326" s="33"/>
      <c r="P3326" s="33"/>
      <c r="Q3326" s="33"/>
      <c r="R3326" s="33"/>
      <c r="S3326" s="33"/>
      <c r="T3326" s="33"/>
      <c r="U3326" s="33"/>
      <c r="V3326" s="33"/>
      <c r="W3326" s="33"/>
      <c r="X3326" s="33"/>
      <c r="Y3326" s="33"/>
      <c r="Z3326" s="33"/>
      <c r="AA3326" s="33"/>
      <c r="AB3326" s="33"/>
    </row>
    <row r="3327" spans="1:28" x14ac:dyDescent="0.15">
      <c r="A3327" s="46" t="s">
        <v>6705</v>
      </c>
      <c r="B3327" s="52" t="s">
        <v>7361</v>
      </c>
      <c r="C3327" s="53" t="s">
        <v>6706</v>
      </c>
      <c r="D3327" s="54" t="s">
        <v>10764</v>
      </c>
      <c r="E3327" s="50">
        <f t="shared" si="113"/>
        <v>45.520547950000001</v>
      </c>
      <c r="F3327" s="51">
        <f t="shared" si="113"/>
        <v>4.6360390999999996</v>
      </c>
      <c r="H3327" s="33"/>
      <c r="I3327" s="33"/>
      <c r="J3327" s="33"/>
      <c r="K3327" s="33"/>
      <c r="L3327" s="33"/>
      <c r="M3327" s="33"/>
      <c r="N3327" s="33"/>
      <c r="O3327" s="33"/>
      <c r="P3327" s="33"/>
      <c r="Q3327" s="33"/>
      <c r="R3327" s="33"/>
      <c r="S3327" s="33"/>
      <c r="T3327" s="33"/>
      <c r="U3327" s="33"/>
      <c r="V3327" s="33"/>
      <c r="W3327" s="33"/>
      <c r="X3327" s="33"/>
      <c r="Y3327" s="33"/>
      <c r="Z3327" s="33"/>
      <c r="AA3327" s="33"/>
      <c r="AB3327" s="33"/>
    </row>
    <row r="3328" spans="1:28" x14ac:dyDescent="0.15">
      <c r="A3328" s="46" t="s">
        <v>6707</v>
      </c>
      <c r="B3328" s="52" t="s">
        <v>7361</v>
      </c>
      <c r="C3328" s="53" t="s">
        <v>6708</v>
      </c>
      <c r="D3328" s="54" t="s">
        <v>10765</v>
      </c>
      <c r="E3328" s="50">
        <f t="shared" si="113"/>
        <v>45.534246580000001</v>
      </c>
      <c r="F3328" s="51">
        <f t="shared" si="113"/>
        <v>4.6360115799999999</v>
      </c>
      <c r="H3328" s="33"/>
      <c r="I3328" s="33"/>
      <c r="J3328" s="33"/>
      <c r="K3328" s="33"/>
      <c r="L3328" s="33"/>
      <c r="M3328" s="33"/>
      <c r="N3328" s="33"/>
      <c r="O3328" s="33"/>
      <c r="P3328" s="33"/>
      <c r="Q3328" s="33"/>
      <c r="R3328" s="33"/>
      <c r="S3328" s="33"/>
      <c r="T3328" s="33"/>
      <c r="U3328" s="33"/>
      <c r="V3328" s="33"/>
      <c r="W3328" s="33"/>
      <c r="X3328" s="33"/>
      <c r="Y3328" s="33"/>
      <c r="Z3328" s="33"/>
      <c r="AA3328" s="33"/>
      <c r="AB3328" s="33"/>
    </row>
    <row r="3329" spans="1:28" x14ac:dyDescent="0.15">
      <c r="A3329" s="46" t="s">
        <v>6709</v>
      </c>
      <c r="B3329" s="52" t="s">
        <v>7361</v>
      </c>
      <c r="C3329" s="53" t="s">
        <v>6710</v>
      </c>
      <c r="D3329" s="54" t="s">
        <v>10766</v>
      </c>
      <c r="E3329" s="50">
        <f t="shared" si="113"/>
        <v>45.547945210000002</v>
      </c>
      <c r="F3329" s="51">
        <f t="shared" si="113"/>
        <v>4.6359838699999996</v>
      </c>
      <c r="H3329" s="33"/>
      <c r="I3329" s="33"/>
      <c r="J3329" s="33"/>
      <c r="K3329" s="33"/>
      <c r="L3329" s="33"/>
      <c r="M3329" s="33"/>
      <c r="N3329" s="33"/>
      <c r="O3329" s="33"/>
      <c r="P3329" s="33"/>
      <c r="Q3329" s="33"/>
      <c r="R3329" s="33"/>
      <c r="S3329" s="33"/>
      <c r="T3329" s="33"/>
      <c r="U3329" s="33"/>
      <c r="V3329" s="33"/>
      <c r="W3329" s="33"/>
      <c r="X3329" s="33"/>
      <c r="Y3329" s="33"/>
      <c r="Z3329" s="33"/>
      <c r="AA3329" s="33"/>
      <c r="AB3329" s="33"/>
    </row>
    <row r="3330" spans="1:28" x14ac:dyDescent="0.15">
      <c r="A3330" s="46" t="s">
        <v>6711</v>
      </c>
      <c r="B3330" s="52" t="s">
        <v>7361</v>
      </c>
      <c r="C3330" s="53" t="s">
        <v>6712</v>
      </c>
      <c r="D3330" s="54" t="s">
        <v>10767</v>
      </c>
      <c r="E3330" s="50">
        <f t="shared" si="113"/>
        <v>45.561643840000002</v>
      </c>
      <c r="F3330" s="51">
        <f t="shared" si="113"/>
        <v>4.6359559499999996</v>
      </c>
      <c r="H3330" s="33"/>
      <c r="I3330" s="33"/>
      <c r="J3330" s="33"/>
      <c r="K3330" s="33"/>
      <c r="L3330" s="33"/>
      <c r="M3330" s="33"/>
      <c r="N3330" s="33"/>
      <c r="O3330" s="33"/>
      <c r="P3330" s="33"/>
      <c r="Q3330" s="33"/>
      <c r="R3330" s="33"/>
      <c r="S3330" s="33"/>
      <c r="T3330" s="33"/>
      <c r="U3330" s="33"/>
      <c r="V3330" s="33"/>
      <c r="W3330" s="33"/>
      <c r="X3330" s="33"/>
      <c r="Y3330" s="33"/>
      <c r="Z3330" s="33"/>
      <c r="AA3330" s="33"/>
      <c r="AB3330" s="33"/>
    </row>
    <row r="3331" spans="1:28" x14ac:dyDescent="0.15">
      <c r="A3331" s="46" t="s">
        <v>6713</v>
      </c>
      <c r="B3331" s="52" t="s">
        <v>7361</v>
      </c>
      <c r="C3331" s="53" t="s">
        <v>6714</v>
      </c>
      <c r="D3331" s="54" t="s">
        <v>10768</v>
      </c>
      <c r="E3331" s="50">
        <f t="shared" si="113"/>
        <v>45.575342470000002</v>
      </c>
      <c r="F3331" s="51">
        <f t="shared" si="113"/>
        <v>4.6359278599999998</v>
      </c>
      <c r="H3331" s="33"/>
      <c r="I3331" s="33"/>
      <c r="J3331" s="33"/>
      <c r="K3331" s="33"/>
      <c r="L3331" s="33"/>
      <c r="M3331" s="33"/>
      <c r="N3331" s="33"/>
      <c r="O3331" s="33"/>
      <c r="P3331" s="33"/>
      <c r="Q3331" s="33"/>
      <c r="R3331" s="33"/>
      <c r="S3331" s="33"/>
      <c r="T3331" s="33"/>
      <c r="U3331" s="33"/>
      <c r="V3331" s="33"/>
      <c r="W3331" s="33"/>
      <c r="X3331" s="33"/>
      <c r="Y3331" s="33"/>
      <c r="Z3331" s="33"/>
      <c r="AA3331" s="33"/>
      <c r="AB3331" s="33"/>
    </row>
    <row r="3332" spans="1:28" x14ac:dyDescent="0.15">
      <c r="A3332" s="46" t="s">
        <v>6715</v>
      </c>
      <c r="B3332" s="52" t="s">
        <v>7361</v>
      </c>
      <c r="C3332" s="53" t="s">
        <v>6716</v>
      </c>
      <c r="D3332" s="54" t="s">
        <v>10769</v>
      </c>
      <c r="E3332" s="50">
        <f t="shared" si="113"/>
        <v>45.589041100000003</v>
      </c>
      <c r="F3332" s="51">
        <f t="shared" si="113"/>
        <v>4.6358995800000002</v>
      </c>
      <c r="H3332" s="33"/>
      <c r="I3332" s="33"/>
      <c r="J3332" s="33"/>
      <c r="K3332" s="33"/>
      <c r="L3332" s="33"/>
      <c r="M3332" s="33"/>
      <c r="N3332" s="33"/>
      <c r="O3332" s="33"/>
      <c r="P3332" s="33"/>
      <c r="Q3332" s="33"/>
      <c r="R3332" s="33"/>
      <c r="S3332" s="33"/>
      <c r="T3332" s="33"/>
      <c r="U3332" s="33"/>
      <c r="V3332" s="33"/>
      <c r="W3332" s="33"/>
      <c r="X3332" s="33"/>
      <c r="Y3332" s="33"/>
      <c r="Z3332" s="33"/>
      <c r="AA3332" s="33"/>
      <c r="AB3332" s="33"/>
    </row>
    <row r="3333" spans="1:28" x14ac:dyDescent="0.15">
      <c r="A3333" s="46" t="s">
        <v>6717</v>
      </c>
      <c r="B3333" s="52" t="s">
        <v>7361</v>
      </c>
      <c r="C3333" s="53" t="s">
        <v>6718</v>
      </c>
      <c r="D3333" s="54" t="s">
        <v>10770</v>
      </c>
      <c r="E3333" s="50">
        <f t="shared" si="113"/>
        <v>45.602739730000003</v>
      </c>
      <c r="F3333" s="51">
        <f t="shared" si="113"/>
        <v>4.6358711399999999</v>
      </c>
      <c r="H3333" s="33"/>
      <c r="I3333" s="33"/>
      <c r="J3333" s="33"/>
      <c r="K3333" s="33"/>
      <c r="L3333" s="33"/>
      <c r="M3333" s="33"/>
      <c r="N3333" s="33"/>
      <c r="O3333" s="33"/>
      <c r="P3333" s="33"/>
      <c r="Q3333" s="33"/>
      <c r="R3333" s="33"/>
      <c r="S3333" s="33"/>
      <c r="T3333" s="33"/>
      <c r="U3333" s="33"/>
      <c r="V3333" s="33"/>
      <c r="W3333" s="33"/>
      <c r="X3333" s="33"/>
      <c r="Y3333" s="33"/>
      <c r="Z3333" s="33"/>
      <c r="AA3333" s="33"/>
      <c r="AB3333" s="33"/>
    </row>
    <row r="3334" spans="1:28" x14ac:dyDescent="0.15">
      <c r="A3334" s="46" t="s">
        <v>6719</v>
      </c>
      <c r="B3334" s="52" t="s">
        <v>7361</v>
      </c>
      <c r="C3334" s="53" t="s">
        <v>6720</v>
      </c>
      <c r="D3334" s="54" t="s">
        <v>10771</v>
      </c>
      <c r="E3334" s="50">
        <f t="shared" si="113"/>
        <v>45.616438359999997</v>
      </c>
      <c r="F3334" s="51">
        <f t="shared" si="113"/>
        <v>4.6358425499999996</v>
      </c>
      <c r="H3334" s="33"/>
      <c r="I3334" s="33"/>
      <c r="J3334" s="33"/>
      <c r="K3334" s="33"/>
      <c r="L3334" s="33"/>
      <c r="M3334" s="33"/>
      <c r="N3334" s="33"/>
      <c r="O3334" s="33"/>
      <c r="P3334" s="33"/>
      <c r="Q3334" s="33"/>
      <c r="R3334" s="33"/>
      <c r="S3334" s="33"/>
      <c r="T3334" s="33"/>
      <c r="U3334" s="33"/>
      <c r="V3334" s="33"/>
      <c r="W3334" s="33"/>
      <c r="X3334" s="33"/>
      <c r="Y3334" s="33"/>
      <c r="Z3334" s="33"/>
      <c r="AA3334" s="33"/>
      <c r="AB3334" s="33"/>
    </row>
    <row r="3335" spans="1:28" x14ac:dyDescent="0.15">
      <c r="A3335" s="46" t="s">
        <v>6721</v>
      </c>
      <c r="B3335" s="52" t="s">
        <v>7361</v>
      </c>
      <c r="C3335" s="53" t="s">
        <v>6722</v>
      </c>
      <c r="D3335" s="54" t="s">
        <v>10772</v>
      </c>
      <c r="E3335" s="50">
        <f t="shared" si="113"/>
        <v>45.630136989999997</v>
      </c>
      <c r="F3335" s="51">
        <f t="shared" si="113"/>
        <v>4.6358138100000001</v>
      </c>
      <c r="H3335" s="33"/>
      <c r="I3335" s="33"/>
      <c r="J3335" s="33"/>
      <c r="K3335" s="33"/>
      <c r="L3335" s="33"/>
      <c r="M3335" s="33"/>
      <c r="N3335" s="33"/>
      <c r="O3335" s="33"/>
      <c r="P3335" s="33"/>
      <c r="Q3335" s="33"/>
      <c r="R3335" s="33"/>
      <c r="S3335" s="33"/>
      <c r="T3335" s="33"/>
      <c r="U3335" s="33"/>
      <c r="V3335" s="33"/>
      <c r="W3335" s="33"/>
      <c r="X3335" s="33"/>
      <c r="Y3335" s="33"/>
      <c r="Z3335" s="33"/>
      <c r="AA3335" s="33"/>
      <c r="AB3335" s="33"/>
    </row>
    <row r="3336" spans="1:28" x14ac:dyDescent="0.15">
      <c r="A3336" s="46" t="s">
        <v>6723</v>
      </c>
      <c r="B3336" s="52" t="s">
        <v>7361</v>
      </c>
      <c r="C3336" s="53" t="s">
        <v>6724</v>
      </c>
      <c r="D3336" s="54" t="s">
        <v>10773</v>
      </c>
      <c r="E3336" s="50">
        <f t="shared" si="113"/>
        <v>45.643835619999997</v>
      </c>
      <c r="F3336" s="51">
        <f t="shared" si="113"/>
        <v>4.6357849199999999</v>
      </c>
      <c r="H3336" s="33"/>
      <c r="I3336" s="33"/>
      <c r="J3336" s="33"/>
      <c r="K3336" s="33"/>
      <c r="L3336" s="33"/>
      <c r="M3336" s="33"/>
      <c r="N3336" s="33"/>
      <c r="O3336" s="33"/>
      <c r="P3336" s="33"/>
      <c r="Q3336" s="33"/>
      <c r="R3336" s="33"/>
      <c r="S3336" s="33"/>
      <c r="T3336" s="33"/>
      <c r="U3336" s="33"/>
      <c r="V3336" s="33"/>
      <c r="W3336" s="33"/>
      <c r="X3336" s="33"/>
      <c r="Y3336" s="33"/>
      <c r="Z3336" s="33"/>
      <c r="AA3336" s="33"/>
      <c r="AB3336" s="33"/>
    </row>
    <row r="3337" spans="1:28" x14ac:dyDescent="0.15">
      <c r="A3337" s="46" t="s">
        <v>6725</v>
      </c>
      <c r="B3337" s="52" t="s">
        <v>7361</v>
      </c>
      <c r="C3337" s="53" t="s">
        <v>6726</v>
      </c>
      <c r="D3337" s="54" t="s">
        <v>10774</v>
      </c>
      <c r="E3337" s="50">
        <f t="shared" si="113"/>
        <v>45.657534249999998</v>
      </c>
      <c r="F3337" s="51">
        <f t="shared" si="113"/>
        <v>4.6357559100000003</v>
      </c>
      <c r="H3337" s="33"/>
      <c r="I3337" s="33"/>
      <c r="J3337" s="33"/>
      <c r="K3337" s="33"/>
      <c r="L3337" s="33"/>
      <c r="M3337" s="33"/>
      <c r="N3337" s="33"/>
      <c r="O3337" s="33"/>
      <c r="P3337" s="33"/>
      <c r="Q3337" s="33"/>
      <c r="R3337" s="33"/>
      <c r="S3337" s="33"/>
      <c r="T3337" s="33"/>
      <c r="U3337" s="33"/>
      <c r="V3337" s="33"/>
      <c r="W3337" s="33"/>
      <c r="X3337" s="33"/>
      <c r="Y3337" s="33"/>
      <c r="Z3337" s="33"/>
      <c r="AA3337" s="33"/>
      <c r="AB3337" s="33"/>
    </row>
    <row r="3338" spans="1:28" x14ac:dyDescent="0.15">
      <c r="A3338" s="46" t="s">
        <v>6727</v>
      </c>
      <c r="B3338" s="52" t="s">
        <v>7361</v>
      </c>
      <c r="C3338" s="53" t="s">
        <v>6728</v>
      </c>
      <c r="D3338" s="54" t="s">
        <v>10775</v>
      </c>
      <c r="E3338" s="50">
        <f t="shared" si="113"/>
        <v>45.671232879999998</v>
      </c>
      <c r="F3338" s="51">
        <f t="shared" si="113"/>
        <v>4.6357267799999997</v>
      </c>
      <c r="H3338" s="33"/>
      <c r="I3338" s="33"/>
      <c r="J3338" s="33"/>
      <c r="K3338" s="33"/>
      <c r="L3338" s="33"/>
      <c r="M3338" s="33"/>
      <c r="N3338" s="33"/>
      <c r="O3338" s="33"/>
      <c r="P3338" s="33"/>
      <c r="Q3338" s="33"/>
      <c r="R3338" s="33"/>
      <c r="S3338" s="33"/>
      <c r="T3338" s="33"/>
      <c r="U3338" s="33"/>
      <c r="V3338" s="33"/>
      <c r="W3338" s="33"/>
      <c r="X3338" s="33"/>
      <c r="Y3338" s="33"/>
      <c r="Z3338" s="33"/>
      <c r="AA3338" s="33"/>
      <c r="AB3338" s="33"/>
    </row>
    <row r="3339" spans="1:28" x14ac:dyDescent="0.15">
      <c r="A3339" s="46" t="s">
        <v>6729</v>
      </c>
      <c r="B3339" s="52" t="s">
        <v>7361</v>
      </c>
      <c r="C3339" s="53" t="s">
        <v>6730</v>
      </c>
      <c r="D3339" s="54" t="s">
        <v>10776</v>
      </c>
      <c r="E3339" s="50">
        <f t="shared" si="113"/>
        <v>45.684931509999998</v>
      </c>
      <c r="F3339" s="51">
        <f t="shared" si="113"/>
        <v>4.6356975399999998</v>
      </c>
      <c r="H3339" s="33"/>
      <c r="I3339" s="33"/>
      <c r="J3339" s="33"/>
      <c r="K3339" s="33"/>
      <c r="L3339" s="33"/>
      <c r="M3339" s="33"/>
      <c r="N3339" s="33"/>
      <c r="O3339" s="33"/>
      <c r="P3339" s="33"/>
      <c r="Q3339" s="33"/>
      <c r="R3339" s="33"/>
      <c r="S3339" s="33"/>
      <c r="T3339" s="33"/>
      <c r="U3339" s="33"/>
      <c r="V3339" s="33"/>
      <c r="W3339" s="33"/>
      <c r="X3339" s="33"/>
      <c r="Y3339" s="33"/>
      <c r="Z3339" s="33"/>
      <c r="AA3339" s="33"/>
      <c r="AB3339" s="33"/>
    </row>
    <row r="3340" spans="1:28" x14ac:dyDescent="0.15">
      <c r="A3340" s="46" t="s">
        <v>6731</v>
      </c>
      <c r="B3340" s="52" t="s">
        <v>7361</v>
      </c>
      <c r="C3340" s="53" t="s">
        <v>6732</v>
      </c>
      <c r="D3340" s="54" t="s">
        <v>10777</v>
      </c>
      <c r="E3340" s="50">
        <f t="shared" si="113"/>
        <v>45.698630139999999</v>
      </c>
      <c r="F3340" s="51">
        <f t="shared" si="113"/>
        <v>4.6356681999999996</v>
      </c>
      <c r="H3340" s="33"/>
      <c r="I3340" s="33"/>
      <c r="J3340" s="33"/>
      <c r="K3340" s="33"/>
      <c r="L3340" s="33"/>
      <c r="M3340" s="33"/>
      <c r="N3340" s="33"/>
      <c r="O3340" s="33"/>
      <c r="P3340" s="33"/>
      <c r="Q3340" s="33"/>
      <c r="R3340" s="33"/>
      <c r="S3340" s="33"/>
      <c r="T3340" s="33"/>
      <c r="U3340" s="33"/>
      <c r="V3340" s="33"/>
      <c r="W3340" s="33"/>
      <c r="X3340" s="33"/>
      <c r="Y3340" s="33"/>
      <c r="Z3340" s="33"/>
      <c r="AA3340" s="33"/>
      <c r="AB3340" s="33"/>
    </row>
    <row r="3341" spans="1:28" x14ac:dyDescent="0.15">
      <c r="A3341" s="46" t="s">
        <v>6733</v>
      </c>
      <c r="B3341" s="52" t="s">
        <v>7361</v>
      </c>
      <c r="C3341" s="53" t="s">
        <v>6734</v>
      </c>
      <c r="D3341" s="54" t="s">
        <v>10778</v>
      </c>
      <c r="E3341" s="50">
        <f t="shared" ref="E3341:F3371" si="114">VALUE(C3341)</f>
        <v>45.712328769999999</v>
      </c>
      <c r="F3341" s="51">
        <f t="shared" si="114"/>
        <v>4.6356387699999999</v>
      </c>
      <c r="H3341" s="33"/>
      <c r="I3341" s="33"/>
      <c r="J3341" s="33"/>
      <c r="K3341" s="33"/>
      <c r="L3341" s="33"/>
      <c r="M3341" s="33"/>
      <c r="N3341" s="33"/>
      <c r="O3341" s="33"/>
      <c r="P3341" s="33"/>
      <c r="Q3341" s="33"/>
      <c r="R3341" s="33"/>
      <c r="S3341" s="33"/>
      <c r="T3341" s="33"/>
      <c r="U3341" s="33"/>
      <c r="V3341" s="33"/>
      <c r="W3341" s="33"/>
      <c r="X3341" s="33"/>
      <c r="Y3341" s="33"/>
      <c r="Z3341" s="33"/>
      <c r="AA3341" s="33"/>
      <c r="AB3341" s="33"/>
    </row>
    <row r="3342" spans="1:28" x14ac:dyDescent="0.15">
      <c r="A3342" s="46" t="s">
        <v>6735</v>
      </c>
      <c r="B3342" s="52" t="s">
        <v>7361</v>
      </c>
      <c r="C3342" s="53" t="s">
        <v>6736</v>
      </c>
      <c r="D3342" s="54" t="s">
        <v>10779</v>
      </c>
      <c r="E3342" s="50">
        <f t="shared" si="114"/>
        <v>45.7260274</v>
      </c>
      <c r="F3342" s="51">
        <f t="shared" si="114"/>
        <v>4.6356092499999999</v>
      </c>
      <c r="H3342" s="33"/>
      <c r="I3342" s="33"/>
      <c r="J3342" s="33"/>
      <c r="K3342" s="33"/>
      <c r="L3342" s="33"/>
      <c r="M3342" s="33"/>
      <c r="N3342" s="33"/>
      <c r="O3342" s="33"/>
      <c r="P3342" s="33"/>
      <c r="Q3342" s="33"/>
      <c r="R3342" s="33"/>
      <c r="S3342" s="33"/>
      <c r="T3342" s="33"/>
      <c r="U3342" s="33"/>
      <c r="V3342" s="33"/>
      <c r="W3342" s="33"/>
      <c r="X3342" s="33"/>
      <c r="Y3342" s="33"/>
      <c r="Z3342" s="33"/>
      <c r="AA3342" s="33"/>
      <c r="AB3342" s="33"/>
    </row>
    <row r="3343" spans="1:28" x14ac:dyDescent="0.15">
      <c r="A3343" s="46" t="s">
        <v>6737</v>
      </c>
      <c r="B3343" s="52" t="s">
        <v>7361</v>
      </c>
      <c r="C3343" s="53" t="s">
        <v>6738</v>
      </c>
      <c r="D3343" s="54" t="s">
        <v>10780</v>
      </c>
      <c r="E3343" s="50">
        <f t="shared" si="114"/>
        <v>45.73972603</v>
      </c>
      <c r="F3343" s="51">
        <f t="shared" si="114"/>
        <v>4.6355796700000003</v>
      </c>
      <c r="H3343" s="33"/>
      <c r="I3343" s="33"/>
      <c r="J3343" s="33"/>
      <c r="K3343" s="33"/>
      <c r="L3343" s="33"/>
      <c r="M3343" s="33"/>
      <c r="N3343" s="33"/>
      <c r="O3343" s="33"/>
      <c r="P3343" s="33"/>
      <c r="Q3343" s="33"/>
      <c r="R3343" s="33"/>
      <c r="S3343" s="33"/>
      <c r="T3343" s="33"/>
      <c r="U3343" s="33"/>
      <c r="V3343" s="33"/>
      <c r="W3343" s="33"/>
      <c r="X3343" s="33"/>
      <c r="Y3343" s="33"/>
      <c r="Z3343" s="33"/>
      <c r="AA3343" s="33"/>
      <c r="AB3343" s="33"/>
    </row>
    <row r="3344" spans="1:28" x14ac:dyDescent="0.15">
      <c r="A3344" s="46" t="s">
        <v>6739</v>
      </c>
      <c r="B3344" s="52" t="s">
        <v>7361</v>
      </c>
      <c r="C3344" s="53" t="s">
        <v>6740</v>
      </c>
      <c r="D3344" s="54" t="s">
        <v>10781</v>
      </c>
      <c r="E3344" s="50">
        <f t="shared" si="114"/>
        <v>45.75342466</v>
      </c>
      <c r="F3344" s="51">
        <f t="shared" si="114"/>
        <v>4.6355500100000002</v>
      </c>
      <c r="H3344" s="33"/>
      <c r="I3344" s="33"/>
      <c r="J3344" s="33"/>
      <c r="K3344" s="33"/>
      <c r="L3344" s="33"/>
      <c r="M3344" s="33"/>
      <c r="N3344" s="33"/>
      <c r="O3344" s="33"/>
      <c r="P3344" s="33"/>
      <c r="Q3344" s="33"/>
      <c r="R3344" s="33"/>
      <c r="S3344" s="33"/>
      <c r="T3344" s="33"/>
      <c r="U3344" s="33"/>
      <c r="V3344" s="33"/>
      <c r="W3344" s="33"/>
      <c r="X3344" s="33"/>
      <c r="Y3344" s="33"/>
      <c r="Z3344" s="33"/>
      <c r="AA3344" s="33"/>
      <c r="AB3344" s="33"/>
    </row>
    <row r="3345" spans="1:28" x14ac:dyDescent="0.15">
      <c r="A3345" s="46" t="s">
        <v>6741</v>
      </c>
      <c r="B3345" s="52" t="s">
        <v>7361</v>
      </c>
      <c r="C3345" s="53" t="s">
        <v>6742</v>
      </c>
      <c r="D3345" s="54" t="s">
        <v>10782</v>
      </c>
      <c r="E3345" s="50">
        <f t="shared" si="114"/>
        <v>45.767123290000001</v>
      </c>
      <c r="F3345" s="51">
        <f t="shared" si="114"/>
        <v>4.6355203100000004</v>
      </c>
      <c r="H3345" s="33"/>
      <c r="I3345" s="33"/>
      <c r="J3345" s="33"/>
      <c r="K3345" s="33"/>
      <c r="L3345" s="33"/>
      <c r="M3345" s="33"/>
      <c r="N3345" s="33"/>
      <c r="O3345" s="33"/>
      <c r="P3345" s="33"/>
      <c r="Q3345" s="33"/>
      <c r="R3345" s="33"/>
      <c r="S3345" s="33"/>
      <c r="T3345" s="33"/>
      <c r="U3345" s="33"/>
      <c r="V3345" s="33"/>
      <c r="W3345" s="33"/>
      <c r="X3345" s="33"/>
      <c r="Y3345" s="33"/>
      <c r="Z3345" s="33"/>
      <c r="AA3345" s="33"/>
      <c r="AB3345" s="33"/>
    </row>
    <row r="3346" spans="1:28" x14ac:dyDescent="0.15">
      <c r="A3346" s="46" t="s">
        <v>6743</v>
      </c>
      <c r="B3346" s="52" t="s">
        <v>7361</v>
      </c>
      <c r="C3346" s="53" t="s">
        <v>6744</v>
      </c>
      <c r="D3346" s="54" t="s">
        <v>10783</v>
      </c>
      <c r="E3346" s="50">
        <f t="shared" si="114"/>
        <v>45.780821920000001</v>
      </c>
      <c r="F3346" s="51">
        <f t="shared" si="114"/>
        <v>4.63549056</v>
      </c>
      <c r="H3346" s="33"/>
      <c r="I3346" s="33"/>
      <c r="J3346" s="33"/>
      <c r="K3346" s="33"/>
      <c r="L3346" s="33"/>
      <c r="M3346" s="33"/>
      <c r="N3346" s="33"/>
      <c r="O3346" s="33"/>
      <c r="P3346" s="33"/>
      <c r="Q3346" s="33"/>
      <c r="R3346" s="33"/>
      <c r="S3346" s="33"/>
      <c r="T3346" s="33"/>
      <c r="U3346" s="33"/>
      <c r="V3346" s="33"/>
      <c r="W3346" s="33"/>
      <c r="X3346" s="33"/>
      <c r="Y3346" s="33"/>
      <c r="Z3346" s="33"/>
      <c r="AA3346" s="33"/>
      <c r="AB3346" s="33"/>
    </row>
    <row r="3347" spans="1:28" x14ac:dyDescent="0.15">
      <c r="A3347" s="46" t="s">
        <v>6745</v>
      </c>
      <c r="B3347" s="52" t="s">
        <v>7361</v>
      </c>
      <c r="C3347" s="53" t="s">
        <v>6746</v>
      </c>
      <c r="D3347" s="54" t="s">
        <v>10784</v>
      </c>
      <c r="E3347" s="50">
        <f t="shared" si="114"/>
        <v>45.794520550000001</v>
      </c>
      <c r="F3347" s="51">
        <f t="shared" si="114"/>
        <v>4.6354607699999999</v>
      </c>
      <c r="H3347" s="33"/>
      <c r="I3347" s="33"/>
      <c r="J3347" s="33"/>
      <c r="K3347" s="33"/>
      <c r="L3347" s="33"/>
      <c r="M3347" s="33"/>
      <c r="N3347" s="33"/>
      <c r="O3347" s="33"/>
      <c r="P3347" s="33"/>
      <c r="Q3347" s="33"/>
      <c r="R3347" s="33"/>
      <c r="S3347" s="33"/>
      <c r="T3347" s="33"/>
      <c r="U3347" s="33"/>
      <c r="V3347" s="33"/>
      <c r="W3347" s="33"/>
      <c r="X3347" s="33"/>
      <c r="Y3347" s="33"/>
      <c r="Z3347" s="33"/>
      <c r="AA3347" s="33"/>
      <c r="AB3347" s="33"/>
    </row>
    <row r="3348" spans="1:28" x14ac:dyDescent="0.15">
      <c r="A3348" s="46" t="s">
        <v>6747</v>
      </c>
      <c r="B3348" s="52" t="s">
        <v>7361</v>
      </c>
      <c r="C3348" s="53" t="s">
        <v>6748</v>
      </c>
      <c r="D3348" s="54" t="s">
        <v>10785</v>
      </c>
      <c r="E3348" s="50">
        <f t="shared" si="114"/>
        <v>45.808219180000002</v>
      </c>
      <c r="F3348" s="51">
        <f t="shared" si="114"/>
        <v>4.6354309599999999</v>
      </c>
      <c r="H3348" s="33"/>
      <c r="I3348" s="33"/>
      <c r="J3348" s="33"/>
      <c r="K3348" s="33"/>
      <c r="L3348" s="33"/>
      <c r="M3348" s="33"/>
      <c r="N3348" s="33"/>
      <c r="O3348" s="33"/>
      <c r="P3348" s="33"/>
      <c r="Q3348" s="33"/>
      <c r="R3348" s="33"/>
      <c r="S3348" s="33"/>
      <c r="T3348" s="33"/>
      <c r="U3348" s="33"/>
      <c r="V3348" s="33"/>
      <c r="W3348" s="33"/>
      <c r="X3348" s="33"/>
      <c r="Y3348" s="33"/>
      <c r="Z3348" s="33"/>
      <c r="AA3348" s="33"/>
      <c r="AB3348" s="33"/>
    </row>
    <row r="3349" spans="1:28" x14ac:dyDescent="0.15">
      <c r="A3349" s="46" t="s">
        <v>6749</v>
      </c>
      <c r="B3349" s="52" t="s">
        <v>7361</v>
      </c>
      <c r="C3349" s="53" t="s">
        <v>6750</v>
      </c>
      <c r="D3349" s="54" t="s">
        <v>10786</v>
      </c>
      <c r="E3349" s="50">
        <f t="shared" si="114"/>
        <v>45.821917810000002</v>
      </c>
      <c r="F3349" s="51">
        <f t="shared" si="114"/>
        <v>4.63540113</v>
      </c>
      <c r="H3349" s="33"/>
      <c r="I3349" s="33"/>
      <c r="J3349" s="33"/>
      <c r="K3349" s="33"/>
      <c r="L3349" s="33"/>
      <c r="M3349" s="33"/>
      <c r="N3349" s="33"/>
      <c r="O3349" s="33"/>
      <c r="P3349" s="33"/>
      <c r="Q3349" s="33"/>
      <c r="R3349" s="33"/>
      <c r="S3349" s="33"/>
      <c r="T3349" s="33"/>
      <c r="U3349" s="33"/>
      <c r="V3349" s="33"/>
      <c r="W3349" s="33"/>
      <c r="X3349" s="33"/>
      <c r="Y3349" s="33"/>
      <c r="Z3349" s="33"/>
      <c r="AA3349" s="33"/>
      <c r="AB3349" s="33"/>
    </row>
    <row r="3350" spans="1:28" x14ac:dyDescent="0.15">
      <c r="A3350" s="46" t="s">
        <v>6751</v>
      </c>
      <c r="B3350" s="52" t="s">
        <v>7361</v>
      </c>
      <c r="C3350" s="53" t="s">
        <v>6752</v>
      </c>
      <c r="D3350" s="54" t="s">
        <v>10787</v>
      </c>
      <c r="E3350" s="50">
        <f t="shared" si="114"/>
        <v>45.835616440000003</v>
      </c>
      <c r="F3350" s="51">
        <f t="shared" si="114"/>
        <v>4.6353712900000001</v>
      </c>
      <c r="H3350" s="33"/>
      <c r="I3350" s="33"/>
      <c r="J3350" s="33"/>
      <c r="K3350" s="33"/>
      <c r="L3350" s="33"/>
      <c r="M3350" s="33"/>
      <c r="N3350" s="33"/>
      <c r="O3350" s="33"/>
      <c r="P3350" s="33"/>
      <c r="Q3350" s="33"/>
      <c r="R3350" s="33"/>
      <c r="S3350" s="33"/>
      <c r="T3350" s="33"/>
      <c r="U3350" s="33"/>
      <c r="V3350" s="33"/>
      <c r="W3350" s="33"/>
      <c r="X3350" s="33"/>
      <c r="Y3350" s="33"/>
      <c r="Z3350" s="33"/>
      <c r="AA3350" s="33"/>
      <c r="AB3350" s="33"/>
    </row>
    <row r="3351" spans="1:28" x14ac:dyDescent="0.15">
      <c r="A3351" s="46" t="s">
        <v>6753</v>
      </c>
      <c r="B3351" s="52" t="s">
        <v>7361</v>
      </c>
      <c r="C3351" s="53" t="s">
        <v>6754</v>
      </c>
      <c r="D3351" s="54" t="s">
        <v>10788</v>
      </c>
      <c r="E3351" s="50">
        <f t="shared" si="114"/>
        <v>45.849315070000003</v>
      </c>
      <c r="F3351" s="51">
        <f t="shared" si="114"/>
        <v>4.6353414500000003</v>
      </c>
      <c r="H3351" s="33"/>
      <c r="I3351" s="33"/>
      <c r="J3351" s="33"/>
      <c r="K3351" s="33"/>
      <c r="L3351" s="33"/>
      <c r="M3351" s="33"/>
      <c r="N3351" s="33"/>
      <c r="O3351" s="33"/>
      <c r="P3351" s="33"/>
      <c r="Q3351" s="33"/>
      <c r="R3351" s="33"/>
      <c r="S3351" s="33"/>
      <c r="T3351" s="33"/>
      <c r="U3351" s="33"/>
      <c r="V3351" s="33"/>
      <c r="W3351" s="33"/>
      <c r="X3351" s="33"/>
      <c r="Y3351" s="33"/>
      <c r="Z3351" s="33"/>
      <c r="AA3351" s="33"/>
      <c r="AB3351" s="33"/>
    </row>
    <row r="3352" spans="1:28" x14ac:dyDescent="0.15">
      <c r="A3352" s="46" t="s">
        <v>6755</v>
      </c>
      <c r="B3352" s="52" t="s">
        <v>7361</v>
      </c>
      <c r="C3352" s="53" t="s">
        <v>6756</v>
      </c>
      <c r="D3352" s="54" t="s">
        <v>10789</v>
      </c>
      <c r="E3352" s="50">
        <f t="shared" si="114"/>
        <v>45.863013700000003</v>
      </c>
      <c r="F3352" s="51">
        <f t="shared" si="114"/>
        <v>4.6353116300000003</v>
      </c>
      <c r="H3352" s="33"/>
      <c r="I3352" s="33"/>
      <c r="J3352" s="33"/>
      <c r="K3352" s="33"/>
      <c r="L3352" s="33"/>
      <c r="M3352" s="33"/>
      <c r="N3352" s="33"/>
      <c r="O3352" s="33"/>
      <c r="P3352" s="33"/>
      <c r="Q3352" s="33"/>
      <c r="R3352" s="33"/>
      <c r="S3352" s="33"/>
      <c r="T3352" s="33"/>
      <c r="U3352" s="33"/>
      <c r="V3352" s="33"/>
      <c r="W3352" s="33"/>
      <c r="X3352" s="33"/>
      <c r="Y3352" s="33"/>
      <c r="Z3352" s="33"/>
      <c r="AA3352" s="33"/>
      <c r="AB3352" s="33"/>
    </row>
    <row r="3353" spans="1:28" x14ac:dyDescent="0.15">
      <c r="A3353" s="46" t="s">
        <v>6757</v>
      </c>
      <c r="B3353" s="52" t="s">
        <v>7361</v>
      </c>
      <c r="C3353" s="53" t="s">
        <v>6758</v>
      </c>
      <c r="D3353" s="54" t="s">
        <v>10790</v>
      </c>
      <c r="E3353" s="50">
        <f t="shared" si="114"/>
        <v>45.876712329999997</v>
      </c>
      <c r="F3353" s="51">
        <f t="shared" si="114"/>
        <v>4.6352818200000003</v>
      </c>
      <c r="H3353" s="33"/>
      <c r="I3353" s="33"/>
      <c r="J3353" s="33"/>
      <c r="K3353" s="33"/>
      <c r="L3353" s="33"/>
      <c r="M3353" s="33"/>
      <c r="N3353" s="33"/>
      <c r="O3353" s="33"/>
      <c r="P3353" s="33"/>
      <c r="Q3353" s="33"/>
      <c r="R3353" s="33"/>
      <c r="S3353" s="33"/>
      <c r="T3353" s="33"/>
      <c r="U3353" s="33"/>
      <c r="V3353" s="33"/>
      <c r="W3353" s="33"/>
      <c r="X3353" s="33"/>
      <c r="Y3353" s="33"/>
      <c r="Z3353" s="33"/>
      <c r="AA3353" s="33"/>
      <c r="AB3353" s="33"/>
    </row>
    <row r="3354" spans="1:28" x14ac:dyDescent="0.15">
      <c r="A3354" s="46" t="s">
        <v>6759</v>
      </c>
      <c r="B3354" s="52" t="s">
        <v>7361</v>
      </c>
      <c r="C3354" s="53" t="s">
        <v>6760</v>
      </c>
      <c r="D3354" s="54" t="s">
        <v>10791</v>
      </c>
      <c r="E3354" s="50">
        <f t="shared" si="114"/>
        <v>45.890410959999997</v>
      </c>
      <c r="F3354" s="51">
        <f t="shared" si="114"/>
        <v>4.6352520500000001</v>
      </c>
      <c r="H3354" s="33"/>
      <c r="I3354" s="33"/>
      <c r="J3354" s="33"/>
      <c r="K3354" s="33"/>
      <c r="L3354" s="33"/>
      <c r="M3354" s="33"/>
      <c r="N3354" s="33"/>
      <c r="O3354" s="33"/>
      <c r="P3354" s="33"/>
      <c r="Q3354" s="33"/>
      <c r="R3354" s="33"/>
      <c r="S3354" s="33"/>
      <c r="T3354" s="33"/>
      <c r="U3354" s="33"/>
      <c r="V3354" s="33"/>
      <c r="W3354" s="33"/>
      <c r="X3354" s="33"/>
      <c r="Y3354" s="33"/>
      <c r="Z3354" s="33"/>
      <c r="AA3354" s="33"/>
      <c r="AB3354" s="33"/>
    </row>
    <row r="3355" spans="1:28" x14ac:dyDescent="0.15">
      <c r="A3355" s="46" t="s">
        <v>6761</v>
      </c>
      <c r="B3355" s="52" t="s">
        <v>7361</v>
      </c>
      <c r="C3355" s="53" t="s">
        <v>6762</v>
      </c>
      <c r="D3355" s="54" t="s">
        <v>10792</v>
      </c>
      <c r="E3355" s="50">
        <f t="shared" si="114"/>
        <v>45.904109589999997</v>
      </c>
      <c r="F3355" s="51">
        <f t="shared" si="114"/>
        <v>4.6352223099999996</v>
      </c>
      <c r="H3355" s="33"/>
      <c r="I3355" s="33"/>
      <c r="J3355" s="33"/>
      <c r="K3355" s="33"/>
      <c r="L3355" s="33"/>
      <c r="M3355" s="33"/>
      <c r="N3355" s="33"/>
      <c r="O3355" s="33"/>
      <c r="P3355" s="33"/>
      <c r="Q3355" s="33"/>
      <c r="R3355" s="33"/>
      <c r="S3355" s="33"/>
      <c r="T3355" s="33"/>
      <c r="U3355" s="33"/>
      <c r="V3355" s="33"/>
      <c r="W3355" s="33"/>
      <c r="X3355" s="33"/>
      <c r="Y3355" s="33"/>
      <c r="Z3355" s="33"/>
      <c r="AA3355" s="33"/>
      <c r="AB3355" s="33"/>
    </row>
    <row r="3356" spans="1:28" x14ac:dyDescent="0.15">
      <c r="A3356" s="46" t="s">
        <v>6763</v>
      </c>
      <c r="B3356" s="52" t="s">
        <v>7361</v>
      </c>
      <c r="C3356" s="53" t="s">
        <v>6764</v>
      </c>
      <c r="D3356" s="54" t="s">
        <v>10793</v>
      </c>
      <c r="E3356" s="50">
        <f t="shared" si="114"/>
        <v>45.917808219999998</v>
      </c>
      <c r="F3356" s="51">
        <f t="shared" si="114"/>
        <v>4.6351926199999998</v>
      </c>
      <c r="H3356" s="33"/>
      <c r="I3356" s="33"/>
      <c r="J3356" s="33"/>
      <c r="K3356" s="33"/>
      <c r="L3356" s="33"/>
      <c r="M3356" s="33"/>
      <c r="N3356" s="33"/>
      <c r="O3356" s="33"/>
      <c r="P3356" s="33"/>
      <c r="Q3356" s="33"/>
      <c r="R3356" s="33"/>
      <c r="S3356" s="33"/>
      <c r="T3356" s="33"/>
      <c r="U3356" s="33"/>
      <c r="V3356" s="33"/>
      <c r="W3356" s="33"/>
      <c r="X3356" s="33"/>
      <c r="Y3356" s="33"/>
      <c r="Z3356" s="33"/>
      <c r="AA3356" s="33"/>
      <c r="AB3356" s="33"/>
    </row>
    <row r="3357" spans="1:28" x14ac:dyDescent="0.15">
      <c r="A3357" s="46" t="s">
        <v>6765</v>
      </c>
      <c r="B3357" s="52" t="s">
        <v>7361</v>
      </c>
      <c r="C3357" s="53" t="s">
        <v>6766</v>
      </c>
      <c r="D3357" s="54" t="s">
        <v>10794</v>
      </c>
      <c r="E3357" s="50">
        <f t="shared" si="114"/>
        <v>45.931506849999998</v>
      </c>
      <c r="F3357" s="51">
        <f t="shared" si="114"/>
        <v>4.6351629900000004</v>
      </c>
      <c r="H3357" s="33"/>
      <c r="I3357" s="33"/>
      <c r="J3357" s="33"/>
      <c r="K3357" s="33"/>
      <c r="L3357" s="33"/>
      <c r="M3357" s="33"/>
      <c r="N3357" s="33"/>
      <c r="O3357" s="33"/>
      <c r="P3357" s="33"/>
      <c r="Q3357" s="33"/>
      <c r="R3357" s="33"/>
      <c r="S3357" s="33"/>
      <c r="T3357" s="33"/>
      <c r="U3357" s="33"/>
      <c r="V3357" s="33"/>
      <c r="W3357" s="33"/>
      <c r="X3357" s="33"/>
      <c r="Y3357" s="33"/>
      <c r="Z3357" s="33"/>
      <c r="AA3357" s="33"/>
      <c r="AB3357" s="33"/>
    </row>
    <row r="3358" spans="1:28" x14ac:dyDescent="0.15">
      <c r="A3358" s="46" t="s">
        <v>6767</v>
      </c>
      <c r="B3358" s="52" t="s">
        <v>7361</v>
      </c>
      <c r="C3358" s="53" t="s">
        <v>6768</v>
      </c>
      <c r="D3358" s="54" t="s">
        <v>10795</v>
      </c>
      <c r="E3358" s="50">
        <f t="shared" si="114"/>
        <v>45.945205479999998</v>
      </c>
      <c r="F3358" s="51">
        <f t="shared" si="114"/>
        <v>4.6351334199999998</v>
      </c>
      <c r="H3358" s="33"/>
      <c r="I3358" s="33"/>
      <c r="J3358" s="33"/>
      <c r="K3358" s="33"/>
      <c r="L3358" s="33"/>
      <c r="M3358" s="33"/>
      <c r="N3358" s="33"/>
      <c r="O3358" s="33"/>
      <c r="P3358" s="33"/>
      <c r="Q3358" s="33"/>
      <c r="R3358" s="33"/>
      <c r="S3358" s="33"/>
      <c r="T3358" s="33"/>
      <c r="U3358" s="33"/>
      <c r="V3358" s="33"/>
      <c r="W3358" s="33"/>
      <c r="X3358" s="33"/>
      <c r="Y3358" s="33"/>
      <c r="Z3358" s="33"/>
      <c r="AA3358" s="33"/>
      <c r="AB3358" s="33"/>
    </row>
    <row r="3359" spans="1:28" x14ac:dyDescent="0.15">
      <c r="A3359" s="46" t="s">
        <v>6769</v>
      </c>
      <c r="B3359" s="52" t="s">
        <v>7361</v>
      </c>
      <c r="C3359" s="53" t="s">
        <v>6770</v>
      </c>
      <c r="D3359" s="54" t="s">
        <v>10796</v>
      </c>
      <c r="E3359" s="50">
        <f t="shared" si="114"/>
        <v>45.958904109999999</v>
      </c>
      <c r="F3359" s="51">
        <f t="shared" si="114"/>
        <v>4.6351039399999996</v>
      </c>
      <c r="H3359" s="33"/>
      <c r="I3359" s="33"/>
      <c r="J3359" s="33"/>
      <c r="K3359" s="33"/>
      <c r="L3359" s="33"/>
      <c r="M3359" s="33"/>
      <c r="N3359" s="33"/>
      <c r="O3359" s="33"/>
      <c r="P3359" s="33"/>
      <c r="Q3359" s="33"/>
      <c r="R3359" s="33"/>
      <c r="S3359" s="33"/>
      <c r="T3359" s="33"/>
      <c r="U3359" s="33"/>
      <c r="V3359" s="33"/>
      <c r="W3359" s="33"/>
      <c r="X3359" s="33"/>
      <c r="Y3359" s="33"/>
      <c r="Z3359" s="33"/>
      <c r="AA3359" s="33"/>
      <c r="AB3359" s="33"/>
    </row>
    <row r="3360" spans="1:28" x14ac:dyDescent="0.15">
      <c r="A3360" s="46" t="s">
        <v>6771</v>
      </c>
      <c r="B3360" s="52" t="s">
        <v>7361</v>
      </c>
      <c r="C3360" s="53" t="s">
        <v>6772</v>
      </c>
      <c r="D3360" s="54" t="s">
        <v>10797</v>
      </c>
      <c r="E3360" s="50">
        <f t="shared" si="114"/>
        <v>45.972602739999999</v>
      </c>
      <c r="F3360" s="51">
        <f t="shared" si="114"/>
        <v>4.6350745299999998</v>
      </c>
      <c r="H3360" s="33"/>
      <c r="I3360" s="33"/>
      <c r="J3360" s="33"/>
      <c r="K3360" s="33"/>
      <c r="L3360" s="33"/>
      <c r="M3360" s="33"/>
      <c r="N3360" s="33"/>
      <c r="O3360" s="33"/>
      <c r="P3360" s="33"/>
      <c r="Q3360" s="33"/>
      <c r="R3360" s="33"/>
      <c r="S3360" s="33"/>
      <c r="T3360" s="33"/>
      <c r="U3360" s="33"/>
      <c r="V3360" s="33"/>
      <c r="W3360" s="33"/>
      <c r="X3360" s="33"/>
      <c r="Y3360" s="33"/>
      <c r="Z3360" s="33"/>
      <c r="AA3360" s="33"/>
      <c r="AB3360" s="33"/>
    </row>
    <row r="3361" spans="1:28" x14ac:dyDescent="0.15">
      <c r="A3361" s="46" t="s">
        <v>6773</v>
      </c>
      <c r="B3361" s="52" t="s">
        <v>7361</v>
      </c>
      <c r="C3361" s="53" t="s">
        <v>6774</v>
      </c>
      <c r="D3361" s="54" t="s">
        <v>10798</v>
      </c>
      <c r="E3361" s="50">
        <f t="shared" si="114"/>
        <v>45.98630137</v>
      </c>
      <c r="F3361" s="51">
        <f t="shared" si="114"/>
        <v>4.6350452200000003</v>
      </c>
      <c r="H3361" s="33"/>
      <c r="I3361" s="33"/>
      <c r="J3361" s="33"/>
      <c r="K3361" s="33"/>
      <c r="L3361" s="33"/>
      <c r="M3361" s="33"/>
      <c r="N3361" s="33"/>
      <c r="O3361" s="33"/>
      <c r="P3361" s="33"/>
      <c r="Q3361" s="33"/>
      <c r="R3361" s="33"/>
      <c r="S3361" s="33"/>
      <c r="T3361" s="33"/>
      <c r="U3361" s="33"/>
      <c r="V3361" s="33"/>
      <c r="W3361" s="33"/>
      <c r="X3361" s="33"/>
      <c r="Y3361" s="33"/>
      <c r="Z3361" s="33"/>
      <c r="AA3361" s="33"/>
      <c r="AB3361" s="33"/>
    </row>
    <row r="3362" spans="1:28" x14ac:dyDescent="0.15">
      <c r="A3362" s="46" t="s">
        <v>6775</v>
      </c>
      <c r="B3362" s="52" t="s">
        <v>7361</v>
      </c>
      <c r="C3362" s="53" t="s">
        <v>6776</v>
      </c>
      <c r="D3362" s="54" t="s">
        <v>10799</v>
      </c>
      <c r="E3362" s="50">
        <f t="shared" si="114"/>
        <v>46</v>
      </c>
      <c r="F3362" s="51">
        <f t="shared" si="114"/>
        <v>4.6350160200000001</v>
      </c>
      <c r="H3362" s="33"/>
      <c r="I3362" s="33"/>
      <c r="J3362" s="33"/>
      <c r="K3362" s="33"/>
      <c r="L3362" s="33"/>
      <c r="M3362" s="33"/>
      <c r="N3362" s="33"/>
      <c r="O3362" s="33"/>
      <c r="P3362" s="33"/>
      <c r="Q3362" s="33"/>
      <c r="R3362" s="33"/>
      <c r="S3362" s="33"/>
      <c r="T3362" s="33"/>
      <c r="U3362" s="33"/>
      <c r="V3362" s="33"/>
      <c r="W3362" s="33"/>
      <c r="X3362" s="33"/>
      <c r="Y3362" s="33"/>
      <c r="Z3362" s="33"/>
      <c r="AA3362" s="33"/>
      <c r="AB3362" s="33"/>
    </row>
    <row r="3363" spans="1:28" x14ac:dyDescent="0.15">
      <c r="A3363" s="46" t="s">
        <v>6777</v>
      </c>
      <c r="B3363" s="52" t="s">
        <v>7361</v>
      </c>
      <c r="C3363" s="53" t="s">
        <v>6778</v>
      </c>
      <c r="D3363" s="54" t="s">
        <v>10800</v>
      </c>
      <c r="E3363" s="50">
        <f t="shared" si="114"/>
        <v>46.01369863</v>
      </c>
      <c r="F3363" s="51">
        <f t="shared" si="114"/>
        <v>4.6349868299999999</v>
      </c>
      <c r="H3363" s="33"/>
      <c r="I3363" s="33"/>
      <c r="J3363" s="33"/>
      <c r="K3363" s="33"/>
      <c r="L3363" s="33"/>
      <c r="M3363" s="33"/>
      <c r="N3363" s="33"/>
      <c r="O3363" s="33"/>
      <c r="P3363" s="33"/>
      <c r="Q3363" s="33"/>
      <c r="R3363" s="33"/>
      <c r="S3363" s="33"/>
      <c r="T3363" s="33"/>
      <c r="U3363" s="33"/>
      <c r="V3363" s="33"/>
      <c r="W3363" s="33"/>
      <c r="X3363" s="33"/>
      <c r="Y3363" s="33"/>
      <c r="Z3363" s="33"/>
      <c r="AA3363" s="33"/>
      <c r="AB3363" s="33"/>
    </row>
    <row r="3364" spans="1:28" x14ac:dyDescent="0.15">
      <c r="A3364" s="46" t="s">
        <v>6779</v>
      </c>
      <c r="B3364" s="52" t="s">
        <v>7361</v>
      </c>
      <c r="C3364" s="53" t="s">
        <v>6780</v>
      </c>
      <c r="D3364" s="54" t="s">
        <v>10801</v>
      </c>
      <c r="E3364" s="50">
        <f t="shared" si="114"/>
        <v>46.027397260000001</v>
      </c>
      <c r="F3364" s="51">
        <f t="shared" si="114"/>
        <v>4.6349575500000002</v>
      </c>
      <c r="H3364" s="33"/>
      <c r="I3364" s="33"/>
      <c r="J3364" s="33"/>
      <c r="K3364" s="33"/>
      <c r="L3364" s="33"/>
      <c r="M3364" s="33"/>
      <c r="N3364" s="33"/>
      <c r="O3364" s="33"/>
      <c r="P3364" s="33"/>
      <c r="Q3364" s="33"/>
      <c r="R3364" s="33"/>
      <c r="S3364" s="33"/>
      <c r="T3364" s="33"/>
      <c r="U3364" s="33"/>
      <c r="V3364" s="33"/>
      <c r="W3364" s="33"/>
      <c r="X3364" s="33"/>
      <c r="Y3364" s="33"/>
      <c r="Z3364" s="33"/>
      <c r="AA3364" s="33"/>
      <c r="AB3364" s="33"/>
    </row>
    <row r="3365" spans="1:28" x14ac:dyDescent="0.15">
      <c r="A3365" s="46" t="s">
        <v>6781</v>
      </c>
      <c r="B3365" s="52" t="s">
        <v>7361</v>
      </c>
      <c r="C3365" s="53" t="s">
        <v>6782</v>
      </c>
      <c r="D3365" s="54" t="s">
        <v>10802</v>
      </c>
      <c r="E3365" s="50">
        <f t="shared" si="114"/>
        <v>46.041095890000001</v>
      </c>
      <c r="F3365" s="51">
        <f t="shared" si="114"/>
        <v>4.6349282000000001</v>
      </c>
      <c r="H3365" s="33"/>
      <c r="I3365" s="33"/>
      <c r="J3365" s="33"/>
      <c r="K3365" s="33"/>
      <c r="L3365" s="33"/>
      <c r="M3365" s="33"/>
      <c r="N3365" s="33"/>
      <c r="O3365" s="33"/>
      <c r="P3365" s="33"/>
      <c r="Q3365" s="33"/>
      <c r="R3365" s="33"/>
      <c r="S3365" s="33"/>
      <c r="T3365" s="33"/>
      <c r="U3365" s="33"/>
      <c r="V3365" s="33"/>
      <c r="W3365" s="33"/>
      <c r="X3365" s="33"/>
      <c r="Y3365" s="33"/>
      <c r="Z3365" s="33"/>
      <c r="AA3365" s="33"/>
      <c r="AB3365" s="33"/>
    </row>
    <row r="3366" spans="1:28" x14ac:dyDescent="0.15">
      <c r="A3366" s="46" t="s">
        <v>6783</v>
      </c>
      <c r="B3366" s="52" t="s">
        <v>7361</v>
      </c>
      <c r="C3366" s="53" t="s">
        <v>6784</v>
      </c>
      <c r="D3366" s="54" t="s">
        <v>10803</v>
      </c>
      <c r="E3366" s="50">
        <f t="shared" si="114"/>
        <v>46.054794520000002</v>
      </c>
      <c r="F3366" s="51">
        <f t="shared" si="114"/>
        <v>4.6348987700000004</v>
      </c>
      <c r="H3366" s="33"/>
      <c r="I3366" s="33"/>
      <c r="J3366" s="33"/>
      <c r="K3366" s="33"/>
      <c r="L3366" s="33"/>
      <c r="M3366" s="33"/>
      <c r="N3366" s="33"/>
      <c r="O3366" s="33"/>
      <c r="P3366" s="33"/>
      <c r="Q3366" s="33"/>
      <c r="R3366" s="33"/>
      <c r="S3366" s="33"/>
      <c r="T3366" s="33"/>
      <c r="U3366" s="33"/>
      <c r="V3366" s="33"/>
      <c r="W3366" s="33"/>
      <c r="X3366" s="33"/>
      <c r="Y3366" s="33"/>
      <c r="Z3366" s="33"/>
      <c r="AA3366" s="33"/>
      <c r="AB3366" s="33"/>
    </row>
    <row r="3367" spans="1:28" x14ac:dyDescent="0.15">
      <c r="A3367" s="46" t="s">
        <v>6785</v>
      </c>
      <c r="B3367" s="52" t="s">
        <v>7361</v>
      </c>
      <c r="C3367" s="53" t="s">
        <v>6786</v>
      </c>
      <c r="D3367" s="54" t="s">
        <v>10804</v>
      </c>
      <c r="E3367" s="50">
        <f t="shared" si="114"/>
        <v>46.068493150000002</v>
      </c>
      <c r="F3367" s="51">
        <f t="shared" si="114"/>
        <v>4.6348692800000002</v>
      </c>
      <c r="H3367" s="33"/>
      <c r="I3367" s="33"/>
      <c r="J3367" s="33"/>
      <c r="K3367" s="33"/>
      <c r="L3367" s="33"/>
      <c r="M3367" s="33"/>
      <c r="N3367" s="33"/>
      <c r="O3367" s="33"/>
      <c r="P3367" s="33"/>
      <c r="Q3367" s="33"/>
      <c r="R3367" s="33"/>
      <c r="S3367" s="33"/>
      <c r="T3367" s="33"/>
      <c r="U3367" s="33"/>
      <c r="V3367" s="33"/>
      <c r="W3367" s="33"/>
      <c r="X3367" s="33"/>
      <c r="Y3367" s="33"/>
      <c r="Z3367" s="33"/>
      <c r="AA3367" s="33"/>
      <c r="AB3367" s="33"/>
    </row>
    <row r="3368" spans="1:28" x14ac:dyDescent="0.15">
      <c r="A3368" s="46" t="s">
        <v>6787</v>
      </c>
      <c r="B3368" s="52" t="s">
        <v>7361</v>
      </c>
      <c r="C3368" s="53" t="s">
        <v>6788</v>
      </c>
      <c r="D3368" s="54" t="s">
        <v>10805</v>
      </c>
      <c r="E3368" s="50">
        <f t="shared" si="114"/>
        <v>46.082191780000002</v>
      </c>
      <c r="F3368" s="51">
        <f t="shared" si="114"/>
        <v>4.6348397099999996</v>
      </c>
      <c r="H3368" s="33"/>
      <c r="I3368" s="33"/>
      <c r="J3368" s="33"/>
      <c r="K3368" s="33"/>
      <c r="L3368" s="33"/>
      <c r="M3368" s="33"/>
      <c r="N3368" s="33"/>
      <c r="O3368" s="33"/>
      <c r="P3368" s="33"/>
      <c r="Q3368" s="33"/>
      <c r="R3368" s="33"/>
      <c r="S3368" s="33"/>
      <c r="T3368" s="33"/>
      <c r="U3368" s="33"/>
      <c r="V3368" s="33"/>
      <c r="W3368" s="33"/>
      <c r="X3368" s="33"/>
      <c r="Y3368" s="33"/>
      <c r="Z3368" s="33"/>
      <c r="AA3368" s="33"/>
      <c r="AB3368" s="33"/>
    </row>
    <row r="3369" spans="1:28" x14ac:dyDescent="0.15">
      <c r="A3369" s="46" t="s">
        <v>6789</v>
      </c>
      <c r="B3369" s="52" t="s">
        <v>7361</v>
      </c>
      <c r="C3369" s="53" t="s">
        <v>6790</v>
      </c>
      <c r="D3369" s="54" t="s">
        <v>10806</v>
      </c>
      <c r="E3369" s="50">
        <f t="shared" si="114"/>
        <v>46.095890410000003</v>
      </c>
      <c r="F3369" s="51">
        <f t="shared" si="114"/>
        <v>4.6348100800000003</v>
      </c>
      <c r="H3369" s="33"/>
      <c r="I3369" s="33"/>
      <c r="J3369" s="33"/>
      <c r="K3369" s="33"/>
      <c r="L3369" s="33"/>
      <c r="M3369" s="33"/>
      <c r="N3369" s="33"/>
      <c r="O3369" s="33"/>
      <c r="P3369" s="33"/>
      <c r="Q3369" s="33"/>
      <c r="R3369" s="33"/>
      <c r="S3369" s="33"/>
      <c r="T3369" s="33"/>
      <c r="U3369" s="33"/>
      <c r="V3369" s="33"/>
      <c r="W3369" s="33"/>
      <c r="X3369" s="33"/>
      <c r="Y3369" s="33"/>
      <c r="Z3369" s="33"/>
      <c r="AA3369" s="33"/>
      <c r="AB3369" s="33"/>
    </row>
    <row r="3370" spans="1:28" x14ac:dyDescent="0.15">
      <c r="A3370" s="46" t="s">
        <v>6791</v>
      </c>
      <c r="B3370" s="52" t="s">
        <v>7361</v>
      </c>
      <c r="C3370" s="53" t="s">
        <v>6792</v>
      </c>
      <c r="D3370" s="54" t="s">
        <v>10807</v>
      </c>
      <c r="E3370" s="50">
        <f t="shared" si="114"/>
        <v>46.109589040000003</v>
      </c>
      <c r="F3370" s="51">
        <f t="shared" si="114"/>
        <v>4.6347803799999996</v>
      </c>
      <c r="H3370" s="33"/>
      <c r="I3370" s="33"/>
      <c r="J3370" s="33"/>
      <c r="K3370" s="33"/>
      <c r="L3370" s="33"/>
      <c r="M3370" s="33"/>
      <c r="N3370" s="33"/>
      <c r="O3370" s="33"/>
      <c r="P3370" s="33"/>
      <c r="Q3370" s="33"/>
      <c r="R3370" s="33"/>
      <c r="S3370" s="33"/>
      <c r="T3370" s="33"/>
      <c r="U3370" s="33"/>
      <c r="V3370" s="33"/>
      <c r="W3370" s="33"/>
      <c r="X3370" s="33"/>
      <c r="Y3370" s="33"/>
      <c r="Z3370" s="33"/>
      <c r="AA3370" s="33"/>
      <c r="AB3370" s="33"/>
    </row>
    <row r="3371" spans="1:28" x14ac:dyDescent="0.15">
      <c r="A3371" s="46" t="s">
        <v>6793</v>
      </c>
      <c r="B3371" s="52" t="s">
        <v>7361</v>
      </c>
      <c r="C3371" s="53" t="s">
        <v>6794</v>
      </c>
      <c r="D3371" s="54" t="s">
        <v>10808</v>
      </c>
      <c r="E3371" s="50">
        <f t="shared" si="114"/>
        <v>46.123287670000003</v>
      </c>
      <c r="F3371" s="51">
        <f t="shared" si="114"/>
        <v>4.6347506300000001</v>
      </c>
      <c r="H3371" s="33"/>
      <c r="I3371" s="33"/>
      <c r="J3371" s="33"/>
      <c r="K3371" s="33"/>
      <c r="L3371" s="33"/>
      <c r="M3371" s="33"/>
      <c r="N3371" s="33"/>
      <c r="O3371" s="33"/>
      <c r="P3371" s="33"/>
      <c r="Q3371" s="33"/>
      <c r="R3371" s="33"/>
      <c r="S3371" s="33"/>
      <c r="T3371" s="33"/>
      <c r="U3371" s="33"/>
      <c r="V3371" s="33"/>
      <c r="W3371" s="33"/>
      <c r="X3371" s="33"/>
      <c r="Y3371" s="33"/>
      <c r="Z3371" s="33"/>
      <c r="AA3371" s="33"/>
      <c r="AB3371" s="33"/>
    </row>
    <row r="3372" spans="1:28" x14ac:dyDescent="0.15">
      <c r="A3372" s="46" t="s">
        <v>6795</v>
      </c>
      <c r="B3372" s="52" t="s">
        <v>7361</v>
      </c>
      <c r="C3372" s="53" t="s">
        <v>6796</v>
      </c>
      <c r="D3372" s="54" t="s">
        <v>10809</v>
      </c>
      <c r="E3372" s="50">
        <f t="shared" ref="E3372:F3401" si="115">VALUE(C3372)</f>
        <v>46.136986299999997</v>
      </c>
      <c r="F3372" s="51">
        <f t="shared" si="115"/>
        <v>4.63472083</v>
      </c>
      <c r="H3372" s="33"/>
      <c r="I3372" s="33"/>
      <c r="J3372" s="33"/>
      <c r="K3372" s="33"/>
      <c r="L3372" s="33"/>
      <c r="M3372" s="33"/>
      <c r="N3372" s="33"/>
      <c r="O3372" s="33"/>
      <c r="P3372" s="33"/>
      <c r="Q3372" s="33"/>
      <c r="R3372" s="33"/>
      <c r="S3372" s="33"/>
      <c r="T3372" s="33"/>
      <c r="U3372" s="33"/>
      <c r="V3372" s="33"/>
      <c r="W3372" s="33"/>
      <c r="X3372" s="33"/>
      <c r="Y3372" s="33"/>
      <c r="Z3372" s="33"/>
      <c r="AA3372" s="33"/>
      <c r="AB3372" s="33"/>
    </row>
    <row r="3373" spans="1:28" x14ac:dyDescent="0.15">
      <c r="A3373" s="46" t="s">
        <v>6797</v>
      </c>
      <c r="B3373" s="52" t="s">
        <v>7361</v>
      </c>
      <c r="C3373" s="53" t="s">
        <v>6798</v>
      </c>
      <c r="D3373" s="54" t="s">
        <v>10810</v>
      </c>
      <c r="E3373" s="50">
        <f t="shared" si="115"/>
        <v>46.150684929999997</v>
      </c>
      <c r="F3373" s="51">
        <f t="shared" si="115"/>
        <v>4.6346909700000003</v>
      </c>
      <c r="H3373" s="33"/>
      <c r="I3373" s="33"/>
      <c r="J3373" s="33"/>
      <c r="K3373" s="33"/>
      <c r="L3373" s="33"/>
      <c r="M3373" s="33"/>
      <c r="N3373" s="33"/>
      <c r="O3373" s="33"/>
      <c r="P3373" s="33"/>
      <c r="Q3373" s="33"/>
      <c r="R3373" s="33"/>
      <c r="S3373" s="33"/>
      <c r="T3373" s="33"/>
      <c r="U3373" s="33"/>
      <c r="V3373" s="33"/>
      <c r="W3373" s="33"/>
      <c r="X3373" s="33"/>
      <c r="Y3373" s="33"/>
      <c r="Z3373" s="33"/>
      <c r="AA3373" s="33"/>
      <c r="AB3373" s="33"/>
    </row>
    <row r="3374" spans="1:28" x14ac:dyDescent="0.15">
      <c r="A3374" s="46" t="s">
        <v>6799</v>
      </c>
      <c r="B3374" s="52" t="s">
        <v>7361</v>
      </c>
      <c r="C3374" s="53" t="s">
        <v>6800</v>
      </c>
      <c r="D3374" s="54" t="s">
        <v>10811</v>
      </c>
      <c r="E3374" s="50">
        <f t="shared" si="115"/>
        <v>46.164383559999997</v>
      </c>
      <c r="F3374" s="51">
        <f t="shared" si="115"/>
        <v>4.6346610699999999</v>
      </c>
      <c r="H3374" s="33"/>
      <c r="I3374" s="33"/>
      <c r="J3374" s="33"/>
      <c r="K3374" s="33"/>
      <c r="L3374" s="33"/>
      <c r="M3374" s="33"/>
      <c r="N3374" s="33"/>
      <c r="O3374" s="33"/>
      <c r="P3374" s="33"/>
      <c r="Q3374" s="33"/>
      <c r="R3374" s="33"/>
      <c r="S3374" s="33"/>
      <c r="T3374" s="33"/>
      <c r="U3374" s="33"/>
      <c r="V3374" s="33"/>
      <c r="W3374" s="33"/>
      <c r="X3374" s="33"/>
      <c r="Y3374" s="33"/>
      <c r="Z3374" s="33"/>
      <c r="AA3374" s="33"/>
      <c r="AB3374" s="33"/>
    </row>
    <row r="3375" spans="1:28" x14ac:dyDescent="0.15">
      <c r="A3375" s="46" t="s">
        <v>6801</v>
      </c>
      <c r="B3375" s="52" t="s">
        <v>7361</v>
      </c>
      <c r="C3375" s="53" t="s">
        <v>6802</v>
      </c>
      <c r="D3375" s="54" t="s">
        <v>10812</v>
      </c>
      <c r="E3375" s="50">
        <f t="shared" si="115"/>
        <v>46.178082189999998</v>
      </c>
      <c r="F3375" s="51">
        <f t="shared" si="115"/>
        <v>4.6346311199999999</v>
      </c>
      <c r="H3375" s="33"/>
      <c r="I3375" s="33"/>
      <c r="J3375" s="33"/>
      <c r="K3375" s="33"/>
      <c r="L3375" s="33"/>
      <c r="M3375" s="33"/>
      <c r="N3375" s="33"/>
      <c r="O3375" s="33"/>
      <c r="P3375" s="33"/>
      <c r="Q3375" s="33"/>
      <c r="R3375" s="33"/>
      <c r="S3375" s="33"/>
      <c r="T3375" s="33"/>
      <c r="U3375" s="33"/>
      <c r="V3375" s="33"/>
      <c r="W3375" s="33"/>
      <c r="X3375" s="33"/>
      <c r="Y3375" s="33"/>
      <c r="Z3375" s="33"/>
      <c r="AA3375" s="33"/>
      <c r="AB3375" s="33"/>
    </row>
    <row r="3376" spans="1:28" x14ac:dyDescent="0.15">
      <c r="A3376" s="46" t="s">
        <v>6803</v>
      </c>
      <c r="B3376" s="52" t="s">
        <v>7361</v>
      </c>
      <c r="C3376" s="53" t="s">
        <v>6804</v>
      </c>
      <c r="D3376" s="54" t="s">
        <v>10813</v>
      </c>
      <c r="E3376" s="50">
        <f t="shared" si="115"/>
        <v>46.191780819999998</v>
      </c>
      <c r="F3376" s="51">
        <f t="shared" si="115"/>
        <v>4.63460114</v>
      </c>
      <c r="H3376" s="33"/>
      <c r="I3376" s="33"/>
      <c r="J3376" s="33"/>
      <c r="K3376" s="33"/>
      <c r="L3376" s="33"/>
      <c r="M3376" s="33"/>
      <c r="N3376" s="33"/>
      <c r="O3376" s="33"/>
      <c r="P3376" s="33"/>
      <c r="Q3376" s="33"/>
      <c r="R3376" s="33"/>
      <c r="S3376" s="33"/>
      <c r="T3376" s="33"/>
      <c r="U3376" s="33"/>
      <c r="V3376" s="33"/>
      <c r="W3376" s="33"/>
      <c r="X3376" s="33"/>
      <c r="Y3376" s="33"/>
      <c r="Z3376" s="33"/>
      <c r="AA3376" s="33"/>
      <c r="AB3376" s="33"/>
    </row>
    <row r="3377" spans="1:28" x14ac:dyDescent="0.15">
      <c r="A3377" s="46" t="s">
        <v>6805</v>
      </c>
      <c r="B3377" s="52" t="s">
        <v>7361</v>
      </c>
      <c r="C3377" s="53" t="s">
        <v>6806</v>
      </c>
      <c r="D3377" s="54" t="s">
        <v>10814</v>
      </c>
      <c r="E3377" s="50">
        <f t="shared" si="115"/>
        <v>46.205479449999999</v>
      </c>
      <c r="F3377" s="51">
        <f t="shared" si="115"/>
        <v>4.6345711200000004</v>
      </c>
      <c r="H3377" s="33"/>
      <c r="I3377" s="33"/>
      <c r="J3377" s="33"/>
      <c r="K3377" s="33"/>
      <c r="L3377" s="33"/>
      <c r="M3377" s="33"/>
      <c r="N3377" s="33"/>
      <c r="O3377" s="33"/>
      <c r="P3377" s="33"/>
      <c r="Q3377" s="33"/>
      <c r="R3377" s="33"/>
      <c r="S3377" s="33"/>
      <c r="T3377" s="33"/>
      <c r="U3377" s="33"/>
      <c r="V3377" s="33"/>
      <c r="W3377" s="33"/>
      <c r="X3377" s="33"/>
      <c r="Y3377" s="33"/>
      <c r="Z3377" s="33"/>
      <c r="AA3377" s="33"/>
      <c r="AB3377" s="33"/>
    </row>
    <row r="3378" spans="1:28" x14ac:dyDescent="0.15">
      <c r="A3378" s="46" t="s">
        <v>6807</v>
      </c>
      <c r="B3378" s="52" t="s">
        <v>7361</v>
      </c>
      <c r="C3378" s="53" t="s">
        <v>6808</v>
      </c>
      <c r="D3378" s="54" t="s">
        <v>10815</v>
      </c>
      <c r="E3378" s="50">
        <f t="shared" si="115"/>
        <v>46.219178079999999</v>
      </c>
      <c r="F3378" s="51">
        <f t="shared" si="115"/>
        <v>4.6345410600000001</v>
      </c>
      <c r="H3378" s="33"/>
      <c r="I3378" s="33"/>
      <c r="J3378" s="33"/>
      <c r="K3378" s="33"/>
      <c r="L3378" s="33"/>
      <c r="M3378" s="33"/>
      <c r="N3378" s="33"/>
      <c r="O3378" s="33"/>
      <c r="P3378" s="33"/>
      <c r="Q3378" s="33"/>
      <c r="R3378" s="33"/>
      <c r="S3378" s="33"/>
      <c r="T3378" s="33"/>
      <c r="U3378" s="33"/>
      <c r="V3378" s="33"/>
      <c r="W3378" s="33"/>
      <c r="X3378" s="33"/>
      <c r="Y3378" s="33"/>
      <c r="Z3378" s="33"/>
      <c r="AA3378" s="33"/>
      <c r="AB3378" s="33"/>
    </row>
    <row r="3379" spans="1:28" x14ac:dyDescent="0.15">
      <c r="A3379" s="46" t="s">
        <v>6809</v>
      </c>
      <c r="B3379" s="52" t="s">
        <v>7361</v>
      </c>
      <c r="C3379" s="53" t="s">
        <v>6810</v>
      </c>
      <c r="D3379" s="54" t="s">
        <v>10816</v>
      </c>
      <c r="E3379" s="50">
        <f t="shared" si="115"/>
        <v>46.232876709999999</v>
      </c>
      <c r="F3379" s="51">
        <f t="shared" si="115"/>
        <v>4.6345109799999999</v>
      </c>
      <c r="H3379" s="33"/>
      <c r="I3379" s="33"/>
      <c r="J3379" s="33"/>
      <c r="K3379" s="33"/>
      <c r="L3379" s="33"/>
      <c r="M3379" s="33"/>
      <c r="N3379" s="33"/>
      <c r="O3379" s="33"/>
      <c r="P3379" s="33"/>
      <c r="Q3379" s="33"/>
      <c r="R3379" s="33"/>
      <c r="S3379" s="33"/>
      <c r="T3379" s="33"/>
      <c r="U3379" s="33"/>
      <c r="V3379" s="33"/>
      <c r="W3379" s="33"/>
      <c r="X3379" s="33"/>
      <c r="Y3379" s="33"/>
      <c r="Z3379" s="33"/>
      <c r="AA3379" s="33"/>
      <c r="AB3379" s="33"/>
    </row>
    <row r="3380" spans="1:28" x14ac:dyDescent="0.15">
      <c r="A3380" s="46" t="s">
        <v>6811</v>
      </c>
      <c r="B3380" s="52" t="s">
        <v>7361</v>
      </c>
      <c r="C3380" s="53" t="s">
        <v>6812</v>
      </c>
      <c r="D3380" s="54" t="s">
        <v>10817</v>
      </c>
      <c r="E3380" s="50">
        <f t="shared" si="115"/>
        <v>46.24657534</v>
      </c>
      <c r="F3380" s="51">
        <f t="shared" si="115"/>
        <v>4.63448087</v>
      </c>
      <c r="H3380" s="33"/>
      <c r="I3380" s="33"/>
      <c r="J3380" s="33"/>
      <c r="K3380" s="33"/>
      <c r="L3380" s="33"/>
      <c r="M3380" s="33"/>
      <c r="N3380" s="33"/>
      <c r="O3380" s="33"/>
      <c r="P3380" s="33"/>
      <c r="Q3380" s="33"/>
      <c r="R3380" s="33"/>
      <c r="S3380" s="33"/>
      <c r="T3380" s="33"/>
      <c r="U3380" s="33"/>
      <c r="V3380" s="33"/>
      <c r="W3380" s="33"/>
      <c r="X3380" s="33"/>
      <c r="Y3380" s="33"/>
      <c r="Z3380" s="33"/>
      <c r="AA3380" s="33"/>
      <c r="AB3380" s="33"/>
    </row>
    <row r="3381" spans="1:28" x14ac:dyDescent="0.15">
      <c r="A3381" s="46" t="s">
        <v>6813</v>
      </c>
      <c r="B3381" s="52" t="s">
        <v>7361</v>
      </c>
      <c r="C3381" s="53" t="s">
        <v>6814</v>
      </c>
      <c r="D3381" s="54" t="s">
        <v>10818</v>
      </c>
      <c r="E3381" s="50">
        <f t="shared" si="115"/>
        <v>46.26027397</v>
      </c>
      <c r="F3381" s="51">
        <f t="shared" si="115"/>
        <v>4.6344507300000002</v>
      </c>
      <c r="H3381" s="33"/>
      <c r="I3381" s="33"/>
      <c r="J3381" s="33"/>
      <c r="K3381" s="33"/>
      <c r="L3381" s="33"/>
      <c r="M3381" s="33"/>
      <c r="N3381" s="33"/>
      <c r="O3381" s="33"/>
      <c r="P3381" s="33"/>
      <c r="Q3381" s="33"/>
      <c r="R3381" s="33"/>
      <c r="S3381" s="33"/>
      <c r="T3381" s="33"/>
      <c r="U3381" s="33"/>
      <c r="V3381" s="33"/>
      <c r="W3381" s="33"/>
      <c r="X3381" s="33"/>
      <c r="Y3381" s="33"/>
      <c r="Z3381" s="33"/>
      <c r="AA3381" s="33"/>
      <c r="AB3381" s="33"/>
    </row>
    <row r="3382" spans="1:28" x14ac:dyDescent="0.15">
      <c r="A3382" s="46" t="s">
        <v>6815</v>
      </c>
      <c r="B3382" s="52" t="s">
        <v>7361</v>
      </c>
      <c r="C3382" s="53" t="s">
        <v>6816</v>
      </c>
      <c r="D3382" s="54" t="s">
        <v>10819</v>
      </c>
      <c r="E3382" s="50">
        <f t="shared" si="115"/>
        <v>46.2739726</v>
      </c>
      <c r="F3382" s="51">
        <f t="shared" si="115"/>
        <v>4.6344205799999996</v>
      </c>
      <c r="H3382" s="33"/>
      <c r="I3382" s="33"/>
      <c r="J3382" s="33"/>
      <c r="K3382" s="33"/>
      <c r="L3382" s="33"/>
      <c r="M3382" s="33"/>
      <c r="N3382" s="33"/>
      <c r="O3382" s="33"/>
      <c r="P3382" s="33"/>
      <c r="Q3382" s="33"/>
      <c r="R3382" s="33"/>
      <c r="S3382" s="33"/>
      <c r="T3382" s="33"/>
      <c r="U3382" s="33"/>
      <c r="V3382" s="33"/>
      <c r="W3382" s="33"/>
      <c r="X3382" s="33"/>
      <c r="Y3382" s="33"/>
      <c r="Z3382" s="33"/>
      <c r="AA3382" s="33"/>
      <c r="AB3382" s="33"/>
    </row>
    <row r="3383" spans="1:28" x14ac:dyDescent="0.15">
      <c r="A3383" s="46" t="s">
        <v>6817</v>
      </c>
      <c r="B3383" s="52" t="s">
        <v>7361</v>
      </c>
      <c r="C3383" s="53" t="s">
        <v>6818</v>
      </c>
      <c r="D3383" s="54" t="s">
        <v>10820</v>
      </c>
      <c r="E3383" s="50">
        <f t="shared" si="115"/>
        <v>46.287671230000001</v>
      </c>
      <c r="F3383" s="51">
        <f t="shared" si="115"/>
        <v>4.6343904199999999</v>
      </c>
      <c r="H3383" s="33"/>
      <c r="I3383" s="33"/>
      <c r="J3383" s="33"/>
      <c r="K3383" s="33"/>
      <c r="L3383" s="33"/>
      <c r="M3383" s="33"/>
      <c r="N3383" s="33"/>
      <c r="O3383" s="33"/>
      <c r="P3383" s="33"/>
      <c r="Q3383" s="33"/>
      <c r="R3383" s="33"/>
      <c r="S3383" s="33"/>
      <c r="T3383" s="33"/>
      <c r="U3383" s="33"/>
      <c r="V3383" s="33"/>
      <c r="W3383" s="33"/>
      <c r="X3383" s="33"/>
      <c r="Y3383" s="33"/>
      <c r="Z3383" s="33"/>
      <c r="AA3383" s="33"/>
      <c r="AB3383" s="33"/>
    </row>
    <row r="3384" spans="1:28" x14ac:dyDescent="0.15">
      <c r="A3384" s="46" t="s">
        <v>6819</v>
      </c>
      <c r="B3384" s="52" t="s">
        <v>7361</v>
      </c>
      <c r="C3384" s="53" t="s">
        <v>6820</v>
      </c>
      <c r="D3384" s="54" t="s">
        <v>10821</v>
      </c>
      <c r="E3384" s="50">
        <f t="shared" si="115"/>
        <v>46.301369860000001</v>
      </c>
      <c r="F3384" s="51">
        <f t="shared" si="115"/>
        <v>4.6343602400000004</v>
      </c>
      <c r="H3384" s="33"/>
      <c r="I3384" s="33"/>
      <c r="J3384" s="33"/>
      <c r="K3384" s="33"/>
      <c r="L3384" s="33"/>
      <c r="M3384" s="33"/>
      <c r="N3384" s="33"/>
      <c r="O3384" s="33"/>
      <c r="P3384" s="33"/>
      <c r="Q3384" s="33"/>
      <c r="R3384" s="33"/>
      <c r="S3384" s="33"/>
      <c r="T3384" s="33"/>
      <c r="U3384" s="33"/>
      <c r="V3384" s="33"/>
      <c r="W3384" s="33"/>
      <c r="X3384" s="33"/>
      <c r="Y3384" s="33"/>
      <c r="Z3384" s="33"/>
      <c r="AA3384" s="33"/>
      <c r="AB3384" s="33"/>
    </row>
    <row r="3385" spans="1:28" x14ac:dyDescent="0.15">
      <c r="A3385" s="46" t="s">
        <v>6821</v>
      </c>
      <c r="B3385" s="52" t="s">
        <v>7361</v>
      </c>
      <c r="C3385" s="53" t="s">
        <v>6822</v>
      </c>
      <c r="D3385" s="54" t="s">
        <v>10822</v>
      </c>
      <c r="E3385" s="50">
        <f t="shared" si="115"/>
        <v>46.315068490000002</v>
      </c>
      <c r="F3385" s="51">
        <f t="shared" si="115"/>
        <v>4.63433005</v>
      </c>
      <c r="H3385" s="33"/>
      <c r="I3385" s="33"/>
      <c r="J3385" s="33"/>
      <c r="K3385" s="33"/>
      <c r="L3385" s="33"/>
      <c r="M3385" s="33"/>
      <c r="N3385" s="33"/>
      <c r="O3385" s="33"/>
      <c r="P3385" s="33"/>
      <c r="Q3385" s="33"/>
      <c r="R3385" s="33"/>
      <c r="S3385" s="33"/>
      <c r="T3385" s="33"/>
      <c r="U3385" s="33"/>
      <c r="V3385" s="33"/>
      <c r="W3385" s="33"/>
      <c r="X3385" s="33"/>
      <c r="Y3385" s="33"/>
      <c r="Z3385" s="33"/>
      <c r="AA3385" s="33"/>
      <c r="AB3385" s="33"/>
    </row>
    <row r="3386" spans="1:28" x14ac:dyDescent="0.15">
      <c r="A3386" s="46" t="s">
        <v>6823</v>
      </c>
      <c r="B3386" s="52" t="s">
        <v>7361</v>
      </c>
      <c r="C3386" s="53" t="s">
        <v>6824</v>
      </c>
      <c r="D3386" s="54" t="s">
        <v>10823</v>
      </c>
      <c r="E3386" s="50">
        <f t="shared" si="115"/>
        <v>46.328767120000002</v>
      </c>
      <c r="F3386" s="51">
        <f t="shared" si="115"/>
        <v>4.6342998599999996</v>
      </c>
      <c r="H3386" s="33"/>
      <c r="I3386" s="33"/>
      <c r="J3386" s="33"/>
      <c r="K3386" s="33"/>
      <c r="L3386" s="33"/>
      <c r="M3386" s="33"/>
      <c r="N3386" s="33"/>
      <c r="O3386" s="33"/>
      <c r="P3386" s="33"/>
      <c r="Q3386" s="33"/>
      <c r="R3386" s="33"/>
      <c r="S3386" s="33"/>
      <c r="T3386" s="33"/>
      <c r="U3386" s="33"/>
      <c r="V3386" s="33"/>
      <c r="W3386" s="33"/>
      <c r="X3386" s="33"/>
      <c r="Y3386" s="33"/>
      <c r="Z3386" s="33"/>
      <c r="AA3386" s="33"/>
      <c r="AB3386" s="33"/>
    </row>
    <row r="3387" spans="1:28" x14ac:dyDescent="0.15">
      <c r="A3387" s="46" t="s">
        <v>6825</v>
      </c>
      <c r="B3387" s="52" t="s">
        <v>7361</v>
      </c>
      <c r="C3387" s="53" t="s">
        <v>6826</v>
      </c>
      <c r="D3387" s="54" t="s">
        <v>10824</v>
      </c>
      <c r="E3387" s="50">
        <f t="shared" si="115"/>
        <v>46.342465750000002</v>
      </c>
      <c r="F3387" s="51">
        <f t="shared" si="115"/>
        <v>4.6342696700000001</v>
      </c>
      <c r="H3387" s="33"/>
      <c r="I3387" s="33"/>
      <c r="J3387" s="33"/>
      <c r="K3387" s="33"/>
      <c r="L3387" s="33"/>
      <c r="M3387" s="33"/>
      <c r="N3387" s="33"/>
      <c r="O3387" s="33"/>
      <c r="P3387" s="33"/>
      <c r="Q3387" s="33"/>
      <c r="R3387" s="33"/>
      <c r="S3387" s="33"/>
      <c r="T3387" s="33"/>
      <c r="U3387" s="33"/>
      <c r="V3387" s="33"/>
      <c r="W3387" s="33"/>
      <c r="X3387" s="33"/>
      <c r="Y3387" s="33"/>
      <c r="Z3387" s="33"/>
      <c r="AA3387" s="33"/>
      <c r="AB3387" s="33"/>
    </row>
    <row r="3388" spans="1:28" x14ac:dyDescent="0.15">
      <c r="A3388" s="46" t="s">
        <v>6827</v>
      </c>
      <c r="B3388" s="52" t="s">
        <v>7361</v>
      </c>
      <c r="C3388" s="53" t="s">
        <v>6828</v>
      </c>
      <c r="D3388" s="54" t="s">
        <v>10825</v>
      </c>
      <c r="E3388" s="50">
        <f t="shared" si="115"/>
        <v>46.356164380000003</v>
      </c>
      <c r="F3388" s="51">
        <f t="shared" si="115"/>
        <v>4.6342394799999997</v>
      </c>
      <c r="H3388" s="33"/>
      <c r="I3388" s="33"/>
      <c r="J3388" s="33"/>
      <c r="K3388" s="33"/>
      <c r="L3388" s="33"/>
      <c r="M3388" s="33"/>
      <c r="N3388" s="33"/>
      <c r="O3388" s="33"/>
      <c r="P3388" s="33"/>
      <c r="Q3388" s="33"/>
      <c r="R3388" s="33"/>
      <c r="S3388" s="33"/>
      <c r="T3388" s="33"/>
      <c r="U3388" s="33"/>
      <c r="V3388" s="33"/>
      <c r="W3388" s="33"/>
      <c r="X3388" s="33"/>
      <c r="Y3388" s="33"/>
      <c r="Z3388" s="33"/>
      <c r="AA3388" s="33"/>
      <c r="AB3388" s="33"/>
    </row>
    <row r="3389" spans="1:28" x14ac:dyDescent="0.15">
      <c r="A3389" s="46" t="s">
        <v>6829</v>
      </c>
      <c r="B3389" s="52" t="s">
        <v>7361</v>
      </c>
      <c r="C3389" s="53" t="s">
        <v>6830</v>
      </c>
      <c r="D3389" s="54" t="s">
        <v>10826</v>
      </c>
      <c r="E3389" s="50">
        <f t="shared" si="115"/>
        <v>46.369863010000003</v>
      </c>
      <c r="F3389" s="51">
        <f t="shared" si="115"/>
        <v>4.6342092900000003</v>
      </c>
      <c r="H3389" s="33"/>
      <c r="I3389" s="33"/>
      <c r="J3389" s="33"/>
      <c r="K3389" s="33"/>
      <c r="L3389" s="33"/>
      <c r="M3389" s="33"/>
      <c r="N3389" s="33"/>
      <c r="O3389" s="33"/>
      <c r="P3389" s="33"/>
      <c r="Q3389" s="33"/>
      <c r="R3389" s="33"/>
      <c r="S3389" s="33"/>
      <c r="T3389" s="33"/>
      <c r="U3389" s="33"/>
      <c r="V3389" s="33"/>
      <c r="W3389" s="33"/>
      <c r="X3389" s="33"/>
      <c r="Y3389" s="33"/>
      <c r="Z3389" s="33"/>
      <c r="AA3389" s="33"/>
      <c r="AB3389" s="33"/>
    </row>
    <row r="3390" spans="1:28" x14ac:dyDescent="0.15">
      <c r="A3390" s="46" t="s">
        <v>6831</v>
      </c>
      <c r="B3390" s="52" t="s">
        <v>7361</v>
      </c>
      <c r="C3390" s="53" t="s">
        <v>6832</v>
      </c>
      <c r="D3390" s="54" t="s">
        <v>10827</v>
      </c>
      <c r="E3390" s="50">
        <f t="shared" si="115"/>
        <v>46.383561640000003</v>
      </c>
      <c r="F3390" s="51">
        <f t="shared" si="115"/>
        <v>4.6341791199999998</v>
      </c>
      <c r="H3390" s="33"/>
      <c r="I3390" s="33"/>
      <c r="J3390" s="33"/>
      <c r="K3390" s="33"/>
      <c r="L3390" s="33"/>
      <c r="M3390" s="33"/>
      <c r="N3390" s="33"/>
      <c r="O3390" s="33"/>
      <c r="P3390" s="33"/>
      <c r="Q3390" s="33"/>
      <c r="R3390" s="33"/>
      <c r="S3390" s="33"/>
      <c r="T3390" s="33"/>
      <c r="U3390" s="33"/>
      <c r="V3390" s="33"/>
      <c r="W3390" s="33"/>
      <c r="X3390" s="33"/>
      <c r="Y3390" s="33"/>
      <c r="Z3390" s="33"/>
      <c r="AA3390" s="33"/>
      <c r="AB3390" s="33"/>
    </row>
    <row r="3391" spans="1:28" x14ac:dyDescent="0.15">
      <c r="A3391" s="46" t="s">
        <v>6833</v>
      </c>
      <c r="B3391" s="52" t="s">
        <v>7361</v>
      </c>
      <c r="C3391" s="53" t="s">
        <v>6834</v>
      </c>
      <c r="D3391" s="54" t="s">
        <v>10828</v>
      </c>
      <c r="E3391" s="50">
        <f t="shared" si="115"/>
        <v>46.397260269999997</v>
      </c>
      <c r="F3391" s="51">
        <f t="shared" si="115"/>
        <v>4.6341489600000001</v>
      </c>
      <c r="H3391" s="33"/>
      <c r="I3391" s="33"/>
      <c r="J3391" s="33"/>
      <c r="K3391" s="33"/>
      <c r="L3391" s="33"/>
      <c r="M3391" s="33"/>
      <c r="N3391" s="33"/>
      <c r="O3391" s="33"/>
      <c r="P3391" s="33"/>
      <c r="Q3391" s="33"/>
      <c r="R3391" s="33"/>
      <c r="S3391" s="33"/>
      <c r="T3391" s="33"/>
      <c r="U3391" s="33"/>
      <c r="V3391" s="33"/>
      <c r="W3391" s="33"/>
      <c r="X3391" s="33"/>
      <c r="Y3391" s="33"/>
      <c r="Z3391" s="33"/>
      <c r="AA3391" s="33"/>
      <c r="AB3391" s="33"/>
    </row>
    <row r="3392" spans="1:28" x14ac:dyDescent="0.15">
      <c r="A3392" s="46" t="s">
        <v>6835</v>
      </c>
      <c r="B3392" s="52" t="s">
        <v>7361</v>
      </c>
      <c r="C3392" s="53" t="s">
        <v>6836</v>
      </c>
      <c r="D3392" s="54" t="s">
        <v>10829</v>
      </c>
      <c r="E3392" s="50">
        <f t="shared" si="115"/>
        <v>46.410958899999997</v>
      </c>
      <c r="F3392" s="51">
        <f t="shared" si="115"/>
        <v>4.6341188100000004</v>
      </c>
      <c r="H3392" s="33"/>
      <c r="I3392" s="33"/>
      <c r="J3392" s="33"/>
      <c r="K3392" s="33"/>
      <c r="L3392" s="33"/>
      <c r="M3392" s="33"/>
      <c r="N3392" s="33"/>
      <c r="O3392" s="33"/>
      <c r="P3392" s="33"/>
      <c r="Q3392" s="33"/>
      <c r="R3392" s="33"/>
      <c r="S3392" s="33"/>
      <c r="T3392" s="33"/>
      <c r="U3392" s="33"/>
      <c r="V3392" s="33"/>
      <c r="W3392" s="33"/>
      <c r="X3392" s="33"/>
      <c r="Y3392" s="33"/>
      <c r="Z3392" s="33"/>
      <c r="AA3392" s="33"/>
      <c r="AB3392" s="33"/>
    </row>
    <row r="3393" spans="1:28" x14ac:dyDescent="0.15">
      <c r="A3393" s="46" t="s">
        <v>6837</v>
      </c>
      <c r="B3393" s="52" t="s">
        <v>7361</v>
      </c>
      <c r="C3393" s="53" t="s">
        <v>6838</v>
      </c>
      <c r="D3393" s="54" t="s">
        <v>10830</v>
      </c>
      <c r="E3393" s="50">
        <f t="shared" si="115"/>
        <v>46.424657529999998</v>
      </c>
      <c r="F3393" s="51">
        <f t="shared" si="115"/>
        <v>4.6340886899999996</v>
      </c>
      <c r="H3393" s="33"/>
      <c r="I3393" s="33"/>
      <c r="J3393" s="33"/>
      <c r="K3393" s="33"/>
      <c r="L3393" s="33"/>
      <c r="M3393" s="33"/>
      <c r="N3393" s="33"/>
      <c r="O3393" s="33"/>
      <c r="P3393" s="33"/>
      <c r="Q3393" s="33"/>
      <c r="R3393" s="33"/>
      <c r="S3393" s="33"/>
      <c r="T3393" s="33"/>
      <c r="U3393" s="33"/>
      <c r="V3393" s="33"/>
      <c r="W3393" s="33"/>
      <c r="X3393" s="33"/>
      <c r="Y3393" s="33"/>
      <c r="Z3393" s="33"/>
      <c r="AA3393" s="33"/>
      <c r="AB3393" s="33"/>
    </row>
    <row r="3394" spans="1:28" x14ac:dyDescent="0.15">
      <c r="A3394" s="46" t="s">
        <v>6839</v>
      </c>
      <c r="B3394" s="52" t="s">
        <v>7361</v>
      </c>
      <c r="C3394" s="53" t="s">
        <v>6840</v>
      </c>
      <c r="D3394" s="54" t="s">
        <v>10831</v>
      </c>
      <c r="E3394" s="50">
        <f t="shared" si="115"/>
        <v>46.438356159999998</v>
      </c>
      <c r="F3394" s="51">
        <f t="shared" si="115"/>
        <v>4.6340585799999996</v>
      </c>
      <c r="H3394" s="33"/>
      <c r="I3394" s="33"/>
      <c r="J3394" s="33"/>
      <c r="K3394" s="33"/>
      <c r="L3394" s="33"/>
      <c r="M3394" s="33"/>
      <c r="N3394" s="33"/>
      <c r="O3394" s="33"/>
      <c r="P3394" s="33"/>
      <c r="Q3394" s="33"/>
      <c r="R3394" s="33"/>
      <c r="S3394" s="33"/>
      <c r="T3394" s="33"/>
      <c r="U3394" s="33"/>
      <c r="V3394" s="33"/>
      <c r="W3394" s="33"/>
      <c r="X3394" s="33"/>
      <c r="Y3394" s="33"/>
      <c r="Z3394" s="33"/>
      <c r="AA3394" s="33"/>
      <c r="AB3394" s="33"/>
    </row>
    <row r="3395" spans="1:28" x14ac:dyDescent="0.15">
      <c r="A3395" s="46" t="s">
        <v>6841</v>
      </c>
      <c r="B3395" s="52" t="s">
        <v>7361</v>
      </c>
      <c r="C3395" s="53" t="s">
        <v>6842</v>
      </c>
      <c r="D3395" s="54" t="s">
        <v>10832</v>
      </c>
      <c r="E3395" s="50">
        <f t="shared" si="115"/>
        <v>46.452054789999998</v>
      </c>
      <c r="F3395" s="51">
        <f t="shared" si="115"/>
        <v>4.6340285100000003</v>
      </c>
      <c r="H3395" s="33"/>
      <c r="I3395" s="33"/>
      <c r="J3395" s="33"/>
      <c r="K3395" s="33"/>
      <c r="L3395" s="33"/>
      <c r="M3395" s="33"/>
      <c r="N3395" s="33"/>
      <c r="O3395" s="33"/>
      <c r="P3395" s="33"/>
      <c r="Q3395" s="33"/>
      <c r="R3395" s="33"/>
      <c r="S3395" s="33"/>
      <c r="T3395" s="33"/>
      <c r="U3395" s="33"/>
      <c r="V3395" s="33"/>
      <c r="W3395" s="33"/>
      <c r="X3395" s="33"/>
      <c r="Y3395" s="33"/>
      <c r="Z3395" s="33"/>
      <c r="AA3395" s="33"/>
      <c r="AB3395" s="33"/>
    </row>
    <row r="3396" spans="1:28" x14ac:dyDescent="0.15">
      <c r="A3396" s="46" t="s">
        <v>6843</v>
      </c>
      <c r="B3396" s="52" t="s">
        <v>7361</v>
      </c>
      <c r="C3396" s="53" t="s">
        <v>6844</v>
      </c>
      <c r="D3396" s="54" t="s">
        <v>10833</v>
      </c>
      <c r="E3396" s="50">
        <f t="shared" si="115"/>
        <v>46.465753419999999</v>
      </c>
      <c r="F3396" s="51">
        <f t="shared" si="115"/>
        <v>4.6339984599999999</v>
      </c>
      <c r="H3396" s="33"/>
      <c r="I3396" s="33"/>
      <c r="J3396" s="33"/>
      <c r="K3396" s="33"/>
      <c r="L3396" s="33"/>
      <c r="M3396" s="33"/>
      <c r="N3396" s="33"/>
      <c r="O3396" s="33"/>
      <c r="P3396" s="33"/>
      <c r="Q3396" s="33"/>
      <c r="R3396" s="33"/>
      <c r="S3396" s="33"/>
      <c r="T3396" s="33"/>
      <c r="U3396" s="33"/>
      <c r="V3396" s="33"/>
      <c r="W3396" s="33"/>
      <c r="X3396" s="33"/>
      <c r="Y3396" s="33"/>
      <c r="Z3396" s="33"/>
      <c r="AA3396" s="33"/>
      <c r="AB3396" s="33"/>
    </row>
    <row r="3397" spans="1:28" x14ac:dyDescent="0.15">
      <c r="A3397" s="46" t="s">
        <v>6845</v>
      </c>
      <c r="B3397" s="52" t="s">
        <v>7361</v>
      </c>
      <c r="C3397" s="53" t="s">
        <v>6846</v>
      </c>
      <c r="D3397" s="54" t="s">
        <v>10834</v>
      </c>
      <c r="E3397" s="50">
        <f t="shared" si="115"/>
        <v>46.479452049999999</v>
      </c>
      <c r="F3397" s="51">
        <f t="shared" si="115"/>
        <v>4.6339684500000002</v>
      </c>
      <c r="H3397" s="33"/>
      <c r="I3397" s="33"/>
      <c r="J3397" s="33"/>
      <c r="K3397" s="33"/>
      <c r="L3397" s="33"/>
      <c r="M3397" s="33"/>
      <c r="N3397" s="33"/>
      <c r="O3397" s="33"/>
      <c r="P3397" s="33"/>
      <c r="Q3397" s="33"/>
      <c r="R3397" s="33"/>
      <c r="S3397" s="33"/>
      <c r="T3397" s="33"/>
      <c r="U3397" s="33"/>
      <c r="V3397" s="33"/>
      <c r="W3397" s="33"/>
      <c r="X3397" s="33"/>
      <c r="Y3397" s="33"/>
      <c r="Z3397" s="33"/>
      <c r="AA3397" s="33"/>
      <c r="AB3397" s="33"/>
    </row>
    <row r="3398" spans="1:28" x14ac:dyDescent="0.15">
      <c r="A3398" s="46" t="s">
        <v>6847</v>
      </c>
      <c r="B3398" s="52" t="s">
        <v>7361</v>
      </c>
      <c r="C3398" s="53" t="s">
        <v>6848</v>
      </c>
      <c r="D3398" s="54" t="s">
        <v>10835</v>
      </c>
      <c r="E3398" s="50">
        <f t="shared" si="115"/>
        <v>46.493150679999999</v>
      </c>
      <c r="F3398" s="51">
        <f t="shared" si="115"/>
        <v>4.6339384800000003</v>
      </c>
      <c r="H3398" s="33"/>
      <c r="I3398" s="33"/>
      <c r="J3398" s="33"/>
      <c r="K3398" s="33"/>
      <c r="L3398" s="33"/>
      <c r="M3398" s="33"/>
      <c r="N3398" s="33"/>
      <c r="O3398" s="33"/>
      <c r="P3398" s="33"/>
      <c r="Q3398" s="33"/>
      <c r="R3398" s="33"/>
      <c r="S3398" s="33"/>
      <c r="T3398" s="33"/>
      <c r="U3398" s="33"/>
      <c r="V3398" s="33"/>
      <c r="W3398" s="33"/>
      <c r="X3398" s="33"/>
      <c r="Y3398" s="33"/>
      <c r="Z3398" s="33"/>
      <c r="AA3398" s="33"/>
      <c r="AB3398" s="33"/>
    </row>
    <row r="3399" spans="1:28" x14ac:dyDescent="0.15">
      <c r="A3399" s="46" t="s">
        <v>6849</v>
      </c>
      <c r="B3399" s="52" t="s">
        <v>7361</v>
      </c>
      <c r="C3399" s="53" t="s">
        <v>6850</v>
      </c>
      <c r="D3399" s="54" t="s">
        <v>10836</v>
      </c>
      <c r="E3399" s="50">
        <f t="shared" si="115"/>
        <v>46.506849320000001</v>
      </c>
      <c r="F3399" s="51">
        <f t="shared" si="115"/>
        <v>4.6339085500000001</v>
      </c>
      <c r="H3399" s="33"/>
      <c r="I3399" s="33"/>
      <c r="J3399" s="33"/>
      <c r="K3399" s="33"/>
      <c r="L3399" s="33"/>
      <c r="M3399" s="33"/>
      <c r="N3399" s="33"/>
      <c r="O3399" s="33"/>
      <c r="P3399" s="33"/>
      <c r="Q3399" s="33"/>
      <c r="R3399" s="33"/>
      <c r="S3399" s="33"/>
      <c r="T3399" s="33"/>
      <c r="U3399" s="33"/>
      <c r="V3399" s="33"/>
      <c r="W3399" s="33"/>
      <c r="X3399" s="33"/>
      <c r="Y3399" s="33"/>
      <c r="Z3399" s="33"/>
      <c r="AA3399" s="33"/>
      <c r="AB3399" s="33"/>
    </row>
    <row r="3400" spans="1:28" x14ac:dyDescent="0.15">
      <c r="A3400" s="46" t="s">
        <v>6851</v>
      </c>
      <c r="B3400" s="52" t="s">
        <v>7361</v>
      </c>
      <c r="C3400" s="53" t="s">
        <v>6852</v>
      </c>
      <c r="D3400" s="54" t="s">
        <v>10837</v>
      </c>
      <c r="E3400" s="50">
        <f t="shared" si="115"/>
        <v>46.520547950000001</v>
      </c>
      <c r="F3400" s="51">
        <f t="shared" si="115"/>
        <v>4.6338786799999996</v>
      </c>
      <c r="H3400" s="33"/>
      <c r="I3400" s="33"/>
      <c r="J3400" s="33"/>
      <c r="K3400" s="33"/>
      <c r="L3400" s="33"/>
      <c r="M3400" s="33"/>
      <c r="N3400" s="33"/>
      <c r="O3400" s="33"/>
      <c r="P3400" s="33"/>
      <c r="Q3400" s="33"/>
      <c r="R3400" s="33"/>
      <c r="S3400" s="33"/>
      <c r="T3400" s="33"/>
      <c r="U3400" s="33"/>
      <c r="V3400" s="33"/>
      <c r="W3400" s="33"/>
      <c r="X3400" s="33"/>
      <c r="Y3400" s="33"/>
      <c r="Z3400" s="33"/>
      <c r="AA3400" s="33"/>
      <c r="AB3400" s="33"/>
    </row>
    <row r="3401" spans="1:28" x14ac:dyDescent="0.15">
      <c r="A3401" s="46" t="s">
        <v>6853</v>
      </c>
      <c r="B3401" s="52" t="s">
        <v>7361</v>
      </c>
      <c r="C3401" s="53" t="s">
        <v>6854</v>
      </c>
      <c r="D3401" s="54" t="s">
        <v>10838</v>
      </c>
      <c r="E3401" s="50">
        <f t="shared" si="115"/>
        <v>46.534246580000001</v>
      </c>
      <c r="F3401" s="51">
        <f t="shared" si="115"/>
        <v>4.6338488599999996</v>
      </c>
      <c r="H3401" s="33"/>
      <c r="I3401" s="33"/>
      <c r="J3401" s="33"/>
      <c r="K3401" s="33"/>
      <c r="L3401" s="33"/>
      <c r="M3401" s="33"/>
      <c r="N3401" s="33"/>
      <c r="O3401" s="33"/>
      <c r="P3401" s="33"/>
      <c r="Q3401" s="33"/>
      <c r="R3401" s="33"/>
      <c r="S3401" s="33"/>
      <c r="T3401" s="33"/>
      <c r="U3401" s="33"/>
      <c r="V3401" s="33"/>
      <c r="W3401" s="33"/>
      <c r="X3401" s="33"/>
      <c r="Y3401" s="33"/>
      <c r="Z3401" s="33"/>
      <c r="AA3401" s="33"/>
      <c r="AB3401" s="33"/>
    </row>
    <row r="3402" spans="1:28" x14ac:dyDescent="0.15">
      <c r="A3402" s="46" t="s">
        <v>6855</v>
      </c>
      <c r="B3402" s="52" t="s">
        <v>7361</v>
      </c>
      <c r="C3402" s="53" t="s">
        <v>6856</v>
      </c>
      <c r="D3402" s="54" t="s">
        <v>10839</v>
      </c>
      <c r="E3402" s="50">
        <f t="shared" ref="E3402:F3432" si="116">VALUE(C3402)</f>
        <v>46.547945210000002</v>
      </c>
      <c r="F3402" s="51">
        <f t="shared" si="116"/>
        <v>4.6338191000000002</v>
      </c>
      <c r="H3402" s="33"/>
      <c r="I3402" s="33"/>
      <c r="J3402" s="33"/>
      <c r="K3402" s="33"/>
      <c r="L3402" s="33"/>
      <c r="M3402" s="33"/>
      <c r="N3402" s="33"/>
      <c r="O3402" s="33"/>
      <c r="P3402" s="33"/>
      <c r="Q3402" s="33"/>
      <c r="R3402" s="33"/>
      <c r="S3402" s="33"/>
      <c r="T3402" s="33"/>
      <c r="U3402" s="33"/>
      <c r="V3402" s="33"/>
      <c r="W3402" s="33"/>
      <c r="X3402" s="33"/>
      <c r="Y3402" s="33"/>
      <c r="Z3402" s="33"/>
      <c r="AA3402" s="33"/>
      <c r="AB3402" s="33"/>
    </row>
    <row r="3403" spans="1:28" x14ac:dyDescent="0.15">
      <c r="A3403" s="46" t="s">
        <v>6857</v>
      </c>
      <c r="B3403" s="52" t="s">
        <v>7361</v>
      </c>
      <c r="C3403" s="53" t="s">
        <v>6858</v>
      </c>
      <c r="D3403" s="54" t="s">
        <v>10840</v>
      </c>
      <c r="E3403" s="50">
        <f t="shared" si="116"/>
        <v>46.561643840000002</v>
      </c>
      <c r="F3403" s="51">
        <f t="shared" si="116"/>
        <v>4.6337893899999996</v>
      </c>
      <c r="H3403" s="33"/>
      <c r="I3403" s="33"/>
      <c r="J3403" s="33"/>
      <c r="K3403" s="33"/>
      <c r="L3403" s="33"/>
      <c r="M3403" s="33"/>
      <c r="N3403" s="33"/>
      <c r="O3403" s="33"/>
      <c r="P3403" s="33"/>
      <c r="Q3403" s="33"/>
      <c r="R3403" s="33"/>
      <c r="S3403" s="33"/>
      <c r="T3403" s="33"/>
      <c r="U3403" s="33"/>
      <c r="V3403" s="33"/>
      <c r="W3403" s="33"/>
      <c r="X3403" s="33"/>
      <c r="Y3403" s="33"/>
      <c r="Z3403" s="33"/>
      <c r="AA3403" s="33"/>
      <c r="AB3403" s="33"/>
    </row>
    <row r="3404" spans="1:28" x14ac:dyDescent="0.15">
      <c r="A3404" s="46" t="s">
        <v>6859</v>
      </c>
      <c r="B3404" s="52" t="s">
        <v>7361</v>
      </c>
      <c r="C3404" s="53" t="s">
        <v>6860</v>
      </c>
      <c r="D3404" s="54" t="s">
        <v>10841</v>
      </c>
      <c r="E3404" s="50">
        <f t="shared" si="116"/>
        <v>46.575342470000002</v>
      </c>
      <c r="F3404" s="51">
        <f t="shared" si="116"/>
        <v>4.6337597300000004</v>
      </c>
      <c r="H3404" s="33"/>
      <c r="I3404" s="33"/>
      <c r="J3404" s="33"/>
      <c r="K3404" s="33"/>
      <c r="L3404" s="33"/>
      <c r="M3404" s="33"/>
      <c r="N3404" s="33"/>
      <c r="O3404" s="33"/>
      <c r="P3404" s="33"/>
      <c r="Q3404" s="33"/>
      <c r="R3404" s="33"/>
      <c r="S3404" s="33"/>
      <c r="T3404" s="33"/>
      <c r="U3404" s="33"/>
      <c r="V3404" s="33"/>
      <c r="W3404" s="33"/>
      <c r="X3404" s="33"/>
      <c r="Y3404" s="33"/>
      <c r="Z3404" s="33"/>
      <c r="AA3404" s="33"/>
      <c r="AB3404" s="33"/>
    </row>
    <row r="3405" spans="1:28" x14ac:dyDescent="0.15">
      <c r="A3405" s="46" t="s">
        <v>6861</v>
      </c>
      <c r="B3405" s="52" t="s">
        <v>7361</v>
      </c>
      <c r="C3405" s="53" t="s">
        <v>6862</v>
      </c>
      <c r="D3405" s="54" t="s">
        <v>10842</v>
      </c>
      <c r="E3405" s="50">
        <f t="shared" si="116"/>
        <v>46.589041100000003</v>
      </c>
      <c r="F3405" s="51">
        <f t="shared" si="116"/>
        <v>4.6337301200000001</v>
      </c>
      <c r="H3405" s="33"/>
      <c r="I3405" s="33"/>
      <c r="J3405" s="33"/>
      <c r="K3405" s="33"/>
      <c r="L3405" s="33"/>
      <c r="M3405" s="33"/>
      <c r="N3405" s="33"/>
      <c r="O3405" s="33"/>
      <c r="P3405" s="33"/>
      <c r="Q3405" s="33"/>
      <c r="R3405" s="33"/>
      <c r="S3405" s="33"/>
      <c r="T3405" s="33"/>
      <c r="U3405" s="33"/>
      <c r="V3405" s="33"/>
      <c r="W3405" s="33"/>
      <c r="X3405" s="33"/>
      <c r="Y3405" s="33"/>
      <c r="Z3405" s="33"/>
      <c r="AA3405" s="33"/>
      <c r="AB3405" s="33"/>
    </row>
    <row r="3406" spans="1:28" x14ac:dyDescent="0.15">
      <c r="A3406" s="46" t="s">
        <v>6863</v>
      </c>
      <c r="B3406" s="52" t="s">
        <v>7361</v>
      </c>
      <c r="C3406" s="53" t="s">
        <v>6864</v>
      </c>
      <c r="D3406" s="54" t="s">
        <v>10843</v>
      </c>
      <c r="E3406" s="50">
        <f t="shared" si="116"/>
        <v>46.602739730000003</v>
      </c>
      <c r="F3406" s="51">
        <f t="shared" si="116"/>
        <v>4.6337005500000004</v>
      </c>
      <c r="H3406" s="33"/>
      <c r="I3406" s="33"/>
      <c r="J3406" s="33"/>
      <c r="K3406" s="33"/>
      <c r="L3406" s="33"/>
      <c r="M3406" s="33"/>
      <c r="N3406" s="33"/>
      <c r="O3406" s="33"/>
      <c r="P3406" s="33"/>
      <c r="Q3406" s="33"/>
      <c r="R3406" s="33"/>
      <c r="S3406" s="33"/>
      <c r="T3406" s="33"/>
      <c r="U3406" s="33"/>
      <c r="V3406" s="33"/>
      <c r="W3406" s="33"/>
      <c r="X3406" s="33"/>
      <c r="Y3406" s="33"/>
      <c r="Z3406" s="33"/>
      <c r="AA3406" s="33"/>
      <c r="AB3406" s="33"/>
    </row>
    <row r="3407" spans="1:28" x14ac:dyDescent="0.15">
      <c r="A3407" s="46" t="s">
        <v>6865</v>
      </c>
      <c r="B3407" s="52" t="s">
        <v>7361</v>
      </c>
      <c r="C3407" s="53" t="s">
        <v>6866</v>
      </c>
      <c r="D3407" s="54" t="s">
        <v>10844</v>
      </c>
      <c r="E3407" s="50">
        <f t="shared" si="116"/>
        <v>46.616438359999997</v>
      </c>
      <c r="F3407" s="51">
        <f t="shared" si="116"/>
        <v>4.6336710200000004</v>
      </c>
      <c r="H3407" s="33"/>
      <c r="I3407" s="33"/>
      <c r="J3407" s="33"/>
      <c r="K3407" s="33"/>
      <c r="L3407" s="33"/>
      <c r="M3407" s="33"/>
      <c r="N3407" s="33"/>
      <c r="O3407" s="33"/>
      <c r="P3407" s="33"/>
      <c r="Q3407" s="33"/>
      <c r="R3407" s="33"/>
      <c r="S3407" s="33"/>
      <c r="T3407" s="33"/>
      <c r="U3407" s="33"/>
      <c r="V3407" s="33"/>
      <c r="W3407" s="33"/>
      <c r="X3407" s="33"/>
      <c r="Y3407" s="33"/>
      <c r="Z3407" s="33"/>
      <c r="AA3407" s="33"/>
      <c r="AB3407" s="33"/>
    </row>
    <row r="3408" spans="1:28" x14ac:dyDescent="0.15">
      <c r="A3408" s="46" t="s">
        <v>6867</v>
      </c>
      <c r="B3408" s="52" t="s">
        <v>7361</v>
      </c>
      <c r="C3408" s="53" t="s">
        <v>6868</v>
      </c>
      <c r="D3408" s="54" t="s">
        <v>10845</v>
      </c>
      <c r="E3408" s="50">
        <f t="shared" si="116"/>
        <v>46.630136989999997</v>
      </c>
      <c r="F3408" s="51">
        <f t="shared" si="116"/>
        <v>4.6336415400000002</v>
      </c>
      <c r="H3408" s="33"/>
      <c r="I3408" s="33"/>
      <c r="J3408" s="33"/>
      <c r="K3408" s="33"/>
      <c r="L3408" s="33"/>
      <c r="M3408" s="33"/>
      <c r="N3408" s="33"/>
      <c r="O3408" s="33"/>
      <c r="P3408" s="33"/>
      <c r="Q3408" s="33"/>
      <c r="R3408" s="33"/>
      <c r="S3408" s="33"/>
      <c r="T3408" s="33"/>
      <c r="U3408" s="33"/>
      <c r="V3408" s="33"/>
      <c r="W3408" s="33"/>
      <c r="X3408" s="33"/>
      <c r="Y3408" s="33"/>
      <c r="Z3408" s="33"/>
      <c r="AA3408" s="33"/>
      <c r="AB3408" s="33"/>
    </row>
    <row r="3409" spans="1:28" x14ac:dyDescent="0.15">
      <c r="A3409" s="46" t="s">
        <v>6869</v>
      </c>
      <c r="B3409" s="52" t="s">
        <v>7361</v>
      </c>
      <c r="C3409" s="53" t="s">
        <v>6870</v>
      </c>
      <c r="D3409" s="54" t="s">
        <v>10846</v>
      </c>
      <c r="E3409" s="50">
        <f t="shared" si="116"/>
        <v>46.643835619999997</v>
      </c>
      <c r="F3409" s="51">
        <f t="shared" si="116"/>
        <v>4.6336120899999997</v>
      </c>
      <c r="H3409" s="33"/>
      <c r="I3409" s="33"/>
      <c r="J3409" s="33"/>
      <c r="K3409" s="33"/>
      <c r="L3409" s="33"/>
      <c r="M3409" s="33"/>
      <c r="N3409" s="33"/>
      <c r="O3409" s="33"/>
      <c r="P3409" s="33"/>
      <c r="Q3409" s="33"/>
      <c r="R3409" s="33"/>
      <c r="S3409" s="33"/>
      <c r="T3409" s="33"/>
      <c r="U3409" s="33"/>
      <c r="V3409" s="33"/>
      <c r="W3409" s="33"/>
      <c r="X3409" s="33"/>
      <c r="Y3409" s="33"/>
      <c r="Z3409" s="33"/>
      <c r="AA3409" s="33"/>
      <c r="AB3409" s="33"/>
    </row>
    <row r="3410" spans="1:28" x14ac:dyDescent="0.15">
      <c r="A3410" s="46" t="s">
        <v>6871</v>
      </c>
      <c r="B3410" s="52" t="s">
        <v>7361</v>
      </c>
      <c r="C3410" s="53" t="s">
        <v>6872</v>
      </c>
      <c r="D3410" s="54" t="s">
        <v>10847</v>
      </c>
      <c r="E3410" s="50">
        <f t="shared" si="116"/>
        <v>46.657534249999998</v>
      </c>
      <c r="F3410" s="51">
        <f t="shared" si="116"/>
        <v>4.63358267</v>
      </c>
      <c r="H3410" s="33"/>
      <c r="I3410" s="33"/>
      <c r="J3410" s="33"/>
      <c r="K3410" s="33"/>
      <c r="L3410" s="33"/>
      <c r="M3410" s="33"/>
      <c r="N3410" s="33"/>
      <c r="O3410" s="33"/>
      <c r="P3410" s="33"/>
      <c r="Q3410" s="33"/>
      <c r="R3410" s="33"/>
      <c r="S3410" s="33"/>
      <c r="T3410" s="33"/>
      <c r="U3410" s="33"/>
      <c r="V3410" s="33"/>
      <c r="W3410" s="33"/>
      <c r="X3410" s="33"/>
      <c r="Y3410" s="33"/>
      <c r="Z3410" s="33"/>
      <c r="AA3410" s="33"/>
      <c r="AB3410" s="33"/>
    </row>
    <row r="3411" spans="1:28" x14ac:dyDescent="0.15">
      <c r="A3411" s="46" t="s">
        <v>6873</v>
      </c>
      <c r="B3411" s="52" t="s">
        <v>7361</v>
      </c>
      <c r="C3411" s="53" t="s">
        <v>6874</v>
      </c>
      <c r="D3411" s="54" t="s">
        <v>10848</v>
      </c>
      <c r="E3411" s="50">
        <f t="shared" si="116"/>
        <v>46.671232879999998</v>
      </c>
      <c r="F3411" s="51">
        <f t="shared" si="116"/>
        <v>4.63355329</v>
      </c>
      <c r="H3411" s="33"/>
      <c r="I3411" s="33"/>
      <c r="J3411" s="33"/>
      <c r="K3411" s="33"/>
      <c r="L3411" s="33"/>
      <c r="M3411" s="33"/>
      <c r="N3411" s="33"/>
      <c r="O3411" s="33"/>
      <c r="P3411" s="33"/>
      <c r="Q3411" s="33"/>
      <c r="R3411" s="33"/>
      <c r="S3411" s="33"/>
      <c r="T3411" s="33"/>
      <c r="U3411" s="33"/>
      <c r="V3411" s="33"/>
      <c r="W3411" s="33"/>
      <c r="X3411" s="33"/>
      <c r="Y3411" s="33"/>
      <c r="Z3411" s="33"/>
      <c r="AA3411" s="33"/>
      <c r="AB3411" s="33"/>
    </row>
    <row r="3412" spans="1:28" x14ac:dyDescent="0.15">
      <c r="A3412" s="46" t="s">
        <v>6875</v>
      </c>
      <c r="B3412" s="52" t="s">
        <v>7361</v>
      </c>
      <c r="C3412" s="53" t="s">
        <v>6876</v>
      </c>
      <c r="D3412" s="54" t="s">
        <v>10849</v>
      </c>
      <c r="E3412" s="50">
        <f t="shared" si="116"/>
        <v>46.684931509999998</v>
      </c>
      <c r="F3412" s="51">
        <f t="shared" si="116"/>
        <v>4.63352393</v>
      </c>
      <c r="H3412" s="33"/>
      <c r="I3412" s="33"/>
      <c r="J3412" s="33"/>
      <c r="K3412" s="33"/>
      <c r="L3412" s="33"/>
      <c r="M3412" s="33"/>
      <c r="N3412" s="33"/>
      <c r="O3412" s="33"/>
      <c r="P3412" s="33"/>
      <c r="Q3412" s="33"/>
      <c r="R3412" s="33"/>
      <c r="S3412" s="33"/>
      <c r="T3412" s="33"/>
      <c r="U3412" s="33"/>
      <c r="V3412" s="33"/>
      <c r="W3412" s="33"/>
      <c r="X3412" s="33"/>
      <c r="Y3412" s="33"/>
      <c r="Z3412" s="33"/>
      <c r="AA3412" s="33"/>
      <c r="AB3412" s="33"/>
    </row>
    <row r="3413" spans="1:28" x14ac:dyDescent="0.15">
      <c r="A3413" s="46" t="s">
        <v>6877</v>
      </c>
      <c r="B3413" s="52" t="s">
        <v>7361</v>
      </c>
      <c r="C3413" s="53" t="s">
        <v>6878</v>
      </c>
      <c r="D3413" s="54" t="s">
        <v>10850</v>
      </c>
      <c r="E3413" s="50">
        <f t="shared" si="116"/>
        <v>46.698630139999999</v>
      </c>
      <c r="F3413" s="51">
        <f t="shared" si="116"/>
        <v>4.6334946099999996</v>
      </c>
      <c r="H3413" s="33"/>
      <c r="I3413" s="33"/>
      <c r="J3413" s="33"/>
      <c r="K3413" s="33"/>
      <c r="L3413" s="33"/>
      <c r="M3413" s="33"/>
      <c r="N3413" s="33"/>
      <c r="O3413" s="33"/>
      <c r="P3413" s="33"/>
      <c r="Q3413" s="33"/>
      <c r="R3413" s="33"/>
      <c r="S3413" s="33"/>
      <c r="T3413" s="33"/>
      <c r="U3413" s="33"/>
      <c r="V3413" s="33"/>
      <c r="W3413" s="33"/>
      <c r="X3413" s="33"/>
      <c r="Y3413" s="33"/>
      <c r="Z3413" s="33"/>
      <c r="AA3413" s="33"/>
      <c r="AB3413" s="33"/>
    </row>
    <row r="3414" spans="1:28" x14ac:dyDescent="0.15">
      <c r="A3414" s="46" t="s">
        <v>6879</v>
      </c>
      <c r="B3414" s="52" t="s">
        <v>7361</v>
      </c>
      <c r="C3414" s="53" t="s">
        <v>6880</v>
      </c>
      <c r="D3414" s="54" t="s">
        <v>10851</v>
      </c>
      <c r="E3414" s="50">
        <f t="shared" si="116"/>
        <v>46.712328769999999</v>
      </c>
      <c r="F3414" s="51">
        <f t="shared" si="116"/>
        <v>4.6334653000000001</v>
      </c>
      <c r="H3414" s="33"/>
      <c r="I3414" s="33"/>
      <c r="J3414" s="33"/>
      <c r="K3414" s="33"/>
      <c r="L3414" s="33"/>
      <c r="M3414" s="33"/>
      <c r="N3414" s="33"/>
      <c r="O3414" s="33"/>
      <c r="P3414" s="33"/>
      <c r="Q3414" s="33"/>
      <c r="R3414" s="33"/>
      <c r="S3414" s="33"/>
      <c r="T3414" s="33"/>
      <c r="U3414" s="33"/>
      <c r="V3414" s="33"/>
      <c r="W3414" s="33"/>
      <c r="X3414" s="33"/>
      <c r="Y3414" s="33"/>
      <c r="Z3414" s="33"/>
      <c r="AA3414" s="33"/>
      <c r="AB3414" s="33"/>
    </row>
    <row r="3415" spans="1:28" x14ac:dyDescent="0.15">
      <c r="A3415" s="46" t="s">
        <v>6881</v>
      </c>
      <c r="B3415" s="52" t="s">
        <v>7361</v>
      </c>
      <c r="C3415" s="53" t="s">
        <v>6882</v>
      </c>
      <c r="D3415" s="54" t="s">
        <v>10852</v>
      </c>
      <c r="E3415" s="50">
        <f t="shared" si="116"/>
        <v>46.7260274</v>
      </c>
      <c r="F3415" s="51">
        <f t="shared" si="116"/>
        <v>4.6334360200000004</v>
      </c>
      <c r="H3415" s="33"/>
      <c r="I3415" s="33"/>
      <c r="J3415" s="33"/>
      <c r="K3415" s="33"/>
      <c r="L3415" s="33"/>
      <c r="M3415" s="33"/>
      <c r="N3415" s="33"/>
      <c r="O3415" s="33"/>
      <c r="P3415" s="33"/>
      <c r="Q3415" s="33"/>
      <c r="R3415" s="33"/>
      <c r="S3415" s="33"/>
      <c r="T3415" s="33"/>
      <c r="U3415" s="33"/>
      <c r="V3415" s="33"/>
      <c r="W3415" s="33"/>
      <c r="X3415" s="33"/>
      <c r="Y3415" s="33"/>
      <c r="Z3415" s="33"/>
      <c r="AA3415" s="33"/>
      <c r="AB3415" s="33"/>
    </row>
    <row r="3416" spans="1:28" x14ac:dyDescent="0.15">
      <c r="A3416" s="46" t="s">
        <v>6883</v>
      </c>
      <c r="B3416" s="52" t="s">
        <v>7361</v>
      </c>
      <c r="C3416" s="53" t="s">
        <v>6884</v>
      </c>
      <c r="D3416" s="54" t="s">
        <v>10853</v>
      </c>
      <c r="E3416" s="50">
        <f t="shared" si="116"/>
        <v>46.73972603</v>
      </c>
      <c r="F3416" s="51">
        <f t="shared" si="116"/>
        <v>4.6334067599999997</v>
      </c>
      <c r="H3416" s="33"/>
      <c r="I3416" s="33"/>
      <c r="J3416" s="33"/>
      <c r="K3416" s="33"/>
      <c r="L3416" s="33"/>
      <c r="M3416" s="33"/>
      <c r="N3416" s="33"/>
      <c r="O3416" s="33"/>
      <c r="P3416" s="33"/>
      <c r="Q3416" s="33"/>
      <c r="R3416" s="33"/>
      <c r="S3416" s="33"/>
      <c r="T3416" s="33"/>
      <c r="U3416" s="33"/>
      <c r="V3416" s="33"/>
      <c r="W3416" s="33"/>
      <c r="X3416" s="33"/>
      <c r="Y3416" s="33"/>
      <c r="Z3416" s="33"/>
      <c r="AA3416" s="33"/>
      <c r="AB3416" s="33"/>
    </row>
    <row r="3417" spans="1:28" x14ac:dyDescent="0.15">
      <c r="A3417" s="46" t="s">
        <v>6885</v>
      </c>
      <c r="B3417" s="52" t="s">
        <v>7361</v>
      </c>
      <c r="C3417" s="53" t="s">
        <v>6886</v>
      </c>
      <c r="D3417" s="54" t="s">
        <v>10854</v>
      </c>
      <c r="E3417" s="50">
        <f t="shared" si="116"/>
        <v>46.75342466</v>
      </c>
      <c r="F3417" s="51">
        <f t="shared" si="116"/>
        <v>4.6333775199999998</v>
      </c>
      <c r="H3417" s="33"/>
      <c r="I3417" s="33"/>
      <c r="J3417" s="33"/>
      <c r="K3417" s="33"/>
      <c r="L3417" s="33"/>
      <c r="M3417" s="33"/>
      <c r="N3417" s="33"/>
      <c r="O3417" s="33"/>
      <c r="P3417" s="33"/>
      <c r="Q3417" s="33"/>
      <c r="R3417" s="33"/>
      <c r="S3417" s="33"/>
      <c r="T3417" s="33"/>
      <c r="U3417" s="33"/>
      <c r="V3417" s="33"/>
      <c r="W3417" s="33"/>
      <c r="X3417" s="33"/>
      <c r="Y3417" s="33"/>
      <c r="Z3417" s="33"/>
      <c r="AA3417" s="33"/>
      <c r="AB3417" s="33"/>
    </row>
    <row r="3418" spans="1:28" x14ac:dyDescent="0.15">
      <c r="A3418" s="46" t="s">
        <v>6887</v>
      </c>
      <c r="B3418" s="52" t="s">
        <v>7361</v>
      </c>
      <c r="C3418" s="53" t="s">
        <v>6888</v>
      </c>
      <c r="D3418" s="54" t="s">
        <v>10855</v>
      </c>
      <c r="E3418" s="50">
        <f t="shared" si="116"/>
        <v>46.767123290000001</v>
      </c>
      <c r="F3418" s="51">
        <f t="shared" si="116"/>
        <v>4.6333482899999998</v>
      </c>
      <c r="H3418" s="33"/>
      <c r="I3418" s="33"/>
      <c r="J3418" s="33"/>
      <c r="K3418" s="33"/>
      <c r="L3418" s="33"/>
      <c r="M3418" s="33"/>
      <c r="N3418" s="33"/>
      <c r="O3418" s="33"/>
      <c r="P3418" s="33"/>
      <c r="Q3418" s="33"/>
      <c r="R3418" s="33"/>
      <c r="S3418" s="33"/>
      <c r="T3418" s="33"/>
      <c r="U3418" s="33"/>
      <c r="V3418" s="33"/>
      <c r="W3418" s="33"/>
      <c r="X3418" s="33"/>
      <c r="Y3418" s="33"/>
      <c r="Z3418" s="33"/>
      <c r="AA3418" s="33"/>
      <c r="AB3418" s="33"/>
    </row>
    <row r="3419" spans="1:28" x14ac:dyDescent="0.15">
      <c r="A3419" s="46" t="s">
        <v>6889</v>
      </c>
      <c r="B3419" s="52" t="s">
        <v>7361</v>
      </c>
      <c r="C3419" s="53" t="s">
        <v>6890</v>
      </c>
      <c r="D3419" s="54" t="s">
        <v>10856</v>
      </c>
      <c r="E3419" s="50">
        <f t="shared" si="116"/>
        <v>46.780821920000001</v>
      </c>
      <c r="F3419" s="51">
        <f t="shared" si="116"/>
        <v>4.6333190699999998</v>
      </c>
      <c r="H3419" s="33"/>
      <c r="I3419" s="33"/>
      <c r="J3419" s="33"/>
      <c r="K3419" s="33"/>
      <c r="L3419" s="33"/>
      <c r="M3419" s="33"/>
      <c r="N3419" s="33"/>
      <c r="O3419" s="33"/>
      <c r="P3419" s="33"/>
      <c r="Q3419" s="33"/>
      <c r="R3419" s="33"/>
      <c r="S3419" s="33"/>
      <c r="T3419" s="33"/>
      <c r="U3419" s="33"/>
      <c r="V3419" s="33"/>
      <c r="W3419" s="33"/>
      <c r="X3419" s="33"/>
      <c r="Y3419" s="33"/>
      <c r="Z3419" s="33"/>
      <c r="AA3419" s="33"/>
      <c r="AB3419" s="33"/>
    </row>
    <row r="3420" spans="1:28" x14ac:dyDescent="0.15">
      <c r="A3420" s="46" t="s">
        <v>6891</v>
      </c>
      <c r="B3420" s="52" t="s">
        <v>7361</v>
      </c>
      <c r="C3420" s="53" t="s">
        <v>6892</v>
      </c>
      <c r="D3420" s="54" t="s">
        <v>10857</v>
      </c>
      <c r="E3420" s="50">
        <f t="shared" si="116"/>
        <v>46.794520550000001</v>
      </c>
      <c r="F3420" s="51">
        <f t="shared" si="116"/>
        <v>4.6332898599999996</v>
      </c>
      <c r="H3420" s="33"/>
      <c r="I3420" s="33"/>
      <c r="J3420" s="33"/>
      <c r="K3420" s="33"/>
      <c r="L3420" s="33"/>
      <c r="M3420" s="33"/>
      <c r="N3420" s="33"/>
      <c r="O3420" s="33"/>
      <c r="P3420" s="33"/>
      <c r="Q3420" s="33"/>
      <c r="R3420" s="33"/>
      <c r="S3420" s="33"/>
      <c r="T3420" s="33"/>
      <c r="U3420" s="33"/>
      <c r="V3420" s="33"/>
      <c r="W3420" s="33"/>
      <c r="X3420" s="33"/>
      <c r="Y3420" s="33"/>
      <c r="Z3420" s="33"/>
      <c r="AA3420" s="33"/>
      <c r="AB3420" s="33"/>
    </row>
    <row r="3421" spans="1:28" x14ac:dyDescent="0.15">
      <c r="A3421" s="46" t="s">
        <v>6893</v>
      </c>
      <c r="B3421" s="52" t="s">
        <v>7361</v>
      </c>
      <c r="C3421" s="53" t="s">
        <v>6894</v>
      </c>
      <c r="D3421" s="54" t="s">
        <v>10858</v>
      </c>
      <c r="E3421" s="50">
        <f t="shared" si="116"/>
        <v>46.808219180000002</v>
      </c>
      <c r="F3421" s="51">
        <f t="shared" si="116"/>
        <v>4.6332606600000004</v>
      </c>
      <c r="H3421" s="33"/>
      <c r="I3421" s="33"/>
      <c r="J3421" s="33"/>
      <c r="K3421" s="33"/>
      <c r="L3421" s="33"/>
      <c r="M3421" s="33"/>
      <c r="N3421" s="33"/>
      <c r="O3421" s="33"/>
      <c r="P3421" s="33"/>
      <c r="Q3421" s="33"/>
      <c r="R3421" s="33"/>
      <c r="S3421" s="33"/>
      <c r="T3421" s="33"/>
      <c r="U3421" s="33"/>
      <c r="V3421" s="33"/>
      <c r="W3421" s="33"/>
      <c r="X3421" s="33"/>
      <c r="Y3421" s="33"/>
      <c r="Z3421" s="33"/>
      <c r="AA3421" s="33"/>
      <c r="AB3421" s="33"/>
    </row>
    <row r="3422" spans="1:28" x14ac:dyDescent="0.15">
      <c r="A3422" s="46" t="s">
        <v>6895</v>
      </c>
      <c r="B3422" s="52" t="s">
        <v>7361</v>
      </c>
      <c r="C3422" s="53" t="s">
        <v>6896</v>
      </c>
      <c r="D3422" s="54" t="s">
        <v>10859</v>
      </c>
      <c r="E3422" s="50">
        <f t="shared" si="116"/>
        <v>46.821917810000002</v>
      </c>
      <c r="F3422" s="51">
        <f t="shared" si="116"/>
        <v>4.6332314600000002</v>
      </c>
      <c r="H3422" s="33"/>
      <c r="I3422" s="33"/>
      <c r="J3422" s="33"/>
      <c r="K3422" s="33"/>
      <c r="L3422" s="33"/>
      <c r="M3422" s="33"/>
      <c r="N3422" s="33"/>
      <c r="O3422" s="33"/>
      <c r="P3422" s="33"/>
      <c r="Q3422" s="33"/>
      <c r="R3422" s="33"/>
      <c r="S3422" s="33"/>
      <c r="T3422" s="33"/>
      <c r="U3422" s="33"/>
      <c r="V3422" s="33"/>
      <c r="W3422" s="33"/>
      <c r="X3422" s="33"/>
      <c r="Y3422" s="33"/>
      <c r="Z3422" s="33"/>
      <c r="AA3422" s="33"/>
      <c r="AB3422" s="33"/>
    </row>
    <row r="3423" spans="1:28" x14ac:dyDescent="0.15">
      <c r="A3423" s="46" t="s">
        <v>6897</v>
      </c>
      <c r="B3423" s="52" t="s">
        <v>7361</v>
      </c>
      <c r="C3423" s="53" t="s">
        <v>6898</v>
      </c>
      <c r="D3423" s="54" t="s">
        <v>10860</v>
      </c>
      <c r="E3423" s="50">
        <f t="shared" si="116"/>
        <v>46.835616440000003</v>
      </c>
      <c r="F3423" s="51">
        <f t="shared" si="116"/>
        <v>4.63320227</v>
      </c>
      <c r="H3423" s="33"/>
      <c r="I3423" s="33"/>
      <c r="J3423" s="33"/>
      <c r="K3423" s="33"/>
      <c r="L3423" s="33"/>
      <c r="M3423" s="33"/>
      <c r="N3423" s="33"/>
      <c r="O3423" s="33"/>
      <c r="P3423" s="33"/>
      <c r="Q3423" s="33"/>
      <c r="R3423" s="33"/>
      <c r="S3423" s="33"/>
      <c r="T3423" s="33"/>
      <c r="U3423" s="33"/>
      <c r="V3423" s="33"/>
      <c r="W3423" s="33"/>
      <c r="X3423" s="33"/>
      <c r="Y3423" s="33"/>
      <c r="Z3423" s="33"/>
      <c r="AA3423" s="33"/>
      <c r="AB3423" s="33"/>
    </row>
    <row r="3424" spans="1:28" x14ac:dyDescent="0.15">
      <c r="A3424" s="46" t="s">
        <v>6899</v>
      </c>
      <c r="B3424" s="52" t="s">
        <v>7361</v>
      </c>
      <c r="C3424" s="53" t="s">
        <v>6900</v>
      </c>
      <c r="D3424" s="54" t="s">
        <v>10861</v>
      </c>
      <c r="E3424" s="50">
        <f t="shared" si="116"/>
        <v>46.849315070000003</v>
      </c>
      <c r="F3424" s="51">
        <f t="shared" si="116"/>
        <v>4.6331730699999998</v>
      </c>
      <c r="H3424" s="33"/>
      <c r="I3424" s="33"/>
      <c r="J3424" s="33"/>
      <c r="K3424" s="33"/>
      <c r="L3424" s="33"/>
      <c r="M3424" s="33"/>
      <c r="N3424" s="33"/>
      <c r="O3424" s="33"/>
      <c r="P3424" s="33"/>
      <c r="Q3424" s="33"/>
      <c r="R3424" s="33"/>
      <c r="S3424" s="33"/>
      <c r="T3424" s="33"/>
      <c r="U3424" s="33"/>
      <c r="V3424" s="33"/>
      <c r="W3424" s="33"/>
      <c r="X3424" s="33"/>
      <c r="Y3424" s="33"/>
      <c r="Z3424" s="33"/>
      <c r="AA3424" s="33"/>
      <c r="AB3424" s="33"/>
    </row>
    <row r="3425" spans="1:28" x14ac:dyDescent="0.15">
      <c r="A3425" s="46" t="s">
        <v>6901</v>
      </c>
      <c r="B3425" s="52" t="s">
        <v>7361</v>
      </c>
      <c r="C3425" s="53" t="s">
        <v>6902</v>
      </c>
      <c r="D3425" s="54" t="s">
        <v>10862</v>
      </c>
      <c r="E3425" s="50">
        <f t="shared" si="116"/>
        <v>46.863013700000003</v>
      </c>
      <c r="F3425" s="51">
        <f t="shared" si="116"/>
        <v>4.6331438800000004</v>
      </c>
      <c r="H3425" s="33"/>
      <c r="I3425" s="33"/>
      <c r="J3425" s="33"/>
      <c r="K3425" s="33"/>
      <c r="L3425" s="33"/>
      <c r="M3425" s="33"/>
      <c r="N3425" s="33"/>
      <c r="O3425" s="33"/>
      <c r="P3425" s="33"/>
      <c r="Q3425" s="33"/>
      <c r="R3425" s="33"/>
      <c r="S3425" s="33"/>
      <c r="T3425" s="33"/>
      <c r="U3425" s="33"/>
      <c r="V3425" s="33"/>
      <c r="W3425" s="33"/>
      <c r="X3425" s="33"/>
      <c r="Y3425" s="33"/>
      <c r="Z3425" s="33"/>
      <c r="AA3425" s="33"/>
      <c r="AB3425" s="33"/>
    </row>
    <row r="3426" spans="1:28" x14ac:dyDescent="0.15">
      <c r="A3426" s="46" t="s">
        <v>6903</v>
      </c>
      <c r="B3426" s="52" t="s">
        <v>7361</v>
      </c>
      <c r="C3426" s="53" t="s">
        <v>6904</v>
      </c>
      <c r="D3426" s="54" t="s">
        <v>10863</v>
      </c>
      <c r="E3426" s="50">
        <f t="shared" si="116"/>
        <v>46.876712329999997</v>
      </c>
      <c r="F3426" s="51">
        <f t="shared" si="116"/>
        <v>4.6331146700000003</v>
      </c>
      <c r="H3426" s="33"/>
      <c r="I3426" s="33"/>
      <c r="J3426" s="33"/>
      <c r="K3426" s="33"/>
      <c r="L3426" s="33"/>
      <c r="M3426" s="33"/>
      <c r="N3426" s="33"/>
      <c r="O3426" s="33"/>
      <c r="P3426" s="33"/>
      <c r="Q3426" s="33"/>
      <c r="R3426" s="33"/>
      <c r="S3426" s="33"/>
      <c r="T3426" s="33"/>
      <c r="U3426" s="33"/>
      <c r="V3426" s="33"/>
      <c r="W3426" s="33"/>
      <c r="X3426" s="33"/>
      <c r="Y3426" s="33"/>
      <c r="Z3426" s="33"/>
      <c r="AA3426" s="33"/>
      <c r="AB3426" s="33"/>
    </row>
    <row r="3427" spans="1:28" x14ac:dyDescent="0.15">
      <c r="A3427" s="46" t="s">
        <v>6905</v>
      </c>
      <c r="B3427" s="52" t="s">
        <v>7361</v>
      </c>
      <c r="C3427" s="53" t="s">
        <v>6906</v>
      </c>
      <c r="D3427" s="54" t="s">
        <v>10864</v>
      </c>
      <c r="E3427" s="50">
        <f t="shared" si="116"/>
        <v>46.890410959999997</v>
      </c>
      <c r="F3427" s="51">
        <f t="shared" si="116"/>
        <v>4.6330854600000002</v>
      </c>
      <c r="H3427" s="33"/>
      <c r="I3427" s="33"/>
      <c r="J3427" s="33"/>
      <c r="K3427" s="33"/>
      <c r="L3427" s="33"/>
      <c r="M3427" s="33"/>
      <c r="N3427" s="33"/>
      <c r="O3427" s="33"/>
      <c r="P3427" s="33"/>
      <c r="Q3427" s="33"/>
      <c r="R3427" s="33"/>
      <c r="S3427" s="33"/>
      <c r="T3427" s="33"/>
      <c r="U3427" s="33"/>
      <c r="V3427" s="33"/>
      <c r="W3427" s="33"/>
      <c r="X3427" s="33"/>
      <c r="Y3427" s="33"/>
      <c r="Z3427" s="33"/>
      <c r="AA3427" s="33"/>
      <c r="AB3427" s="33"/>
    </row>
    <row r="3428" spans="1:28" x14ac:dyDescent="0.15">
      <c r="A3428" s="46" t="s">
        <v>6907</v>
      </c>
      <c r="B3428" s="52" t="s">
        <v>7361</v>
      </c>
      <c r="C3428" s="53" t="s">
        <v>6908</v>
      </c>
      <c r="D3428" s="54" t="s">
        <v>10865</v>
      </c>
      <c r="E3428" s="50">
        <f t="shared" si="116"/>
        <v>46.904109589999997</v>
      </c>
      <c r="F3428" s="51">
        <f t="shared" si="116"/>
        <v>4.6330562400000002</v>
      </c>
      <c r="H3428" s="33"/>
      <c r="I3428" s="33"/>
      <c r="J3428" s="33"/>
      <c r="K3428" s="33"/>
      <c r="L3428" s="33"/>
      <c r="M3428" s="33"/>
      <c r="N3428" s="33"/>
      <c r="O3428" s="33"/>
      <c r="P3428" s="33"/>
      <c r="Q3428" s="33"/>
      <c r="R3428" s="33"/>
      <c r="S3428" s="33"/>
      <c r="T3428" s="33"/>
      <c r="U3428" s="33"/>
      <c r="V3428" s="33"/>
      <c r="W3428" s="33"/>
      <c r="X3428" s="33"/>
      <c r="Y3428" s="33"/>
      <c r="Z3428" s="33"/>
      <c r="AA3428" s="33"/>
      <c r="AB3428" s="33"/>
    </row>
    <row r="3429" spans="1:28" x14ac:dyDescent="0.15">
      <c r="A3429" s="46" t="s">
        <v>6909</v>
      </c>
      <c r="B3429" s="52" t="s">
        <v>7361</v>
      </c>
      <c r="C3429" s="53" t="s">
        <v>6910</v>
      </c>
      <c r="D3429" s="54" t="s">
        <v>10866</v>
      </c>
      <c r="E3429" s="50">
        <f t="shared" si="116"/>
        <v>46.917808219999998</v>
      </c>
      <c r="F3429" s="51">
        <f t="shared" si="116"/>
        <v>4.6330270100000002</v>
      </c>
      <c r="H3429" s="33"/>
      <c r="I3429" s="33"/>
      <c r="J3429" s="33"/>
      <c r="K3429" s="33"/>
      <c r="L3429" s="33"/>
      <c r="M3429" s="33"/>
      <c r="N3429" s="33"/>
      <c r="O3429" s="33"/>
      <c r="P3429" s="33"/>
      <c r="Q3429" s="33"/>
      <c r="R3429" s="33"/>
      <c r="S3429" s="33"/>
      <c r="T3429" s="33"/>
      <c r="U3429" s="33"/>
      <c r="V3429" s="33"/>
      <c r="W3429" s="33"/>
      <c r="X3429" s="33"/>
      <c r="Y3429" s="33"/>
      <c r="Z3429" s="33"/>
      <c r="AA3429" s="33"/>
      <c r="AB3429" s="33"/>
    </row>
    <row r="3430" spans="1:28" x14ac:dyDescent="0.15">
      <c r="A3430" s="46" t="s">
        <v>6911</v>
      </c>
      <c r="B3430" s="52" t="s">
        <v>7361</v>
      </c>
      <c r="C3430" s="53" t="s">
        <v>6912</v>
      </c>
      <c r="D3430" s="54" t="s">
        <v>10867</v>
      </c>
      <c r="E3430" s="50">
        <f t="shared" si="116"/>
        <v>46.931506849999998</v>
      </c>
      <c r="F3430" s="51">
        <f t="shared" si="116"/>
        <v>4.6329977600000003</v>
      </c>
      <c r="H3430" s="33"/>
      <c r="I3430" s="33"/>
      <c r="J3430" s="33"/>
      <c r="K3430" s="33"/>
      <c r="L3430" s="33"/>
      <c r="M3430" s="33"/>
      <c r="N3430" s="33"/>
      <c r="O3430" s="33"/>
      <c r="P3430" s="33"/>
      <c r="Q3430" s="33"/>
      <c r="R3430" s="33"/>
      <c r="S3430" s="33"/>
      <c r="T3430" s="33"/>
      <c r="U3430" s="33"/>
      <c r="V3430" s="33"/>
      <c r="W3430" s="33"/>
      <c r="X3430" s="33"/>
      <c r="Y3430" s="33"/>
      <c r="Z3430" s="33"/>
      <c r="AA3430" s="33"/>
      <c r="AB3430" s="33"/>
    </row>
    <row r="3431" spans="1:28" x14ac:dyDescent="0.15">
      <c r="A3431" s="46" t="s">
        <v>6913</v>
      </c>
      <c r="B3431" s="52" t="s">
        <v>7361</v>
      </c>
      <c r="C3431" s="53" t="s">
        <v>6914</v>
      </c>
      <c r="D3431" s="54" t="s">
        <v>10868</v>
      </c>
      <c r="E3431" s="50">
        <f t="shared" si="116"/>
        <v>46.945205479999998</v>
      </c>
      <c r="F3431" s="51">
        <f t="shared" si="116"/>
        <v>4.6329684899999997</v>
      </c>
      <c r="H3431" s="33"/>
      <c r="I3431" s="33"/>
      <c r="J3431" s="33"/>
      <c r="K3431" s="33"/>
      <c r="L3431" s="33"/>
      <c r="M3431" s="33"/>
      <c r="N3431" s="33"/>
      <c r="O3431" s="33"/>
      <c r="P3431" s="33"/>
      <c r="Q3431" s="33"/>
      <c r="R3431" s="33"/>
      <c r="S3431" s="33"/>
      <c r="T3431" s="33"/>
      <c r="U3431" s="33"/>
      <c r="V3431" s="33"/>
      <c r="W3431" s="33"/>
      <c r="X3431" s="33"/>
      <c r="Y3431" s="33"/>
      <c r="Z3431" s="33"/>
      <c r="AA3431" s="33"/>
      <c r="AB3431" s="33"/>
    </row>
    <row r="3432" spans="1:28" x14ac:dyDescent="0.15">
      <c r="A3432" s="46" t="s">
        <v>6915</v>
      </c>
      <c r="B3432" s="52" t="s">
        <v>7361</v>
      </c>
      <c r="C3432" s="53" t="s">
        <v>6916</v>
      </c>
      <c r="D3432" s="54" t="s">
        <v>10869</v>
      </c>
      <c r="E3432" s="50">
        <f t="shared" si="116"/>
        <v>46.958904109999999</v>
      </c>
      <c r="F3432" s="51">
        <f t="shared" si="116"/>
        <v>4.6329392</v>
      </c>
      <c r="H3432" s="33"/>
      <c r="I3432" s="33"/>
      <c r="J3432" s="33"/>
      <c r="K3432" s="33"/>
      <c r="L3432" s="33"/>
      <c r="M3432" s="33"/>
      <c r="N3432" s="33"/>
      <c r="O3432" s="33"/>
      <c r="P3432" s="33"/>
      <c r="Q3432" s="33"/>
      <c r="R3432" s="33"/>
      <c r="S3432" s="33"/>
      <c r="T3432" s="33"/>
      <c r="U3432" s="33"/>
      <c r="V3432" s="33"/>
      <c r="W3432" s="33"/>
      <c r="X3432" s="33"/>
      <c r="Y3432" s="33"/>
      <c r="Z3432" s="33"/>
      <c r="AA3432" s="33"/>
      <c r="AB3432" s="33"/>
    </row>
    <row r="3433" spans="1:28" x14ac:dyDescent="0.15">
      <c r="A3433" s="46" t="s">
        <v>6917</v>
      </c>
      <c r="B3433" s="52" t="s">
        <v>7361</v>
      </c>
      <c r="C3433" s="53" t="s">
        <v>6918</v>
      </c>
      <c r="D3433" s="54" t="s">
        <v>10870</v>
      </c>
      <c r="E3433" s="50">
        <f t="shared" ref="E3433:F3462" si="117">VALUE(C3433)</f>
        <v>46.972602739999999</v>
      </c>
      <c r="F3433" s="51">
        <f t="shared" si="117"/>
        <v>4.6329098899999996</v>
      </c>
      <c r="H3433" s="33"/>
      <c r="I3433" s="33"/>
      <c r="J3433" s="33"/>
      <c r="K3433" s="33"/>
      <c r="L3433" s="33"/>
      <c r="M3433" s="33"/>
      <c r="N3433" s="33"/>
      <c r="O3433" s="33"/>
      <c r="P3433" s="33"/>
      <c r="Q3433" s="33"/>
      <c r="R3433" s="33"/>
      <c r="S3433" s="33"/>
      <c r="T3433" s="33"/>
      <c r="U3433" s="33"/>
      <c r="V3433" s="33"/>
      <c r="W3433" s="33"/>
      <c r="X3433" s="33"/>
      <c r="Y3433" s="33"/>
      <c r="Z3433" s="33"/>
      <c r="AA3433" s="33"/>
      <c r="AB3433" s="33"/>
    </row>
    <row r="3434" spans="1:28" x14ac:dyDescent="0.15">
      <c r="A3434" s="46" t="s">
        <v>6919</v>
      </c>
      <c r="B3434" s="52" t="s">
        <v>7361</v>
      </c>
      <c r="C3434" s="53" t="s">
        <v>6920</v>
      </c>
      <c r="D3434" s="54" t="s">
        <v>10871</v>
      </c>
      <c r="E3434" s="50">
        <f t="shared" si="117"/>
        <v>46.98630137</v>
      </c>
      <c r="F3434" s="51">
        <f t="shared" si="117"/>
        <v>4.6328805500000003</v>
      </c>
      <c r="H3434" s="33"/>
      <c r="I3434" s="33"/>
      <c r="J3434" s="33"/>
      <c r="K3434" s="33"/>
      <c r="L3434" s="33"/>
      <c r="M3434" s="33"/>
      <c r="N3434" s="33"/>
      <c r="O3434" s="33"/>
      <c r="P3434" s="33"/>
      <c r="Q3434" s="33"/>
      <c r="R3434" s="33"/>
      <c r="S3434" s="33"/>
      <c r="T3434" s="33"/>
      <c r="U3434" s="33"/>
      <c r="V3434" s="33"/>
      <c r="W3434" s="33"/>
      <c r="X3434" s="33"/>
      <c r="Y3434" s="33"/>
      <c r="Z3434" s="33"/>
      <c r="AA3434" s="33"/>
      <c r="AB3434" s="33"/>
    </row>
    <row r="3435" spans="1:28" x14ac:dyDescent="0.15">
      <c r="A3435" s="46" t="s">
        <v>6921</v>
      </c>
      <c r="B3435" s="52" t="s">
        <v>7361</v>
      </c>
      <c r="C3435" s="53" t="s">
        <v>6922</v>
      </c>
      <c r="D3435" s="54" t="s">
        <v>10872</v>
      </c>
      <c r="E3435" s="50">
        <f t="shared" si="117"/>
        <v>47</v>
      </c>
      <c r="F3435" s="51">
        <f t="shared" si="117"/>
        <v>4.6328511900000002</v>
      </c>
      <c r="H3435" s="33"/>
      <c r="I3435" s="33"/>
      <c r="J3435" s="33"/>
      <c r="K3435" s="33"/>
      <c r="L3435" s="33"/>
      <c r="M3435" s="33"/>
      <c r="N3435" s="33"/>
      <c r="O3435" s="33"/>
      <c r="P3435" s="33"/>
      <c r="Q3435" s="33"/>
      <c r="R3435" s="33"/>
      <c r="S3435" s="33"/>
      <c r="T3435" s="33"/>
      <c r="U3435" s="33"/>
      <c r="V3435" s="33"/>
      <c r="W3435" s="33"/>
      <c r="X3435" s="33"/>
      <c r="Y3435" s="33"/>
      <c r="Z3435" s="33"/>
      <c r="AA3435" s="33"/>
      <c r="AB3435" s="33"/>
    </row>
    <row r="3436" spans="1:28" x14ac:dyDescent="0.15">
      <c r="A3436" s="46" t="s">
        <v>6923</v>
      </c>
      <c r="B3436" s="52" t="s">
        <v>7361</v>
      </c>
      <c r="C3436" s="53" t="s">
        <v>6924</v>
      </c>
      <c r="D3436" s="54" t="s">
        <v>10873</v>
      </c>
      <c r="E3436" s="50">
        <f t="shared" si="117"/>
        <v>47.01369863</v>
      </c>
      <c r="F3436" s="51">
        <f t="shared" si="117"/>
        <v>4.6328219199999996</v>
      </c>
      <c r="H3436" s="33"/>
      <c r="I3436" s="33"/>
      <c r="J3436" s="33"/>
      <c r="K3436" s="33"/>
      <c r="L3436" s="33"/>
      <c r="M3436" s="33"/>
      <c r="N3436" s="33"/>
      <c r="O3436" s="33"/>
      <c r="P3436" s="33"/>
      <c r="Q3436" s="33"/>
      <c r="R3436" s="33"/>
      <c r="S3436" s="33"/>
      <c r="T3436" s="33"/>
      <c r="U3436" s="33"/>
      <c r="V3436" s="33"/>
      <c r="W3436" s="33"/>
      <c r="X3436" s="33"/>
      <c r="Y3436" s="33"/>
      <c r="Z3436" s="33"/>
      <c r="AA3436" s="33"/>
      <c r="AB3436" s="33"/>
    </row>
    <row r="3437" spans="1:28" x14ac:dyDescent="0.15">
      <c r="A3437" s="46" t="s">
        <v>6925</v>
      </c>
      <c r="B3437" s="52" t="s">
        <v>7361</v>
      </c>
      <c r="C3437" s="53" t="s">
        <v>6926</v>
      </c>
      <c r="D3437" s="54" t="s">
        <v>10874</v>
      </c>
      <c r="E3437" s="50">
        <f t="shared" si="117"/>
        <v>47.027397260000001</v>
      </c>
      <c r="F3437" s="51">
        <f t="shared" si="117"/>
        <v>4.6327928500000004</v>
      </c>
      <c r="H3437" s="33"/>
      <c r="I3437" s="33"/>
      <c r="J3437" s="33"/>
      <c r="K3437" s="33"/>
      <c r="L3437" s="33"/>
      <c r="M3437" s="33"/>
      <c r="N3437" s="33"/>
      <c r="O3437" s="33"/>
      <c r="P3437" s="33"/>
      <c r="Q3437" s="33"/>
      <c r="R3437" s="33"/>
      <c r="S3437" s="33"/>
      <c r="T3437" s="33"/>
      <c r="U3437" s="33"/>
      <c r="V3437" s="33"/>
      <c r="W3437" s="33"/>
      <c r="X3437" s="33"/>
      <c r="Y3437" s="33"/>
      <c r="Z3437" s="33"/>
      <c r="AA3437" s="33"/>
      <c r="AB3437" s="33"/>
    </row>
    <row r="3438" spans="1:28" x14ac:dyDescent="0.15">
      <c r="A3438" s="46" t="s">
        <v>6927</v>
      </c>
      <c r="B3438" s="52" t="s">
        <v>7361</v>
      </c>
      <c r="C3438" s="53" t="s">
        <v>6928</v>
      </c>
      <c r="D3438" s="54" t="s">
        <v>10875</v>
      </c>
      <c r="E3438" s="50">
        <f t="shared" si="117"/>
        <v>47.041095890000001</v>
      </c>
      <c r="F3438" s="51">
        <f t="shared" si="117"/>
        <v>4.6327639700000001</v>
      </c>
      <c r="H3438" s="33"/>
      <c r="I3438" s="33"/>
      <c r="J3438" s="33"/>
      <c r="K3438" s="33"/>
      <c r="L3438" s="33"/>
      <c r="M3438" s="33"/>
      <c r="N3438" s="33"/>
      <c r="O3438" s="33"/>
      <c r="P3438" s="33"/>
      <c r="Q3438" s="33"/>
      <c r="R3438" s="33"/>
      <c r="S3438" s="33"/>
      <c r="T3438" s="33"/>
      <c r="U3438" s="33"/>
      <c r="V3438" s="33"/>
      <c r="W3438" s="33"/>
      <c r="X3438" s="33"/>
      <c r="Y3438" s="33"/>
      <c r="Z3438" s="33"/>
      <c r="AA3438" s="33"/>
      <c r="AB3438" s="33"/>
    </row>
    <row r="3439" spans="1:28" x14ac:dyDescent="0.15">
      <c r="A3439" s="46" t="s">
        <v>6929</v>
      </c>
      <c r="B3439" s="52" t="s">
        <v>7361</v>
      </c>
      <c r="C3439" s="53" t="s">
        <v>6930</v>
      </c>
      <c r="D3439" s="54" t="s">
        <v>10876</v>
      </c>
      <c r="E3439" s="50">
        <f t="shared" si="117"/>
        <v>47.054794520000002</v>
      </c>
      <c r="F3439" s="51">
        <f t="shared" si="117"/>
        <v>4.6327352800000003</v>
      </c>
      <c r="H3439" s="33"/>
      <c r="I3439" s="33"/>
      <c r="J3439" s="33"/>
      <c r="K3439" s="33"/>
      <c r="L3439" s="33"/>
      <c r="M3439" s="33"/>
      <c r="N3439" s="33"/>
      <c r="O3439" s="33"/>
      <c r="P3439" s="33"/>
      <c r="Q3439" s="33"/>
      <c r="R3439" s="33"/>
      <c r="S3439" s="33"/>
      <c r="T3439" s="33"/>
      <c r="U3439" s="33"/>
      <c r="V3439" s="33"/>
      <c r="W3439" s="33"/>
      <c r="X3439" s="33"/>
      <c r="Y3439" s="33"/>
      <c r="Z3439" s="33"/>
      <c r="AA3439" s="33"/>
      <c r="AB3439" s="33"/>
    </row>
    <row r="3440" spans="1:28" x14ac:dyDescent="0.15">
      <c r="A3440" s="46" t="s">
        <v>6931</v>
      </c>
      <c r="B3440" s="52" t="s">
        <v>7361</v>
      </c>
      <c r="C3440" s="53" t="s">
        <v>6932</v>
      </c>
      <c r="D3440" s="54" t="s">
        <v>10877</v>
      </c>
      <c r="E3440" s="50">
        <f t="shared" si="117"/>
        <v>47.068493150000002</v>
      </c>
      <c r="F3440" s="51">
        <f t="shared" si="117"/>
        <v>4.6327067700000004</v>
      </c>
      <c r="H3440" s="33"/>
      <c r="I3440" s="33"/>
      <c r="J3440" s="33"/>
      <c r="K3440" s="33"/>
      <c r="L3440" s="33"/>
      <c r="M3440" s="33"/>
      <c r="N3440" s="33"/>
      <c r="O3440" s="33"/>
      <c r="P3440" s="33"/>
      <c r="Q3440" s="33"/>
      <c r="R3440" s="33"/>
      <c r="S3440" s="33"/>
      <c r="T3440" s="33"/>
      <c r="U3440" s="33"/>
      <c r="V3440" s="33"/>
      <c r="W3440" s="33"/>
      <c r="X3440" s="33"/>
      <c r="Y3440" s="33"/>
      <c r="Z3440" s="33"/>
      <c r="AA3440" s="33"/>
      <c r="AB3440" s="33"/>
    </row>
    <row r="3441" spans="1:28" x14ac:dyDescent="0.15">
      <c r="A3441" s="46" t="s">
        <v>6933</v>
      </c>
      <c r="B3441" s="52" t="s">
        <v>7361</v>
      </c>
      <c r="C3441" s="53" t="s">
        <v>6934</v>
      </c>
      <c r="D3441" s="54" t="s">
        <v>10878</v>
      </c>
      <c r="E3441" s="50">
        <f t="shared" si="117"/>
        <v>47.082191780000002</v>
      </c>
      <c r="F3441" s="51">
        <f t="shared" si="117"/>
        <v>4.6326784300000003</v>
      </c>
      <c r="H3441" s="33"/>
      <c r="I3441" s="33"/>
      <c r="J3441" s="33"/>
      <c r="K3441" s="33"/>
      <c r="L3441" s="33"/>
      <c r="M3441" s="33"/>
      <c r="N3441" s="33"/>
      <c r="O3441" s="33"/>
      <c r="P3441" s="33"/>
      <c r="Q3441" s="33"/>
      <c r="R3441" s="33"/>
      <c r="S3441" s="33"/>
      <c r="T3441" s="33"/>
      <c r="U3441" s="33"/>
      <c r="V3441" s="33"/>
      <c r="W3441" s="33"/>
      <c r="X3441" s="33"/>
      <c r="Y3441" s="33"/>
      <c r="Z3441" s="33"/>
      <c r="AA3441" s="33"/>
      <c r="AB3441" s="33"/>
    </row>
    <row r="3442" spans="1:28" x14ac:dyDescent="0.15">
      <c r="A3442" s="46" t="s">
        <v>6935</v>
      </c>
      <c r="B3442" s="52" t="s">
        <v>7361</v>
      </c>
      <c r="C3442" s="53" t="s">
        <v>6936</v>
      </c>
      <c r="D3442" s="54" t="s">
        <v>10879</v>
      </c>
      <c r="E3442" s="50">
        <f t="shared" si="117"/>
        <v>47.095890410000003</v>
      </c>
      <c r="F3442" s="51">
        <f t="shared" si="117"/>
        <v>4.6326502500000002</v>
      </c>
      <c r="H3442" s="33"/>
      <c r="I3442" s="33"/>
      <c r="J3442" s="33"/>
      <c r="K3442" s="33"/>
      <c r="L3442" s="33"/>
      <c r="M3442" s="33"/>
      <c r="N3442" s="33"/>
      <c r="O3442" s="33"/>
      <c r="P3442" s="33"/>
      <c r="Q3442" s="33"/>
      <c r="R3442" s="33"/>
      <c r="S3442" s="33"/>
      <c r="T3442" s="33"/>
      <c r="U3442" s="33"/>
      <c r="V3442" s="33"/>
      <c r="W3442" s="33"/>
      <c r="X3442" s="33"/>
      <c r="Y3442" s="33"/>
      <c r="Z3442" s="33"/>
      <c r="AA3442" s="33"/>
      <c r="AB3442" s="33"/>
    </row>
    <row r="3443" spans="1:28" x14ac:dyDescent="0.15">
      <c r="A3443" s="46" t="s">
        <v>6937</v>
      </c>
      <c r="B3443" s="52" t="s">
        <v>7361</v>
      </c>
      <c r="C3443" s="53" t="s">
        <v>6938</v>
      </c>
      <c r="D3443" s="54" t="s">
        <v>10880</v>
      </c>
      <c r="E3443" s="50">
        <f t="shared" si="117"/>
        <v>47.109589040000003</v>
      </c>
      <c r="F3443" s="51">
        <f t="shared" si="117"/>
        <v>4.63262222</v>
      </c>
      <c r="H3443" s="33"/>
      <c r="I3443" s="33"/>
      <c r="J3443" s="33"/>
      <c r="K3443" s="33"/>
      <c r="L3443" s="33"/>
      <c r="M3443" s="33"/>
      <c r="N3443" s="33"/>
      <c r="O3443" s="33"/>
      <c r="P3443" s="33"/>
      <c r="Q3443" s="33"/>
      <c r="R3443" s="33"/>
      <c r="S3443" s="33"/>
      <c r="T3443" s="33"/>
      <c r="U3443" s="33"/>
      <c r="V3443" s="33"/>
      <c r="W3443" s="33"/>
      <c r="X3443" s="33"/>
      <c r="Y3443" s="33"/>
      <c r="Z3443" s="33"/>
      <c r="AA3443" s="33"/>
      <c r="AB3443" s="33"/>
    </row>
    <row r="3444" spans="1:28" x14ac:dyDescent="0.15">
      <c r="A3444" s="46" t="s">
        <v>6939</v>
      </c>
      <c r="B3444" s="52" t="s">
        <v>7361</v>
      </c>
      <c r="C3444" s="53" t="s">
        <v>6940</v>
      </c>
      <c r="D3444" s="54" t="s">
        <v>10881</v>
      </c>
      <c r="E3444" s="50">
        <f t="shared" si="117"/>
        <v>47.123287670000003</v>
      </c>
      <c r="F3444" s="51">
        <f t="shared" si="117"/>
        <v>4.6325943299999999</v>
      </c>
      <c r="H3444" s="33"/>
      <c r="I3444" s="33"/>
      <c r="J3444" s="33"/>
      <c r="K3444" s="33"/>
      <c r="L3444" s="33"/>
      <c r="M3444" s="33"/>
      <c r="N3444" s="33"/>
      <c r="O3444" s="33"/>
      <c r="P3444" s="33"/>
      <c r="Q3444" s="33"/>
      <c r="R3444" s="33"/>
      <c r="S3444" s="33"/>
      <c r="T3444" s="33"/>
      <c r="U3444" s="33"/>
      <c r="V3444" s="33"/>
      <c r="W3444" s="33"/>
      <c r="X3444" s="33"/>
      <c r="Y3444" s="33"/>
      <c r="Z3444" s="33"/>
      <c r="AA3444" s="33"/>
      <c r="AB3444" s="33"/>
    </row>
    <row r="3445" spans="1:28" x14ac:dyDescent="0.15">
      <c r="A3445" s="46" t="s">
        <v>6941</v>
      </c>
      <c r="B3445" s="52" t="s">
        <v>7361</v>
      </c>
      <c r="C3445" s="53" t="s">
        <v>6942</v>
      </c>
      <c r="D3445" s="54" t="s">
        <v>10882</v>
      </c>
      <c r="E3445" s="50">
        <f t="shared" si="117"/>
        <v>47.136986299999997</v>
      </c>
      <c r="F3445" s="51">
        <f t="shared" si="117"/>
        <v>4.6325665799999998</v>
      </c>
      <c r="H3445" s="33"/>
      <c r="I3445" s="33"/>
      <c r="J3445" s="33"/>
      <c r="K3445" s="33"/>
      <c r="L3445" s="33"/>
      <c r="M3445" s="33"/>
      <c r="N3445" s="33"/>
      <c r="O3445" s="33"/>
      <c r="P3445" s="33"/>
      <c r="Q3445" s="33"/>
      <c r="R3445" s="33"/>
      <c r="S3445" s="33"/>
      <c r="T3445" s="33"/>
      <c r="U3445" s="33"/>
      <c r="V3445" s="33"/>
      <c r="W3445" s="33"/>
      <c r="X3445" s="33"/>
      <c r="Y3445" s="33"/>
      <c r="Z3445" s="33"/>
      <c r="AA3445" s="33"/>
      <c r="AB3445" s="33"/>
    </row>
    <row r="3446" spans="1:28" x14ac:dyDescent="0.15">
      <c r="A3446" s="46" t="s">
        <v>6943</v>
      </c>
      <c r="B3446" s="52" t="s">
        <v>7361</v>
      </c>
      <c r="C3446" s="53" t="s">
        <v>6944</v>
      </c>
      <c r="D3446" s="54" t="s">
        <v>10883</v>
      </c>
      <c r="E3446" s="50">
        <f t="shared" si="117"/>
        <v>47.150684929999997</v>
      </c>
      <c r="F3446" s="51">
        <f t="shared" si="117"/>
        <v>4.6325389499999998</v>
      </c>
      <c r="H3446" s="33"/>
      <c r="I3446" s="33"/>
      <c r="J3446" s="33"/>
      <c r="K3446" s="33"/>
      <c r="L3446" s="33"/>
      <c r="M3446" s="33"/>
      <c r="N3446" s="33"/>
      <c r="O3446" s="33"/>
      <c r="P3446" s="33"/>
      <c r="Q3446" s="33"/>
      <c r="R3446" s="33"/>
      <c r="S3446" s="33"/>
      <c r="T3446" s="33"/>
      <c r="U3446" s="33"/>
      <c r="V3446" s="33"/>
      <c r="W3446" s="33"/>
      <c r="X3446" s="33"/>
      <c r="Y3446" s="33"/>
      <c r="Z3446" s="33"/>
      <c r="AA3446" s="33"/>
      <c r="AB3446" s="33"/>
    </row>
    <row r="3447" spans="1:28" x14ac:dyDescent="0.15">
      <c r="A3447" s="46" t="s">
        <v>6945</v>
      </c>
      <c r="B3447" s="52" t="s">
        <v>7361</v>
      </c>
      <c r="C3447" s="53" t="s">
        <v>6946</v>
      </c>
      <c r="D3447" s="54" t="s">
        <v>10884</v>
      </c>
      <c r="E3447" s="50">
        <f t="shared" si="117"/>
        <v>47.164383559999997</v>
      </c>
      <c r="F3447" s="51">
        <f t="shared" si="117"/>
        <v>4.63251144</v>
      </c>
      <c r="H3447" s="33"/>
      <c r="I3447" s="33"/>
      <c r="J3447" s="33"/>
      <c r="K3447" s="33"/>
      <c r="L3447" s="33"/>
      <c r="M3447" s="33"/>
      <c r="N3447" s="33"/>
      <c r="O3447" s="33"/>
      <c r="P3447" s="33"/>
      <c r="Q3447" s="33"/>
      <c r="R3447" s="33"/>
      <c r="S3447" s="33"/>
      <c r="T3447" s="33"/>
      <c r="U3447" s="33"/>
      <c r="V3447" s="33"/>
      <c r="W3447" s="33"/>
      <c r="X3447" s="33"/>
      <c r="Y3447" s="33"/>
      <c r="Z3447" s="33"/>
      <c r="AA3447" s="33"/>
      <c r="AB3447" s="33"/>
    </row>
    <row r="3448" spans="1:28" x14ac:dyDescent="0.15">
      <c r="A3448" s="46" t="s">
        <v>6947</v>
      </c>
      <c r="B3448" s="52" t="s">
        <v>7361</v>
      </c>
      <c r="C3448" s="53" t="s">
        <v>6948</v>
      </c>
      <c r="D3448" s="54" t="s">
        <v>10885</v>
      </c>
      <c r="E3448" s="50">
        <f t="shared" si="117"/>
        <v>47.178082189999998</v>
      </c>
      <c r="F3448" s="51">
        <f t="shared" si="117"/>
        <v>4.6324840399999996</v>
      </c>
      <c r="H3448" s="33"/>
      <c r="I3448" s="33"/>
      <c r="J3448" s="33"/>
      <c r="K3448" s="33"/>
      <c r="L3448" s="33"/>
      <c r="M3448" s="33"/>
      <c r="N3448" s="33"/>
      <c r="O3448" s="33"/>
      <c r="P3448" s="33"/>
      <c r="Q3448" s="33"/>
      <c r="R3448" s="33"/>
      <c r="S3448" s="33"/>
      <c r="T3448" s="33"/>
      <c r="U3448" s="33"/>
      <c r="V3448" s="33"/>
      <c r="W3448" s="33"/>
      <c r="X3448" s="33"/>
      <c r="Y3448" s="33"/>
      <c r="Z3448" s="33"/>
      <c r="AA3448" s="33"/>
      <c r="AB3448" s="33"/>
    </row>
    <row r="3449" spans="1:28" x14ac:dyDescent="0.15">
      <c r="A3449" s="46" t="s">
        <v>6949</v>
      </c>
      <c r="B3449" s="52" t="s">
        <v>7361</v>
      </c>
      <c r="C3449" s="53" t="s">
        <v>6950</v>
      </c>
      <c r="D3449" s="54" t="s">
        <v>10886</v>
      </c>
      <c r="E3449" s="50">
        <f t="shared" si="117"/>
        <v>47.191780819999998</v>
      </c>
      <c r="F3449" s="51">
        <f t="shared" si="117"/>
        <v>4.6324567300000004</v>
      </c>
      <c r="H3449" s="33"/>
      <c r="I3449" s="33"/>
      <c r="J3449" s="33"/>
      <c r="K3449" s="33"/>
      <c r="L3449" s="33"/>
      <c r="M3449" s="33"/>
      <c r="N3449" s="33"/>
      <c r="O3449" s="33"/>
      <c r="P3449" s="33"/>
      <c r="Q3449" s="33"/>
      <c r="R3449" s="33"/>
      <c r="S3449" s="33"/>
      <c r="T3449" s="33"/>
      <c r="U3449" s="33"/>
      <c r="V3449" s="33"/>
      <c r="W3449" s="33"/>
      <c r="X3449" s="33"/>
      <c r="Y3449" s="33"/>
      <c r="Z3449" s="33"/>
      <c r="AA3449" s="33"/>
      <c r="AB3449" s="33"/>
    </row>
    <row r="3450" spans="1:28" x14ac:dyDescent="0.15">
      <c r="A3450" s="46" t="s">
        <v>6951</v>
      </c>
      <c r="B3450" s="52" t="s">
        <v>7361</v>
      </c>
      <c r="C3450" s="53" t="s">
        <v>6952</v>
      </c>
      <c r="D3450" s="54" t="s">
        <v>10887</v>
      </c>
      <c r="E3450" s="50">
        <f t="shared" si="117"/>
        <v>47.205479449999999</v>
      </c>
      <c r="F3450" s="51">
        <f t="shared" si="117"/>
        <v>4.6324295199999996</v>
      </c>
      <c r="H3450" s="33"/>
      <c r="I3450" s="33"/>
      <c r="J3450" s="33"/>
      <c r="K3450" s="33"/>
      <c r="L3450" s="33"/>
      <c r="M3450" s="33"/>
      <c r="N3450" s="33"/>
      <c r="O3450" s="33"/>
      <c r="P3450" s="33"/>
      <c r="Q3450" s="33"/>
      <c r="R3450" s="33"/>
      <c r="S3450" s="33"/>
      <c r="T3450" s="33"/>
      <c r="U3450" s="33"/>
      <c r="V3450" s="33"/>
      <c r="W3450" s="33"/>
      <c r="X3450" s="33"/>
      <c r="Y3450" s="33"/>
      <c r="Z3450" s="33"/>
      <c r="AA3450" s="33"/>
      <c r="AB3450" s="33"/>
    </row>
    <row r="3451" spans="1:28" x14ac:dyDescent="0.15">
      <c r="A3451" s="46" t="s">
        <v>6953</v>
      </c>
      <c r="B3451" s="52" t="s">
        <v>7361</v>
      </c>
      <c r="C3451" s="53" t="s">
        <v>6954</v>
      </c>
      <c r="D3451" s="54" t="s">
        <v>10888</v>
      </c>
      <c r="E3451" s="50">
        <f t="shared" si="117"/>
        <v>47.219178079999999</v>
      </c>
      <c r="F3451" s="51">
        <f t="shared" si="117"/>
        <v>4.6324023800000003</v>
      </c>
      <c r="H3451" s="33"/>
      <c r="I3451" s="33"/>
      <c r="J3451" s="33"/>
      <c r="K3451" s="33"/>
      <c r="L3451" s="33"/>
      <c r="M3451" s="33"/>
      <c r="N3451" s="33"/>
      <c r="O3451" s="33"/>
      <c r="P3451" s="33"/>
      <c r="Q3451" s="33"/>
      <c r="R3451" s="33"/>
      <c r="S3451" s="33"/>
      <c r="T3451" s="33"/>
      <c r="U3451" s="33"/>
      <c r="V3451" s="33"/>
      <c r="W3451" s="33"/>
      <c r="X3451" s="33"/>
      <c r="Y3451" s="33"/>
      <c r="Z3451" s="33"/>
      <c r="AA3451" s="33"/>
      <c r="AB3451" s="33"/>
    </row>
    <row r="3452" spans="1:28" x14ac:dyDescent="0.15">
      <c r="A3452" s="46" t="s">
        <v>6955</v>
      </c>
      <c r="B3452" s="52" t="s">
        <v>7361</v>
      </c>
      <c r="C3452" s="53" t="s">
        <v>6956</v>
      </c>
      <c r="D3452" s="54" t="s">
        <v>10889</v>
      </c>
      <c r="E3452" s="50">
        <f t="shared" si="117"/>
        <v>47.232876709999999</v>
      </c>
      <c r="F3452" s="51">
        <f t="shared" si="117"/>
        <v>4.6323753200000004</v>
      </c>
      <c r="H3452" s="33"/>
      <c r="I3452" s="33"/>
      <c r="J3452" s="33"/>
      <c r="K3452" s="33"/>
      <c r="L3452" s="33"/>
      <c r="M3452" s="33"/>
      <c r="N3452" s="33"/>
      <c r="O3452" s="33"/>
      <c r="P3452" s="33"/>
      <c r="Q3452" s="33"/>
      <c r="R3452" s="33"/>
      <c r="S3452" s="33"/>
      <c r="T3452" s="33"/>
      <c r="U3452" s="33"/>
      <c r="V3452" s="33"/>
      <c r="W3452" s="33"/>
      <c r="X3452" s="33"/>
      <c r="Y3452" s="33"/>
      <c r="Z3452" s="33"/>
      <c r="AA3452" s="33"/>
      <c r="AB3452" s="33"/>
    </row>
    <row r="3453" spans="1:28" x14ac:dyDescent="0.15">
      <c r="A3453" s="46" t="s">
        <v>6957</v>
      </c>
      <c r="B3453" s="52" t="s">
        <v>7361</v>
      </c>
      <c r="C3453" s="53" t="s">
        <v>6958</v>
      </c>
      <c r="D3453" s="54" t="s">
        <v>10890</v>
      </c>
      <c r="E3453" s="50">
        <f t="shared" si="117"/>
        <v>47.24657534</v>
      </c>
      <c r="F3453" s="51">
        <f t="shared" si="117"/>
        <v>4.6323483300000001</v>
      </c>
      <c r="H3453" s="33"/>
      <c r="I3453" s="33"/>
      <c r="J3453" s="33"/>
      <c r="K3453" s="33"/>
      <c r="L3453" s="33"/>
      <c r="M3453" s="33"/>
      <c r="N3453" s="33"/>
      <c r="O3453" s="33"/>
      <c r="P3453" s="33"/>
      <c r="Q3453" s="33"/>
      <c r="R3453" s="33"/>
      <c r="S3453" s="33"/>
      <c r="T3453" s="33"/>
      <c r="U3453" s="33"/>
      <c r="V3453" s="33"/>
      <c r="W3453" s="33"/>
      <c r="X3453" s="33"/>
      <c r="Y3453" s="33"/>
      <c r="Z3453" s="33"/>
      <c r="AA3453" s="33"/>
      <c r="AB3453" s="33"/>
    </row>
    <row r="3454" spans="1:28" x14ac:dyDescent="0.15">
      <c r="A3454" s="46" t="s">
        <v>6959</v>
      </c>
      <c r="B3454" s="52" t="s">
        <v>7361</v>
      </c>
      <c r="C3454" s="53" t="s">
        <v>6960</v>
      </c>
      <c r="D3454" s="54" t="s">
        <v>10891</v>
      </c>
      <c r="E3454" s="50">
        <f t="shared" si="117"/>
        <v>47.26027397</v>
      </c>
      <c r="F3454" s="51">
        <f t="shared" si="117"/>
        <v>4.6323213900000004</v>
      </c>
      <c r="H3454" s="33"/>
      <c r="I3454" s="33"/>
      <c r="J3454" s="33"/>
      <c r="K3454" s="33"/>
      <c r="L3454" s="33"/>
      <c r="M3454" s="33"/>
      <c r="N3454" s="33"/>
      <c r="O3454" s="33"/>
      <c r="P3454" s="33"/>
      <c r="Q3454" s="33"/>
      <c r="R3454" s="33"/>
      <c r="S3454" s="33"/>
      <c r="T3454" s="33"/>
      <c r="U3454" s="33"/>
      <c r="V3454" s="33"/>
      <c r="W3454" s="33"/>
      <c r="X3454" s="33"/>
      <c r="Y3454" s="33"/>
      <c r="Z3454" s="33"/>
      <c r="AA3454" s="33"/>
      <c r="AB3454" s="33"/>
    </row>
    <row r="3455" spans="1:28" x14ac:dyDescent="0.15">
      <c r="A3455" s="46" t="s">
        <v>6961</v>
      </c>
      <c r="B3455" s="52" t="s">
        <v>7361</v>
      </c>
      <c r="C3455" s="53" t="s">
        <v>6962</v>
      </c>
      <c r="D3455" s="54" t="s">
        <v>10892</v>
      </c>
      <c r="E3455" s="50">
        <f t="shared" si="117"/>
        <v>47.2739726</v>
      </c>
      <c r="F3455" s="51">
        <f t="shared" si="117"/>
        <v>4.6322944899999996</v>
      </c>
      <c r="H3455" s="33"/>
      <c r="I3455" s="33"/>
      <c r="J3455" s="33"/>
      <c r="K3455" s="33"/>
      <c r="L3455" s="33"/>
      <c r="M3455" s="33"/>
      <c r="N3455" s="33"/>
      <c r="O3455" s="33"/>
      <c r="P3455" s="33"/>
      <c r="Q3455" s="33"/>
      <c r="R3455" s="33"/>
      <c r="S3455" s="33"/>
      <c r="T3455" s="33"/>
      <c r="U3455" s="33"/>
      <c r="V3455" s="33"/>
      <c r="W3455" s="33"/>
      <c r="X3455" s="33"/>
      <c r="Y3455" s="33"/>
      <c r="Z3455" s="33"/>
      <c r="AA3455" s="33"/>
      <c r="AB3455" s="33"/>
    </row>
    <row r="3456" spans="1:28" x14ac:dyDescent="0.15">
      <c r="A3456" s="46" t="s">
        <v>6963</v>
      </c>
      <c r="B3456" s="52" t="s">
        <v>7361</v>
      </c>
      <c r="C3456" s="53" t="s">
        <v>6964</v>
      </c>
      <c r="D3456" s="54" t="s">
        <v>10893</v>
      </c>
      <c r="E3456" s="50">
        <f t="shared" si="117"/>
        <v>47.287671230000001</v>
      </c>
      <c r="F3456" s="51">
        <f t="shared" si="117"/>
        <v>4.6322676400000002</v>
      </c>
      <c r="H3456" s="33"/>
      <c r="I3456" s="33"/>
      <c r="J3456" s="33"/>
      <c r="K3456" s="33"/>
      <c r="L3456" s="33"/>
      <c r="M3456" s="33"/>
      <c r="N3456" s="33"/>
      <c r="O3456" s="33"/>
      <c r="P3456" s="33"/>
      <c r="Q3456" s="33"/>
      <c r="R3456" s="33"/>
      <c r="S3456" s="33"/>
      <c r="T3456" s="33"/>
      <c r="U3456" s="33"/>
      <c r="V3456" s="33"/>
      <c r="W3456" s="33"/>
      <c r="X3456" s="33"/>
      <c r="Y3456" s="33"/>
      <c r="Z3456" s="33"/>
      <c r="AA3456" s="33"/>
      <c r="AB3456" s="33"/>
    </row>
    <row r="3457" spans="1:28" x14ac:dyDescent="0.15">
      <c r="A3457" s="46" t="s">
        <v>6965</v>
      </c>
      <c r="B3457" s="52" t="s">
        <v>7361</v>
      </c>
      <c r="C3457" s="53" t="s">
        <v>6966</v>
      </c>
      <c r="D3457" s="54" t="s">
        <v>10894</v>
      </c>
      <c r="E3457" s="50">
        <f t="shared" si="117"/>
        <v>47.301369860000001</v>
      </c>
      <c r="F3457" s="51">
        <f t="shared" si="117"/>
        <v>4.6322408099999999</v>
      </c>
      <c r="H3457" s="33"/>
      <c r="I3457" s="33"/>
      <c r="J3457" s="33"/>
      <c r="K3457" s="33"/>
      <c r="L3457" s="33"/>
      <c r="M3457" s="33"/>
      <c r="N3457" s="33"/>
      <c r="O3457" s="33"/>
      <c r="P3457" s="33"/>
      <c r="Q3457" s="33"/>
      <c r="R3457" s="33"/>
      <c r="S3457" s="33"/>
      <c r="T3457" s="33"/>
      <c r="U3457" s="33"/>
      <c r="V3457" s="33"/>
      <c r="W3457" s="33"/>
      <c r="X3457" s="33"/>
      <c r="Y3457" s="33"/>
      <c r="Z3457" s="33"/>
      <c r="AA3457" s="33"/>
      <c r="AB3457" s="33"/>
    </row>
    <row r="3458" spans="1:28" x14ac:dyDescent="0.15">
      <c r="A3458" s="46" t="s">
        <v>6967</v>
      </c>
      <c r="B3458" s="52" t="s">
        <v>7361</v>
      </c>
      <c r="C3458" s="53" t="s">
        <v>6968</v>
      </c>
      <c r="D3458" s="54" t="s">
        <v>10895</v>
      </c>
      <c r="E3458" s="50">
        <f t="shared" si="117"/>
        <v>47.315068490000002</v>
      </c>
      <c r="F3458" s="51">
        <f t="shared" si="117"/>
        <v>4.6322140000000003</v>
      </c>
      <c r="H3458" s="33"/>
      <c r="I3458" s="33"/>
      <c r="J3458" s="33"/>
      <c r="K3458" s="33"/>
      <c r="L3458" s="33"/>
      <c r="M3458" s="33"/>
      <c r="N3458" s="33"/>
      <c r="O3458" s="33"/>
      <c r="P3458" s="33"/>
      <c r="Q3458" s="33"/>
      <c r="R3458" s="33"/>
      <c r="S3458" s="33"/>
      <c r="T3458" s="33"/>
      <c r="U3458" s="33"/>
      <c r="V3458" s="33"/>
      <c r="W3458" s="33"/>
      <c r="X3458" s="33"/>
      <c r="Y3458" s="33"/>
      <c r="Z3458" s="33"/>
      <c r="AA3458" s="33"/>
      <c r="AB3458" s="33"/>
    </row>
    <row r="3459" spans="1:28" x14ac:dyDescent="0.15">
      <c r="A3459" s="46" t="s">
        <v>6969</v>
      </c>
      <c r="B3459" s="52" t="s">
        <v>7361</v>
      </c>
      <c r="C3459" s="53" t="s">
        <v>6970</v>
      </c>
      <c r="D3459" s="54" t="s">
        <v>10896</v>
      </c>
      <c r="E3459" s="50">
        <f t="shared" si="117"/>
        <v>47.328767120000002</v>
      </c>
      <c r="F3459" s="51">
        <f t="shared" si="117"/>
        <v>4.6321872099999997</v>
      </c>
      <c r="H3459" s="33"/>
      <c r="I3459" s="33"/>
      <c r="J3459" s="33"/>
      <c r="K3459" s="33"/>
      <c r="L3459" s="33"/>
      <c r="M3459" s="33"/>
      <c r="N3459" s="33"/>
      <c r="O3459" s="33"/>
      <c r="P3459" s="33"/>
      <c r="Q3459" s="33"/>
      <c r="R3459" s="33"/>
      <c r="S3459" s="33"/>
      <c r="T3459" s="33"/>
      <c r="U3459" s="33"/>
      <c r="V3459" s="33"/>
      <c r="W3459" s="33"/>
      <c r="X3459" s="33"/>
      <c r="Y3459" s="33"/>
      <c r="Z3459" s="33"/>
      <c r="AA3459" s="33"/>
      <c r="AB3459" s="33"/>
    </row>
    <row r="3460" spans="1:28" x14ac:dyDescent="0.15">
      <c r="A3460" s="46" t="s">
        <v>6971</v>
      </c>
      <c r="B3460" s="52" t="s">
        <v>7361</v>
      </c>
      <c r="C3460" s="53" t="s">
        <v>6972</v>
      </c>
      <c r="D3460" s="54" t="s">
        <v>10897</v>
      </c>
      <c r="E3460" s="50">
        <f t="shared" si="117"/>
        <v>47.342465750000002</v>
      </c>
      <c r="F3460" s="51">
        <f t="shared" si="117"/>
        <v>4.6321604199999999</v>
      </c>
      <c r="H3460" s="33"/>
      <c r="I3460" s="33"/>
      <c r="J3460" s="33"/>
      <c r="K3460" s="33"/>
      <c r="L3460" s="33"/>
      <c r="M3460" s="33"/>
      <c r="N3460" s="33"/>
      <c r="O3460" s="33"/>
      <c r="P3460" s="33"/>
      <c r="Q3460" s="33"/>
      <c r="R3460" s="33"/>
      <c r="S3460" s="33"/>
      <c r="T3460" s="33"/>
      <c r="U3460" s="33"/>
      <c r="V3460" s="33"/>
      <c r="W3460" s="33"/>
      <c r="X3460" s="33"/>
      <c r="Y3460" s="33"/>
      <c r="Z3460" s="33"/>
      <c r="AA3460" s="33"/>
      <c r="AB3460" s="33"/>
    </row>
    <row r="3461" spans="1:28" x14ac:dyDescent="0.15">
      <c r="A3461" s="46" t="s">
        <v>6973</v>
      </c>
      <c r="B3461" s="52" t="s">
        <v>7361</v>
      </c>
      <c r="C3461" s="53" t="s">
        <v>6974</v>
      </c>
      <c r="D3461" s="54" t="s">
        <v>10898</v>
      </c>
      <c r="E3461" s="50">
        <f t="shared" si="117"/>
        <v>47.356164380000003</v>
      </c>
      <c r="F3461" s="51">
        <f t="shared" si="117"/>
        <v>4.6321336200000003</v>
      </c>
      <c r="H3461" s="33"/>
      <c r="I3461" s="33"/>
      <c r="J3461" s="33"/>
      <c r="K3461" s="33"/>
      <c r="L3461" s="33"/>
      <c r="M3461" s="33"/>
      <c r="N3461" s="33"/>
      <c r="O3461" s="33"/>
      <c r="P3461" s="33"/>
      <c r="Q3461" s="33"/>
      <c r="R3461" s="33"/>
      <c r="S3461" s="33"/>
      <c r="T3461" s="33"/>
      <c r="U3461" s="33"/>
      <c r="V3461" s="33"/>
      <c r="W3461" s="33"/>
      <c r="X3461" s="33"/>
      <c r="Y3461" s="33"/>
      <c r="Z3461" s="33"/>
      <c r="AA3461" s="33"/>
      <c r="AB3461" s="33"/>
    </row>
    <row r="3462" spans="1:28" x14ac:dyDescent="0.15">
      <c r="A3462" s="46" t="s">
        <v>6975</v>
      </c>
      <c r="B3462" s="52" t="s">
        <v>7361</v>
      </c>
      <c r="C3462" s="53" t="s">
        <v>6976</v>
      </c>
      <c r="D3462" s="54" t="s">
        <v>10899</v>
      </c>
      <c r="E3462" s="50">
        <f t="shared" si="117"/>
        <v>47.369863010000003</v>
      </c>
      <c r="F3462" s="51">
        <f t="shared" si="117"/>
        <v>4.6321068099999998</v>
      </c>
      <c r="H3462" s="33"/>
      <c r="I3462" s="33"/>
      <c r="J3462" s="33"/>
      <c r="K3462" s="33"/>
      <c r="L3462" s="33"/>
      <c r="M3462" s="33"/>
      <c r="N3462" s="33"/>
      <c r="O3462" s="33"/>
      <c r="P3462" s="33"/>
      <c r="Q3462" s="33"/>
      <c r="R3462" s="33"/>
      <c r="S3462" s="33"/>
      <c r="T3462" s="33"/>
      <c r="U3462" s="33"/>
      <c r="V3462" s="33"/>
      <c r="W3462" s="33"/>
      <c r="X3462" s="33"/>
      <c r="Y3462" s="33"/>
      <c r="Z3462" s="33"/>
      <c r="AA3462" s="33"/>
      <c r="AB3462" s="33"/>
    </row>
    <row r="3463" spans="1:28" x14ac:dyDescent="0.15">
      <c r="A3463" s="46" t="s">
        <v>6977</v>
      </c>
      <c r="B3463" s="52" t="s">
        <v>7361</v>
      </c>
      <c r="C3463" s="53" t="s">
        <v>6978</v>
      </c>
      <c r="D3463" s="54" t="s">
        <v>10900</v>
      </c>
      <c r="E3463" s="50">
        <f t="shared" ref="E3463:F3493" si="118">VALUE(C3463)</f>
        <v>47.383561640000003</v>
      </c>
      <c r="F3463" s="51">
        <f t="shared" si="118"/>
        <v>4.6320799700000004</v>
      </c>
      <c r="H3463" s="33"/>
      <c r="I3463" s="33"/>
      <c r="J3463" s="33"/>
      <c r="K3463" s="33"/>
      <c r="L3463" s="33"/>
      <c r="M3463" s="33"/>
      <c r="N3463" s="33"/>
      <c r="O3463" s="33"/>
      <c r="P3463" s="33"/>
      <c r="Q3463" s="33"/>
      <c r="R3463" s="33"/>
      <c r="S3463" s="33"/>
      <c r="T3463" s="33"/>
      <c r="U3463" s="33"/>
      <c r="V3463" s="33"/>
      <c r="W3463" s="33"/>
      <c r="X3463" s="33"/>
      <c r="Y3463" s="33"/>
      <c r="Z3463" s="33"/>
      <c r="AA3463" s="33"/>
      <c r="AB3463" s="33"/>
    </row>
    <row r="3464" spans="1:28" x14ac:dyDescent="0.15">
      <c r="A3464" s="46" t="s">
        <v>6979</v>
      </c>
      <c r="B3464" s="52" t="s">
        <v>7361</v>
      </c>
      <c r="C3464" s="53" t="s">
        <v>6980</v>
      </c>
      <c r="D3464" s="54" t="s">
        <v>10901</v>
      </c>
      <c r="E3464" s="50">
        <f t="shared" si="118"/>
        <v>47.397260269999997</v>
      </c>
      <c r="F3464" s="51">
        <f t="shared" si="118"/>
        <v>4.6320531000000003</v>
      </c>
      <c r="H3464" s="33"/>
      <c r="I3464" s="33"/>
      <c r="J3464" s="33"/>
      <c r="K3464" s="33"/>
      <c r="L3464" s="33"/>
      <c r="M3464" s="33"/>
      <c r="N3464" s="33"/>
      <c r="O3464" s="33"/>
      <c r="P3464" s="33"/>
      <c r="Q3464" s="33"/>
      <c r="R3464" s="33"/>
      <c r="S3464" s="33"/>
      <c r="T3464" s="33"/>
      <c r="U3464" s="33"/>
      <c r="V3464" s="33"/>
      <c r="W3464" s="33"/>
      <c r="X3464" s="33"/>
      <c r="Y3464" s="33"/>
      <c r="Z3464" s="33"/>
      <c r="AA3464" s="33"/>
      <c r="AB3464" s="33"/>
    </row>
    <row r="3465" spans="1:28" x14ac:dyDescent="0.15">
      <c r="A3465" s="46" t="s">
        <v>6981</v>
      </c>
      <c r="B3465" s="52" t="s">
        <v>7361</v>
      </c>
      <c r="C3465" s="53" t="s">
        <v>6982</v>
      </c>
      <c r="D3465" s="54" t="s">
        <v>10902</v>
      </c>
      <c r="E3465" s="50">
        <f t="shared" si="118"/>
        <v>47.410958899999997</v>
      </c>
      <c r="F3465" s="51">
        <f t="shared" si="118"/>
        <v>4.6320261900000004</v>
      </c>
      <c r="H3465" s="33"/>
      <c r="I3465" s="33"/>
      <c r="J3465" s="33"/>
      <c r="K3465" s="33"/>
      <c r="L3465" s="33"/>
      <c r="M3465" s="33"/>
      <c r="N3465" s="33"/>
      <c r="O3465" s="33"/>
      <c r="P3465" s="33"/>
      <c r="Q3465" s="33"/>
      <c r="R3465" s="33"/>
      <c r="S3465" s="33"/>
      <c r="T3465" s="33"/>
      <c r="U3465" s="33"/>
      <c r="V3465" s="33"/>
      <c r="W3465" s="33"/>
      <c r="X3465" s="33"/>
      <c r="Y3465" s="33"/>
      <c r="Z3465" s="33"/>
      <c r="AA3465" s="33"/>
      <c r="AB3465" s="33"/>
    </row>
    <row r="3466" spans="1:28" x14ac:dyDescent="0.15">
      <c r="A3466" s="46" t="s">
        <v>6983</v>
      </c>
      <c r="B3466" s="52" t="s">
        <v>7361</v>
      </c>
      <c r="C3466" s="53" t="s">
        <v>6984</v>
      </c>
      <c r="D3466" s="54" t="s">
        <v>10903</v>
      </c>
      <c r="E3466" s="50">
        <f t="shared" si="118"/>
        <v>47.424657529999998</v>
      </c>
      <c r="F3466" s="51">
        <f t="shared" si="118"/>
        <v>4.6319992399999999</v>
      </c>
      <c r="H3466" s="33"/>
      <c r="I3466" s="33"/>
      <c r="J3466" s="33"/>
      <c r="K3466" s="33"/>
      <c r="L3466" s="33"/>
      <c r="M3466" s="33"/>
      <c r="N3466" s="33"/>
      <c r="O3466" s="33"/>
      <c r="P3466" s="33"/>
      <c r="Q3466" s="33"/>
      <c r="R3466" s="33"/>
      <c r="S3466" s="33"/>
      <c r="T3466" s="33"/>
      <c r="U3466" s="33"/>
      <c r="V3466" s="33"/>
      <c r="W3466" s="33"/>
      <c r="X3466" s="33"/>
      <c r="Y3466" s="33"/>
      <c r="Z3466" s="33"/>
      <c r="AA3466" s="33"/>
      <c r="AB3466" s="33"/>
    </row>
    <row r="3467" spans="1:28" x14ac:dyDescent="0.15">
      <c r="A3467" s="46" t="s">
        <v>6985</v>
      </c>
      <c r="B3467" s="52" t="s">
        <v>7361</v>
      </c>
      <c r="C3467" s="53" t="s">
        <v>6986</v>
      </c>
      <c r="D3467" s="54" t="s">
        <v>10904</v>
      </c>
      <c r="E3467" s="50">
        <f t="shared" si="118"/>
        <v>47.438356159999998</v>
      </c>
      <c r="F3467" s="51">
        <f t="shared" si="118"/>
        <v>4.6319722199999998</v>
      </c>
      <c r="H3467" s="33"/>
      <c r="I3467" s="33"/>
      <c r="J3467" s="33"/>
      <c r="K3467" s="33"/>
      <c r="L3467" s="33"/>
      <c r="M3467" s="33"/>
      <c r="N3467" s="33"/>
      <c r="O3467" s="33"/>
      <c r="P3467" s="33"/>
      <c r="Q3467" s="33"/>
      <c r="R3467" s="33"/>
      <c r="S3467" s="33"/>
      <c r="T3467" s="33"/>
      <c r="U3467" s="33"/>
      <c r="V3467" s="33"/>
      <c r="W3467" s="33"/>
      <c r="X3467" s="33"/>
      <c r="Y3467" s="33"/>
      <c r="Z3467" s="33"/>
      <c r="AA3467" s="33"/>
      <c r="AB3467" s="33"/>
    </row>
    <row r="3468" spans="1:28" x14ac:dyDescent="0.15">
      <c r="A3468" s="46" t="s">
        <v>6987</v>
      </c>
      <c r="B3468" s="52" t="s">
        <v>7361</v>
      </c>
      <c r="C3468" s="53" t="s">
        <v>6988</v>
      </c>
      <c r="D3468" s="54" t="s">
        <v>10905</v>
      </c>
      <c r="E3468" s="50">
        <f t="shared" si="118"/>
        <v>47.452054789999998</v>
      </c>
      <c r="F3468" s="51">
        <f t="shared" si="118"/>
        <v>4.63194514</v>
      </c>
      <c r="H3468" s="33"/>
      <c r="I3468" s="33"/>
      <c r="J3468" s="33"/>
      <c r="K3468" s="33"/>
      <c r="L3468" s="33"/>
      <c r="M3468" s="33"/>
      <c r="N3468" s="33"/>
      <c r="O3468" s="33"/>
      <c r="P3468" s="33"/>
      <c r="Q3468" s="33"/>
      <c r="R3468" s="33"/>
      <c r="S3468" s="33"/>
      <c r="T3468" s="33"/>
      <c r="U3468" s="33"/>
      <c r="V3468" s="33"/>
      <c r="W3468" s="33"/>
      <c r="X3468" s="33"/>
      <c r="Y3468" s="33"/>
      <c r="Z3468" s="33"/>
      <c r="AA3468" s="33"/>
      <c r="AB3468" s="33"/>
    </row>
    <row r="3469" spans="1:28" x14ac:dyDescent="0.15">
      <c r="A3469" s="46" t="s">
        <v>6989</v>
      </c>
      <c r="B3469" s="52" t="s">
        <v>7361</v>
      </c>
      <c r="C3469" s="53" t="s">
        <v>6990</v>
      </c>
      <c r="D3469" s="54" t="s">
        <v>10906</v>
      </c>
      <c r="E3469" s="50">
        <f t="shared" si="118"/>
        <v>47.465753419999999</v>
      </c>
      <c r="F3469" s="51">
        <f t="shared" si="118"/>
        <v>4.6319179799999999</v>
      </c>
      <c r="H3469" s="33"/>
      <c r="I3469" s="33"/>
      <c r="J3469" s="33"/>
      <c r="K3469" s="33"/>
      <c r="L3469" s="33"/>
      <c r="M3469" s="33"/>
      <c r="N3469" s="33"/>
      <c r="O3469" s="33"/>
      <c r="P3469" s="33"/>
      <c r="Q3469" s="33"/>
      <c r="R3469" s="33"/>
      <c r="S3469" s="33"/>
      <c r="T3469" s="33"/>
      <c r="U3469" s="33"/>
      <c r="V3469" s="33"/>
      <c r="W3469" s="33"/>
      <c r="X3469" s="33"/>
      <c r="Y3469" s="33"/>
      <c r="Z3469" s="33"/>
      <c r="AA3469" s="33"/>
      <c r="AB3469" s="33"/>
    </row>
    <row r="3470" spans="1:28" x14ac:dyDescent="0.15">
      <c r="A3470" s="46" t="s">
        <v>6991</v>
      </c>
      <c r="B3470" s="52" t="s">
        <v>7361</v>
      </c>
      <c r="C3470" s="53" t="s">
        <v>6992</v>
      </c>
      <c r="D3470" s="54" t="s">
        <v>10907</v>
      </c>
      <c r="E3470" s="50">
        <f t="shared" si="118"/>
        <v>47.479452049999999</v>
      </c>
      <c r="F3470" s="51">
        <f t="shared" si="118"/>
        <v>4.6318907300000003</v>
      </c>
      <c r="H3470" s="33"/>
      <c r="I3470" s="33"/>
      <c r="J3470" s="33"/>
      <c r="K3470" s="33"/>
      <c r="L3470" s="33"/>
      <c r="M3470" s="33"/>
      <c r="N3470" s="33"/>
      <c r="O3470" s="33"/>
      <c r="P3470" s="33"/>
      <c r="Q3470" s="33"/>
      <c r="R3470" s="33"/>
      <c r="S3470" s="33"/>
      <c r="T3470" s="33"/>
      <c r="U3470" s="33"/>
      <c r="V3470" s="33"/>
      <c r="W3470" s="33"/>
      <c r="X3470" s="33"/>
      <c r="Y3470" s="33"/>
      <c r="Z3470" s="33"/>
      <c r="AA3470" s="33"/>
      <c r="AB3470" s="33"/>
    </row>
    <row r="3471" spans="1:28" x14ac:dyDescent="0.15">
      <c r="A3471" s="46" t="s">
        <v>6993</v>
      </c>
      <c r="B3471" s="52" t="s">
        <v>7361</v>
      </c>
      <c r="C3471" s="53" t="s">
        <v>6994</v>
      </c>
      <c r="D3471" s="54" t="s">
        <v>10908</v>
      </c>
      <c r="E3471" s="50">
        <f t="shared" si="118"/>
        <v>47.493150679999999</v>
      </c>
      <c r="F3471" s="51">
        <f t="shared" si="118"/>
        <v>4.6318634000000003</v>
      </c>
      <c r="H3471" s="33"/>
      <c r="I3471" s="33"/>
      <c r="J3471" s="33"/>
      <c r="K3471" s="33"/>
      <c r="L3471" s="33"/>
      <c r="M3471" s="33"/>
      <c r="N3471" s="33"/>
      <c r="O3471" s="33"/>
      <c r="P3471" s="33"/>
      <c r="Q3471" s="33"/>
      <c r="R3471" s="33"/>
      <c r="S3471" s="33"/>
      <c r="T3471" s="33"/>
      <c r="U3471" s="33"/>
      <c r="V3471" s="33"/>
      <c r="W3471" s="33"/>
      <c r="X3471" s="33"/>
      <c r="Y3471" s="33"/>
      <c r="Z3471" s="33"/>
      <c r="AA3471" s="33"/>
      <c r="AB3471" s="33"/>
    </row>
    <row r="3472" spans="1:28" x14ac:dyDescent="0.15">
      <c r="A3472" s="46" t="s">
        <v>6995</v>
      </c>
      <c r="B3472" s="52" t="s">
        <v>7361</v>
      </c>
      <c r="C3472" s="53" t="s">
        <v>6996</v>
      </c>
      <c r="D3472" s="54" t="s">
        <v>10909</v>
      </c>
      <c r="E3472" s="50">
        <f t="shared" si="118"/>
        <v>47.506849320000001</v>
      </c>
      <c r="F3472" s="51">
        <f t="shared" si="118"/>
        <v>4.6318360199999997</v>
      </c>
      <c r="H3472" s="33"/>
      <c r="I3472" s="33"/>
      <c r="J3472" s="33"/>
      <c r="K3472" s="33"/>
      <c r="L3472" s="33"/>
      <c r="M3472" s="33"/>
      <c r="N3472" s="33"/>
      <c r="O3472" s="33"/>
      <c r="P3472" s="33"/>
      <c r="Q3472" s="33"/>
      <c r="R3472" s="33"/>
      <c r="S3472" s="33"/>
      <c r="T3472" s="33"/>
      <c r="U3472" s="33"/>
      <c r="V3472" s="33"/>
      <c r="W3472" s="33"/>
      <c r="X3472" s="33"/>
      <c r="Y3472" s="33"/>
      <c r="Z3472" s="33"/>
      <c r="AA3472" s="33"/>
      <c r="AB3472" s="33"/>
    </row>
    <row r="3473" spans="1:28" x14ac:dyDescent="0.15">
      <c r="A3473" s="46" t="s">
        <v>6997</v>
      </c>
      <c r="B3473" s="52" t="s">
        <v>7361</v>
      </c>
      <c r="C3473" s="53" t="s">
        <v>6998</v>
      </c>
      <c r="D3473" s="54" t="s">
        <v>10910</v>
      </c>
      <c r="E3473" s="50">
        <f t="shared" si="118"/>
        <v>47.520547950000001</v>
      </c>
      <c r="F3473" s="51">
        <f t="shared" si="118"/>
        <v>4.63180894</v>
      </c>
      <c r="H3473" s="33"/>
      <c r="I3473" s="33"/>
      <c r="J3473" s="33"/>
      <c r="K3473" s="33"/>
      <c r="L3473" s="33"/>
      <c r="M3473" s="33"/>
      <c r="N3473" s="33"/>
      <c r="O3473" s="33"/>
      <c r="P3473" s="33"/>
      <c r="Q3473" s="33"/>
      <c r="R3473" s="33"/>
      <c r="S3473" s="33"/>
      <c r="T3473" s="33"/>
      <c r="U3473" s="33"/>
      <c r="V3473" s="33"/>
      <c r="W3473" s="33"/>
      <c r="X3473" s="33"/>
      <c r="Y3473" s="33"/>
      <c r="Z3473" s="33"/>
      <c r="AA3473" s="33"/>
      <c r="AB3473" s="33"/>
    </row>
    <row r="3474" spans="1:28" x14ac:dyDescent="0.15">
      <c r="A3474" s="46" t="s">
        <v>6999</v>
      </c>
      <c r="B3474" s="52" t="s">
        <v>7361</v>
      </c>
      <c r="C3474" s="53" t="s">
        <v>7000</v>
      </c>
      <c r="D3474" s="54" t="s">
        <v>10911</v>
      </c>
      <c r="E3474" s="50">
        <f t="shared" si="118"/>
        <v>47.534246580000001</v>
      </c>
      <c r="F3474" s="51">
        <f t="shared" si="118"/>
        <v>4.6317822099999999</v>
      </c>
      <c r="H3474" s="33"/>
      <c r="I3474" s="33"/>
      <c r="J3474" s="33"/>
      <c r="K3474" s="33"/>
      <c r="L3474" s="33"/>
      <c r="M3474" s="33"/>
      <c r="N3474" s="33"/>
      <c r="O3474" s="33"/>
      <c r="P3474" s="33"/>
      <c r="Q3474" s="33"/>
      <c r="R3474" s="33"/>
      <c r="S3474" s="33"/>
      <c r="T3474" s="33"/>
      <c r="U3474" s="33"/>
      <c r="V3474" s="33"/>
      <c r="W3474" s="33"/>
      <c r="X3474" s="33"/>
      <c r="Y3474" s="33"/>
      <c r="Z3474" s="33"/>
      <c r="AA3474" s="33"/>
      <c r="AB3474" s="33"/>
    </row>
    <row r="3475" spans="1:28" x14ac:dyDescent="0.15">
      <c r="A3475" s="46" t="s">
        <v>7001</v>
      </c>
      <c r="B3475" s="52" t="s">
        <v>7361</v>
      </c>
      <c r="C3475" s="53" t="s">
        <v>7002</v>
      </c>
      <c r="D3475" s="54" t="s">
        <v>10912</v>
      </c>
      <c r="E3475" s="50">
        <f t="shared" si="118"/>
        <v>47.547945210000002</v>
      </c>
      <c r="F3475" s="51">
        <f t="shared" si="118"/>
        <v>4.6317558200000004</v>
      </c>
      <c r="H3475" s="33"/>
      <c r="I3475" s="33"/>
      <c r="J3475" s="33"/>
      <c r="K3475" s="33"/>
      <c r="L3475" s="33"/>
      <c r="M3475" s="33"/>
      <c r="N3475" s="33"/>
      <c r="O3475" s="33"/>
      <c r="P3475" s="33"/>
      <c r="Q3475" s="33"/>
      <c r="R3475" s="33"/>
      <c r="S3475" s="33"/>
      <c r="T3475" s="33"/>
      <c r="U3475" s="33"/>
      <c r="V3475" s="33"/>
      <c r="W3475" s="33"/>
      <c r="X3475" s="33"/>
      <c r="Y3475" s="33"/>
      <c r="Z3475" s="33"/>
      <c r="AA3475" s="33"/>
      <c r="AB3475" s="33"/>
    </row>
    <row r="3476" spans="1:28" x14ac:dyDescent="0.15">
      <c r="A3476" s="46" t="s">
        <v>7003</v>
      </c>
      <c r="B3476" s="52" t="s">
        <v>7361</v>
      </c>
      <c r="C3476" s="53" t="s">
        <v>7004</v>
      </c>
      <c r="D3476" s="54" t="s">
        <v>10913</v>
      </c>
      <c r="E3476" s="50">
        <f t="shared" si="118"/>
        <v>47.561643840000002</v>
      </c>
      <c r="F3476" s="51">
        <f t="shared" si="118"/>
        <v>4.6317297399999999</v>
      </c>
      <c r="H3476" s="33"/>
      <c r="I3476" s="33"/>
      <c r="J3476" s="33"/>
      <c r="K3476" s="33"/>
      <c r="L3476" s="33"/>
      <c r="M3476" s="33"/>
      <c r="N3476" s="33"/>
      <c r="O3476" s="33"/>
      <c r="P3476" s="33"/>
      <c r="Q3476" s="33"/>
      <c r="R3476" s="33"/>
      <c r="S3476" s="33"/>
      <c r="T3476" s="33"/>
      <c r="U3476" s="33"/>
      <c r="V3476" s="33"/>
      <c r="W3476" s="33"/>
      <c r="X3476" s="33"/>
      <c r="Y3476" s="33"/>
      <c r="Z3476" s="33"/>
      <c r="AA3476" s="33"/>
      <c r="AB3476" s="33"/>
    </row>
    <row r="3477" spans="1:28" x14ac:dyDescent="0.15">
      <c r="A3477" s="46" t="s">
        <v>7005</v>
      </c>
      <c r="B3477" s="52" t="s">
        <v>7361</v>
      </c>
      <c r="C3477" s="53" t="s">
        <v>7006</v>
      </c>
      <c r="D3477" s="54" t="s">
        <v>10914</v>
      </c>
      <c r="E3477" s="50">
        <f t="shared" si="118"/>
        <v>47.575342470000002</v>
      </c>
      <c r="F3477" s="51">
        <f t="shared" si="118"/>
        <v>4.6317039600000003</v>
      </c>
      <c r="H3477" s="33"/>
      <c r="I3477" s="33"/>
      <c r="J3477" s="33"/>
      <c r="K3477" s="33"/>
      <c r="L3477" s="33"/>
      <c r="M3477" s="33"/>
      <c r="N3477" s="33"/>
      <c r="O3477" s="33"/>
      <c r="P3477" s="33"/>
      <c r="Q3477" s="33"/>
      <c r="R3477" s="33"/>
      <c r="S3477" s="33"/>
      <c r="T3477" s="33"/>
      <c r="U3477" s="33"/>
      <c r="V3477" s="33"/>
      <c r="W3477" s="33"/>
      <c r="X3477" s="33"/>
      <c r="Y3477" s="33"/>
      <c r="Z3477" s="33"/>
      <c r="AA3477" s="33"/>
      <c r="AB3477" s="33"/>
    </row>
    <row r="3478" spans="1:28" x14ac:dyDescent="0.15">
      <c r="A3478" s="46" t="s">
        <v>7007</v>
      </c>
      <c r="B3478" s="52" t="s">
        <v>7361</v>
      </c>
      <c r="C3478" s="53" t="s">
        <v>7008</v>
      </c>
      <c r="D3478" s="54" t="s">
        <v>10915</v>
      </c>
      <c r="E3478" s="50">
        <f t="shared" si="118"/>
        <v>47.589041100000003</v>
      </c>
      <c r="F3478" s="51">
        <f t="shared" si="118"/>
        <v>4.6316784699999998</v>
      </c>
      <c r="H3478" s="33"/>
      <c r="I3478" s="33"/>
      <c r="J3478" s="33"/>
      <c r="K3478" s="33"/>
      <c r="L3478" s="33"/>
      <c r="M3478" s="33"/>
      <c r="N3478" s="33"/>
      <c r="O3478" s="33"/>
      <c r="P3478" s="33"/>
      <c r="Q3478" s="33"/>
      <c r="R3478" s="33"/>
      <c r="S3478" s="33"/>
      <c r="T3478" s="33"/>
      <c r="U3478" s="33"/>
      <c r="V3478" s="33"/>
      <c r="W3478" s="33"/>
      <c r="X3478" s="33"/>
      <c r="Y3478" s="33"/>
      <c r="Z3478" s="33"/>
      <c r="AA3478" s="33"/>
      <c r="AB3478" s="33"/>
    </row>
    <row r="3479" spans="1:28" x14ac:dyDescent="0.15">
      <c r="A3479" s="46" t="s">
        <v>7009</v>
      </c>
      <c r="B3479" s="52" t="s">
        <v>7361</v>
      </c>
      <c r="C3479" s="53" t="s">
        <v>7010</v>
      </c>
      <c r="D3479" s="54" t="s">
        <v>10916</v>
      </c>
      <c r="E3479" s="50">
        <f t="shared" si="118"/>
        <v>47.602739730000003</v>
      </c>
      <c r="F3479" s="51">
        <f t="shared" si="118"/>
        <v>4.6316532500000003</v>
      </c>
      <c r="H3479" s="33"/>
      <c r="I3479" s="33"/>
      <c r="J3479" s="33"/>
      <c r="K3479" s="33"/>
      <c r="L3479" s="33"/>
      <c r="M3479" s="33"/>
      <c r="N3479" s="33"/>
      <c r="O3479" s="33"/>
      <c r="P3479" s="33"/>
      <c r="Q3479" s="33"/>
      <c r="R3479" s="33"/>
      <c r="S3479" s="33"/>
      <c r="T3479" s="33"/>
      <c r="U3479" s="33"/>
      <c r="V3479" s="33"/>
      <c r="W3479" s="33"/>
      <c r="X3479" s="33"/>
      <c r="Y3479" s="33"/>
      <c r="Z3479" s="33"/>
      <c r="AA3479" s="33"/>
      <c r="AB3479" s="33"/>
    </row>
    <row r="3480" spans="1:28" x14ac:dyDescent="0.15">
      <c r="A3480" s="46" t="s">
        <v>7011</v>
      </c>
      <c r="B3480" s="52" t="s">
        <v>7361</v>
      </c>
      <c r="C3480" s="53" t="s">
        <v>7012</v>
      </c>
      <c r="D3480" s="54" t="s">
        <v>10917</v>
      </c>
      <c r="E3480" s="50">
        <f t="shared" si="118"/>
        <v>47.616438359999997</v>
      </c>
      <c r="F3480" s="51">
        <f t="shared" si="118"/>
        <v>4.6316282900000001</v>
      </c>
      <c r="H3480" s="33"/>
      <c r="I3480" s="33"/>
      <c r="J3480" s="33"/>
      <c r="K3480" s="33"/>
      <c r="L3480" s="33"/>
      <c r="M3480" s="33"/>
      <c r="N3480" s="33"/>
      <c r="O3480" s="33"/>
      <c r="P3480" s="33"/>
      <c r="Q3480" s="33"/>
      <c r="R3480" s="33"/>
      <c r="S3480" s="33"/>
      <c r="T3480" s="33"/>
      <c r="U3480" s="33"/>
      <c r="V3480" s="33"/>
      <c r="W3480" s="33"/>
      <c r="X3480" s="33"/>
      <c r="Y3480" s="33"/>
      <c r="Z3480" s="33"/>
      <c r="AA3480" s="33"/>
      <c r="AB3480" s="33"/>
    </row>
    <row r="3481" spans="1:28" x14ac:dyDescent="0.15">
      <c r="A3481" s="46" t="s">
        <v>7013</v>
      </c>
      <c r="B3481" s="52" t="s">
        <v>7361</v>
      </c>
      <c r="C3481" s="53" t="s">
        <v>7014</v>
      </c>
      <c r="D3481" s="54" t="s">
        <v>10918</v>
      </c>
      <c r="E3481" s="50">
        <f t="shared" si="118"/>
        <v>47.630136989999997</v>
      </c>
      <c r="F3481" s="51">
        <f t="shared" si="118"/>
        <v>4.6316035700000002</v>
      </c>
      <c r="H3481" s="33"/>
      <c r="I3481" s="33"/>
      <c r="J3481" s="33"/>
      <c r="K3481" s="33"/>
      <c r="L3481" s="33"/>
      <c r="M3481" s="33"/>
      <c r="N3481" s="33"/>
      <c r="O3481" s="33"/>
      <c r="P3481" s="33"/>
      <c r="Q3481" s="33"/>
      <c r="R3481" s="33"/>
      <c r="S3481" s="33"/>
      <c r="T3481" s="33"/>
      <c r="U3481" s="33"/>
      <c r="V3481" s="33"/>
      <c r="W3481" s="33"/>
      <c r="X3481" s="33"/>
      <c r="Y3481" s="33"/>
      <c r="Z3481" s="33"/>
      <c r="AA3481" s="33"/>
      <c r="AB3481" s="33"/>
    </row>
    <row r="3482" spans="1:28" x14ac:dyDescent="0.15">
      <c r="A3482" s="46" t="s">
        <v>7015</v>
      </c>
      <c r="B3482" s="52" t="s">
        <v>7361</v>
      </c>
      <c r="C3482" s="53" t="s">
        <v>7016</v>
      </c>
      <c r="D3482" s="54" t="s">
        <v>10919</v>
      </c>
      <c r="E3482" s="50">
        <f t="shared" si="118"/>
        <v>47.643835619999997</v>
      </c>
      <c r="F3482" s="51">
        <f t="shared" si="118"/>
        <v>4.6315790699999999</v>
      </c>
      <c r="H3482" s="33"/>
      <c r="I3482" s="33"/>
      <c r="J3482" s="33"/>
      <c r="K3482" s="33"/>
      <c r="L3482" s="33"/>
      <c r="M3482" s="33"/>
      <c r="N3482" s="33"/>
      <c r="O3482" s="33"/>
      <c r="P3482" s="33"/>
      <c r="Q3482" s="33"/>
      <c r="R3482" s="33"/>
      <c r="S3482" s="33"/>
      <c r="T3482" s="33"/>
      <c r="U3482" s="33"/>
      <c r="V3482" s="33"/>
      <c r="W3482" s="33"/>
      <c r="X3482" s="33"/>
      <c r="Y3482" s="33"/>
      <c r="Z3482" s="33"/>
      <c r="AA3482" s="33"/>
      <c r="AB3482" s="33"/>
    </row>
    <row r="3483" spans="1:28" x14ac:dyDescent="0.15">
      <c r="A3483" s="46" t="s">
        <v>7017</v>
      </c>
      <c r="B3483" s="52" t="s">
        <v>7361</v>
      </c>
      <c r="C3483" s="53" t="s">
        <v>7018</v>
      </c>
      <c r="D3483" s="54" t="s">
        <v>10920</v>
      </c>
      <c r="E3483" s="50">
        <f t="shared" si="118"/>
        <v>47.657534249999998</v>
      </c>
      <c r="F3483" s="51">
        <f t="shared" si="118"/>
        <v>4.6315547800000001</v>
      </c>
      <c r="H3483" s="33"/>
      <c r="I3483" s="33"/>
      <c r="J3483" s="33"/>
      <c r="K3483" s="33"/>
      <c r="L3483" s="33"/>
      <c r="M3483" s="33"/>
      <c r="N3483" s="33"/>
      <c r="O3483" s="33"/>
      <c r="P3483" s="33"/>
      <c r="Q3483" s="33"/>
      <c r="R3483" s="33"/>
      <c r="S3483" s="33"/>
      <c r="T3483" s="33"/>
      <c r="U3483" s="33"/>
      <c r="V3483" s="33"/>
      <c r="W3483" s="33"/>
      <c r="X3483" s="33"/>
      <c r="Y3483" s="33"/>
      <c r="Z3483" s="33"/>
      <c r="AA3483" s="33"/>
      <c r="AB3483" s="33"/>
    </row>
    <row r="3484" spans="1:28" x14ac:dyDescent="0.15">
      <c r="A3484" s="46" t="s">
        <v>7019</v>
      </c>
      <c r="B3484" s="52" t="s">
        <v>7361</v>
      </c>
      <c r="C3484" s="53" t="s">
        <v>7020</v>
      </c>
      <c r="D3484" s="54" t="s">
        <v>10921</v>
      </c>
      <c r="E3484" s="50">
        <f t="shared" si="118"/>
        <v>47.671232879999998</v>
      </c>
      <c r="F3484" s="51">
        <f t="shared" si="118"/>
        <v>4.63153069</v>
      </c>
      <c r="H3484" s="33"/>
      <c r="I3484" s="33"/>
      <c r="J3484" s="33"/>
      <c r="K3484" s="33"/>
      <c r="L3484" s="33"/>
      <c r="M3484" s="33"/>
      <c r="N3484" s="33"/>
      <c r="O3484" s="33"/>
      <c r="P3484" s="33"/>
      <c r="Q3484" s="33"/>
      <c r="R3484" s="33"/>
      <c r="S3484" s="33"/>
      <c r="T3484" s="33"/>
      <c r="U3484" s="33"/>
      <c r="V3484" s="33"/>
      <c r="W3484" s="33"/>
      <c r="X3484" s="33"/>
      <c r="Y3484" s="33"/>
      <c r="Z3484" s="33"/>
      <c r="AA3484" s="33"/>
      <c r="AB3484" s="33"/>
    </row>
    <row r="3485" spans="1:28" x14ac:dyDescent="0.15">
      <c r="A3485" s="46" t="s">
        <v>7021</v>
      </c>
      <c r="B3485" s="52" t="s">
        <v>7361</v>
      </c>
      <c r="C3485" s="53" t="s">
        <v>7022</v>
      </c>
      <c r="D3485" s="54" t="s">
        <v>10922</v>
      </c>
      <c r="E3485" s="50">
        <f t="shared" si="118"/>
        <v>47.684931509999998</v>
      </c>
      <c r="F3485" s="51">
        <f t="shared" si="118"/>
        <v>4.6315067900000004</v>
      </c>
      <c r="H3485" s="33"/>
      <c r="I3485" s="33"/>
      <c r="J3485" s="33"/>
      <c r="K3485" s="33"/>
      <c r="L3485" s="33"/>
      <c r="M3485" s="33"/>
      <c r="N3485" s="33"/>
      <c r="O3485" s="33"/>
      <c r="P3485" s="33"/>
      <c r="Q3485" s="33"/>
      <c r="R3485" s="33"/>
      <c r="S3485" s="33"/>
      <c r="T3485" s="33"/>
      <c r="U3485" s="33"/>
      <c r="V3485" s="33"/>
      <c r="W3485" s="33"/>
      <c r="X3485" s="33"/>
      <c r="Y3485" s="33"/>
      <c r="Z3485" s="33"/>
      <c r="AA3485" s="33"/>
      <c r="AB3485" s="33"/>
    </row>
    <row r="3486" spans="1:28" x14ac:dyDescent="0.15">
      <c r="A3486" s="46" t="s">
        <v>7023</v>
      </c>
      <c r="B3486" s="52" t="s">
        <v>7361</v>
      </c>
      <c r="C3486" s="53" t="s">
        <v>7024</v>
      </c>
      <c r="D3486" s="54" t="s">
        <v>10923</v>
      </c>
      <c r="E3486" s="50">
        <f t="shared" si="118"/>
        <v>47.698630139999999</v>
      </c>
      <c r="F3486" s="51">
        <f t="shared" si="118"/>
        <v>4.63148304</v>
      </c>
      <c r="H3486" s="33"/>
      <c r="I3486" s="33"/>
      <c r="J3486" s="33"/>
      <c r="K3486" s="33"/>
      <c r="L3486" s="33"/>
      <c r="M3486" s="33"/>
      <c r="N3486" s="33"/>
      <c r="O3486" s="33"/>
      <c r="P3486" s="33"/>
      <c r="Q3486" s="33"/>
      <c r="R3486" s="33"/>
      <c r="S3486" s="33"/>
      <c r="T3486" s="33"/>
      <c r="U3486" s="33"/>
      <c r="V3486" s="33"/>
      <c r="W3486" s="33"/>
      <c r="X3486" s="33"/>
      <c r="Y3486" s="33"/>
      <c r="Z3486" s="33"/>
      <c r="AA3486" s="33"/>
      <c r="AB3486" s="33"/>
    </row>
    <row r="3487" spans="1:28" x14ac:dyDescent="0.15">
      <c r="A3487" s="46" t="s">
        <v>7025</v>
      </c>
      <c r="B3487" s="52" t="s">
        <v>7361</v>
      </c>
      <c r="C3487" s="53" t="s">
        <v>7026</v>
      </c>
      <c r="D3487" s="54" t="s">
        <v>10924</v>
      </c>
      <c r="E3487" s="50">
        <f t="shared" si="118"/>
        <v>47.712328769999999</v>
      </c>
      <c r="F3487" s="51">
        <f t="shared" si="118"/>
        <v>4.6314594500000004</v>
      </c>
      <c r="H3487" s="33"/>
      <c r="I3487" s="33"/>
      <c r="J3487" s="33"/>
      <c r="K3487" s="33"/>
      <c r="L3487" s="33"/>
      <c r="M3487" s="33"/>
      <c r="N3487" s="33"/>
      <c r="O3487" s="33"/>
      <c r="P3487" s="33"/>
      <c r="Q3487" s="33"/>
      <c r="R3487" s="33"/>
      <c r="S3487" s="33"/>
      <c r="T3487" s="33"/>
      <c r="U3487" s="33"/>
      <c r="V3487" s="33"/>
      <c r="W3487" s="33"/>
      <c r="X3487" s="33"/>
      <c r="Y3487" s="33"/>
      <c r="Z3487" s="33"/>
      <c r="AA3487" s="33"/>
      <c r="AB3487" s="33"/>
    </row>
    <row r="3488" spans="1:28" x14ac:dyDescent="0.15">
      <c r="A3488" s="46" t="s">
        <v>7027</v>
      </c>
      <c r="B3488" s="52" t="s">
        <v>7361</v>
      </c>
      <c r="C3488" s="53" t="s">
        <v>7028</v>
      </c>
      <c r="D3488" s="54" t="s">
        <v>10925</v>
      </c>
      <c r="E3488" s="50">
        <f t="shared" si="118"/>
        <v>47.7260274</v>
      </c>
      <c r="F3488" s="51">
        <f t="shared" si="118"/>
        <v>4.6314359899999999</v>
      </c>
      <c r="H3488" s="33"/>
      <c r="I3488" s="33"/>
      <c r="J3488" s="33"/>
      <c r="K3488" s="33"/>
      <c r="L3488" s="33"/>
      <c r="M3488" s="33"/>
      <c r="N3488" s="33"/>
      <c r="O3488" s="33"/>
      <c r="P3488" s="33"/>
      <c r="Q3488" s="33"/>
      <c r="R3488" s="33"/>
      <c r="S3488" s="33"/>
      <c r="T3488" s="33"/>
      <c r="U3488" s="33"/>
      <c r="V3488" s="33"/>
      <c r="W3488" s="33"/>
      <c r="X3488" s="33"/>
      <c r="Y3488" s="33"/>
      <c r="Z3488" s="33"/>
      <c r="AA3488" s="33"/>
      <c r="AB3488" s="33"/>
    </row>
    <row r="3489" spans="1:28" x14ac:dyDescent="0.15">
      <c r="A3489" s="46" t="s">
        <v>7029</v>
      </c>
      <c r="B3489" s="52" t="s">
        <v>7361</v>
      </c>
      <c r="C3489" s="53" t="s">
        <v>7030</v>
      </c>
      <c r="D3489" s="54" t="s">
        <v>10926</v>
      </c>
      <c r="E3489" s="50">
        <f t="shared" si="118"/>
        <v>47.73972603</v>
      </c>
      <c r="F3489" s="51">
        <f t="shared" si="118"/>
        <v>4.6314126399999997</v>
      </c>
      <c r="H3489" s="33"/>
      <c r="I3489" s="33"/>
      <c r="J3489" s="33"/>
      <c r="K3489" s="33"/>
      <c r="L3489" s="33"/>
      <c r="M3489" s="33"/>
      <c r="N3489" s="33"/>
      <c r="O3489" s="33"/>
      <c r="P3489" s="33"/>
      <c r="Q3489" s="33"/>
      <c r="R3489" s="33"/>
      <c r="S3489" s="33"/>
      <c r="T3489" s="33"/>
      <c r="U3489" s="33"/>
      <c r="V3489" s="33"/>
      <c r="W3489" s="33"/>
      <c r="X3489" s="33"/>
      <c r="Y3489" s="33"/>
      <c r="Z3489" s="33"/>
      <c r="AA3489" s="33"/>
      <c r="AB3489" s="33"/>
    </row>
    <row r="3490" spans="1:28" x14ac:dyDescent="0.15">
      <c r="A3490" s="46" t="s">
        <v>7031</v>
      </c>
      <c r="B3490" s="52" t="s">
        <v>7361</v>
      </c>
      <c r="C3490" s="53" t="s">
        <v>7032</v>
      </c>
      <c r="D3490" s="54" t="s">
        <v>10927</v>
      </c>
      <c r="E3490" s="50">
        <f t="shared" si="118"/>
        <v>47.75342466</v>
      </c>
      <c r="F3490" s="51">
        <f t="shared" si="118"/>
        <v>4.6313894099999997</v>
      </c>
      <c r="H3490" s="33"/>
      <c r="I3490" s="33"/>
      <c r="J3490" s="33"/>
      <c r="K3490" s="33"/>
      <c r="L3490" s="33"/>
      <c r="M3490" s="33"/>
      <c r="N3490" s="33"/>
      <c r="O3490" s="33"/>
      <c r="P3490" s="33"/>
      <c r="Q3490" s="33"/>
      <c r="R3490" s="33"/>
      <c r="S3490" s="33"/>
      <c r="T3490" s="33"/>
      <c r="U3490" s="33"/>
      <c r="V3490" s="33"/>
      <c r="W3490" s="33"/>
      <c r="X3490" s="33"/>
      <c r="Y3490" s="33"/>
      <c r="Z3490" s="33"/>
      <c r="AA3490" s="33"/>
      <c r="AB3490" s="33"/>
    </row>
    <row r="3491" spans="1:28" x14ac:dyDescent="0.15">
      <c r="A3491" s="46" t="s">
        <v>7033</v>
      </c>
      <c r="B3491" s="52" t="s">
        <v>7361</v>
      </c>
      <c r="C3491" s="53" t="s">
        <v>7034</v>
      </c>
      <c r="D3491" s="54" t="s">
        <v>10928</v>
      </c>
      <c r="E3491" s="50">
        <f t="shared" si="118"/>
        <v>47.767123290000001</v>
      </c>
      <c r="F3491" s="51">
        <f t="shared" si="118"/>
        <v>4.6313662600000001</v>
      </c>
      <c r="H3491" s="33"/>
      <c r="I3491" s="33"/>
      <c r="J3491" s="33"/>
      <c r="K3491" s="33"/>
      <c r="L3491" s="33"/>
      <c r="M3491" s="33"/>
      <c r="N3491" s="33"/>
      <c r="O3491" s="33"/>
      <c r="P3491" s="33"/>
      <c r="Q3491" s="33"/>
      <c r="R3491" s="33"/>
      <c r="S3491" s="33"/>
      <c r="T3491" s="33"/>
      <c r="U3491" s="33"/>
      <c r="V3491" s="33"/>
      <c r="W3491" s="33"/>
      <c r="X3491" s="33"/>
      <c r="Y3491" s="33"/>
      <c r="Z3491" s="33"/>
      <c r="AA3491" s="33"/>
      <c r="AB3491" s="33"/>
    </row>
    <row r="3492" spans="1:28" x14ac:dyDescent="0.15">
      <c r="A3492" s="46" t="s">
        <v>7035</v>
      </c>
      <c r="B3492" s="52" t="s">
        <v>7361</v>
      </c>
      <c r="C3492" s="53" t="s">
        <v>7036</v>
      </c>
      <c r="D3492" s="54" t="s">
        <v>10929</v>
      </c>
      <c r="E3492" s="50">
        <f t="shared" si="118"/>
        <v>47.780821920000001</v>
      </c>
      <c r="F3492" s="51">
        <f t="shared" si="118"/>
        <v>4.63134318</v>
      </c>
      <c r="H3492" s="33"/>
      <c r="I3492" s="33"/>
      <c r="J3492" s="33"/>
      <c r="K3492" s="33"/>
      <c r="L3492" s="33"/>
      <c r="M3492" s="33"/>
      <c r="N3492" s="33"/>
      <c r="O3492" s="33"/>
      <c r="P3492" s="33"/>
      <c r="Q3492" s="33"/>
      <c r="R3492" s="33"/>
      <c r="S3492" s="33"/>
      <c r="T3492" s="33"/>
      <c r="U3492" s="33"/>
      <c r="V3492" s="33"/>
      <c r="W3492" s="33"/>
      <c r="X3492" s="33"/>
      <c r="Y3492" s="33"/>
      <c r="Z3492" s="33"/>
      <c r="AA3492" s="33"/>
      <c r="AB3492" s="33"/>
    </row>
    <row r="3493" spans="1:28" x14ac:dyDescent="0.15">
      <c r="A3493" s="46" t="s">
        <v>7037</v>
      </c>
      <c r="B3493" s="52" t="s">
        <v>7361</v>
      </c>
      <c r="C3493" s="53" t="s">
        <v>7038</v>
      </c>
      <c r="D3493" s="54" t="s">
        <v>10930</v>
      </c>
      <c r="E3493" s="50">
        <f t="shared" si="118"/>
        <v>47.794520550000001</v>
      </c>
      <c r="F3493" s="51">
        <f t="shared" si="118"/>
        <v>4.6313201700000004</v>
      </c>
      <c r="H3493" s="33"/>
      <c r="I3493" s="33"/>
      <c r="J3493" s="33"/>
      <c r="K3493" s="33"/>
      <c r="L3493" s="33"/>
      <c r="M3493" s="33"/>
      <c r="N3493" s="33"/>
      <c r="O3493" s="33"/>
      <c r="P3493" s="33"/>
      <c r="Q3493" s="33"/>
      <c r="R3493" s="33"/>
      <c r="S3493" s="33"/>
      <c r="T3493" s="33"/>
      <c r="U3493" s="33"/>
      <c r="V3493" s="33"/>
      <c r="W3493" s="33"/>
      <c r="X3493" s="33"/>
      <c r="Y3493" s="33"/>
      <c r="Z3493" s="33"/>
      <c r="AA3493" s="33"/>
      <c r="AB3493" s="33"/>
    </row>
    <row r="3494" spans="1:28" x14ac:dyDescent="0.15">
      <c r="A3494" s="46" t="s">
        <v>7039</v>
      </c>
      <c r="B3494" s="52" t="s">
        <v>7361</v>
      </c>
      <c r="C3494" s="53" t="s">
        <v>7040</v>
      </c>
      <c r="D3494" s="54" t="s">
        <v>10931</v>
      </c>
      <c r="E3494" s="50">
        <f t="shared" ref="E3494:F3509" si="119">VALUE(C3494)</f>
        <v>47.808219180000002</v>
      </c>
      <c r="F3494" s="51">
        <f t="shared" si="119"/>
        <v>4.6312971899999997</v>
      </c>
      <c r="H3494" s="33"/>
      <c r="I3494" s="33"/>
      <c r="J3494" s="33"/>
      <c r="K3494" s="33"/>
      <c r="L3494" s="33"/>
      <c r="M3494" s="33"/>
      <c r="N3494" s="33"/>
      <c r="O3494" s="33"/>
      <c r="P3494" s="33"/>
      <c r="Q3494" s="33"/>
      <c r="R3494" s="33"/>
      <c r="S3494" s="33"/>
      <c r="T3494" s="33"/>
      <c r="U3494" s="33"/>
      <c r="V3494" s="33"/>
      <c r="W3494" s="33"/>
      <c r="X3494" s="33"/>
      <c r="Y3494" s="33"/>
      <c r="Z3494" s="33"/>
      <c r="AA3494" s="33"/>
      <c r="AB3494" s="33"/>
    </row>
    <row r="3495" spans="1:28" x14ac:dyDescent="0.15">
      <c r="A3495" s="46" t="s">
        <v>7041</v>
      </c>
      <c r="B3495" s="52" t="s">
        <v>7361</v>
      </c>
      <c r="C3495" s="53" t="s">
        <v>7042</v>
      </c>
      <c r="D3495" s="54" t="s">
        <v>10932</v>
      </c>
      <c r="E3495" s="50">
        <f t="shared" si="119"/>
        <v>47.821917810000002</v>
      </c>
      <c r="F3495" s="51">
        <f t="shared" si="119"/>
        <v>4.6312742499999997</v>
      </c>
      <c r="H3495" s="33"/>
      <c r="I3495" s="33"/>
      <c r="J3495" s="33"/>
      <c r="K3495" s="33"/>
      <c r="L3495" s="33"/>
      <c r="M3495" s="33"/>
      <c r="N3495" s="33"/>
      <c r="O3495" s="33"/>
      <c r="P3495" s="33"/>
      <c r="Q3495" s="33"/>
      <c r="R3495" s="33"/>
      <c r="S3495" s="33"/>
      <c r="T3495" s="33"/>
      <c r="U3495" s="33"/>
      <c r="V3495" s="33"/>
      <c r="W3495" s="33"/>
      <c r="X3495" s="33"/>
      <c r="Y3495" s="33"/>
      <c r="Z3495" s="33"/>
      <c r="AA3495" s="33"/>
      <c r="AB3495" s="33"/>
    </row>
    <row r="3496" spans="1:28" x14ac:dyDescent="0.15">
      <c r="A3496" s="46" t="s">
        <v>7043</v>
      </c>
      <c r="B3496" s="52" t="s">
        <v>7361</v>
      </c>
      <c r="C3496" s="53" t="s">
        <v>7044</v>
      </c>
      <c r="D3496" s="54" t="s">
        <v>10933</v>
      </c>
      <c r="E3496" s="50">
        <f t="shared" si="119"/>
        <v>47.835616440000003</v>
      </c>
      <c r="F3496" s="51">
        <f t="shared" si="119"/>
        <v>4.6312513199999996</v>
      </c>
      <c r="H3496" s="33"/>
      <c r="I3496" s="33"/>
      <c r="J3496" s="33"/>
      <c r="K3496" s="33"/>
      <c r="L3496" s="33"/>
      <c r="M3496" s="33"/>
      <c r="N3496" s="33"/>
      <c r="O3496" s="33"/>
      <c r="P3496" s="33"/>
      <c r="Q3496" s="33"/>
      <c r="R3496" s="33"/>
      <c r="S3496" s="33"/>
      <c r="T3496" s="33"/>
      <c r="U3496" s="33"/>
      <c r="V3496" s="33"/>
      <c r="W3496" s="33"/>
      <c r="X3496" s="33"/>
      <c r="Y3496" s="33"/>
      <c r="Z3496" s="33"/>
      <c r="AA3496" s="33"/>
      <c r="AB3496" s="33"/>
    </row>
    <row r="3497" spans="1:28" x14ac:dyDescent="0.15">
      <c r="A3497" s="46" t="s">
        <v>7045</v>
      </c>
      <c r="B3497" s="52" t="s">
        <v>7361</v>
      </c>
      <c r="C3497" s="53" t="s">
        <v>7046</v>
      </c>
      <c r="D3497" s="54" t="s">
        <v>10934</v>
      </c>
      <c r="E3497" s="50">
        <f t="shared" si="119"/>
        <v>47.849315070000003</v>
      </c>
      <c r="F3497" s="51">
        <f t="shared" si="119"/>
        <v>4.6312283799999996</v>
      </c>
      <c r="H3497" s="33"/>
      <c r="I3497" s="33"/>
      <c r="J3497" s="33"/>
      <c r="K3497" s="33"/>
      <c r="L3497" s="33"/>
      <c r="M3497" s="33"/>
      <c r="N3497" s="33"/>
      <c r="O3497" s="33"/>
      <c r="P3497" s="33"/>
      <c r="Q3497" s="33"/>
      <c r="R3497" s="33"/>
      <c r="S3497" s="33"/>
      <c r="T3497" s="33"/>
      <c r="U3497" s="33"/>
      <c r="V3497" s="33"/>
      <c r="W3497" s="33"/>
      <c r="X3497" s="33"/>
      <c r="Y3497" s="33"/>
      <c r="Z3497" s="33"/>
      <c r="AA3497" s="33"/>
      <c r="AB3497" s="33"/>
    </row>
    <row r="3498" spans="1:28" x14ac:dyDescent="0.15">
      <c r="A3498" s="46" t="s">
        <v>7047</v>
      </c>
      <c r="B3498" s="52" t="s">
        <v>7361</v>
      </c>
      <c r="C3498" s="53" t="s">
        <v>7048</v>
      </c>
      <c r="D3498" s="54" t="s">
        <v>10935</v>
      </c>
      <c r="E3498" s="50">
        <f t="shared" si="119"/>
        <v>47.863013700000003</v>
      </c>
      <c r="F3498" s="51">
        <f t="shared" si="119"/>
        <v>4.6312054299999996</v>
      </c>
      <c r="H3498" s="33"/>
      <c r="I3498" s="33"/>
      <c r="J3498" s="33"/>
      <c r="K3498" s="33"/>
      <c r="L3498" s="33"/>
      <c r="M3498" s="33"/>
      <c r="N3498" s="33"/>
      <c r="O3498" s="33"/>
      <c r="P3498" s="33"/>
      <c r="Q3498" s="33"/>
      <c r="R3498" s="33"/>
      <c r="S3498" s="33"/>
      <c r="T3498" s="33"/>
      <c r="U3498" s="33"/>
      <c r="V3498" s="33"/>
      <c r="W3498" s="33"/>
      <c r="X3498" s="33"/>
      <c r="Y3498" s="33"/>
      <c r="Z3498" s="33"/>
      <c r="AA3498" s="33"/>
      <c r="AB3498" s="33"/>
    </row>
    <row r="3499" spans="1:28" x14ac:dyDescent="0.15">
      <c r="A3499" s="46" t="s">
        <v>7049</v>
      </c>
      <c r="B3499" s="52" t="s">
        <v>7361</v>
      </c>
      <c r="C3499" s="53" t="s">
        <v>7050</v>
      </c>
      <c r="D3499" s="54" t="s">
        <v>10936</v>
      </c>
      <c r="E3499" s="50">
        <f t="shared" si="119"/>
        <v>47.876712329999997</v>
      </c>
      <c r="F3499" s="51">
        <f t="shared" si="119"/>
        <v>4.6311824399999999</v>
      </c>
      <c r="H3499" s="33"/>
      <c r="I3499" s="33"/>
      <c r="J3499" s="33"/>
      <c r="K3499" s="33"/>
      <c r="L3499" s="33"/>
      <c r="M3499" s="33"/>
      <c r="N3499" s="33"/>
      <c r="O3499" s="33"/>
      <c r="P3499" s="33"/>
      <c r="Q3499" s="33"/>
      <c r="R3499" s="33"/>
      <c r="S3499" s="33"/>
      <c r="T3499" s="33"/>
      <c r="U3499" s="33"/>
      <c r="V3499" s="33"/>
      <c r="W3499" s="33"/>
      <c r="X3499" s="33"/>
      <c r="Y3499" s="33"/>
      <c r="Z3499" s="33"/>
      <c r="AA3499" s="33"/>
      <c r="AB3499" s="33"/>
    </row>
    <row r="3500" spans="1:28" x14ac:dyDescent="0.15">
      <c r="A3500" s="46" t="s">
        <v>7051</v>
      </c>
      <c r="B3500" s="52" t="s">
        <v>7361</v>
      </c>
      <c r="C3500" s="53" t="s">
        <v>7052</v>
      </c>
      <c r="D3500" s="54" t="s">
        <v>10937</v>
      </c>
      <c r="E3500" s="50">
        <f t="shared" si="119"/>
        <v>47.890410959999997</v>
      </c>
      <c r="F3500" s="51">
        <f t="shared" si="119"/>
        <v>4.6311594100000004</v>
      </c>
      <c r="H3500" s="33"/>
      <c r="I3500" s="33"/>
      <c r="J3500" s="33"/>
      <c r="K3500" s="33"/>
      <c r="L3500" s="33"/>
      <c r="M3500" s="33"/>
      <c r="N3500" s="33"/>
      <c r="O3500" s="33"/>
      <c r="P3500" s="33"/>
      <c r="Q3500" s="33"/>
      <c r="R3500" s="33"/>
      <c r="S3500" s="33"/>
      <c r="T3500" s="33"/>
      <c r="U3500" s="33"/>
      <c r="V3500" s="33"/>
      <c r="W3500" s="33"/>
      <c r="X3500" s="33"/>
      <c r="Y3500" s="33"/>
      <c r="Z3500" s="33"/>
      <c r="AA3500" s="33"/>
      <c r="AB3500" s="33"/>
    </row>
    <row r="3501" spans="1:28" x14ac:dyDescent="0.15">
      <c r="A3501" s="46" t="s">
        <v>7053</v>
      </c>
      <c r="B3501" s="52" t="s">
        <v>7361</v>
      </c>
      <c r="C3501" s="53" t="s">
        <v>7054</v>
      </c>
      <c r="D3501" s="54" t="s">
        <v>10938</v>
      </c>
      <c r="E3501" s="50">
        <f t="shared" si="119"/>
        <v>47.904109589999997</v>
      </c>
      <c r="F3501" s="51">
        <f t="shared" si="119"/>
        <v>4.6311363099999996</v>
      </c>
      <c r="H3501" s="33"/>
      <c r="I3501" s="33"/>
      <c r="J3501" s="33"/>
      <c r="K3501" s="33"/>
      <c r="L3501" s="33"/>
      <c r="M3501" s="33"/>
      <c r="N3501" s="33"/>
      <c r="O3501" s="33"/>
      <c r="P3501" s="33"/>
      <c r="Q3501" s="33"/>
      <c r="R3501" s="33"/>
      <c r="S3501" s="33"/>
      <c r="T3501" s="33"/>
      <c r="U3501" s="33"/>
      <c r="V3501" s="33"/>
      <c r="W3501" s="33"/>
      <c r="X3501" s="33"/>
      <c r="Y3501" s="33"/>
      <c r="Z3501" s="33"/>
      <c r="AA3501" s="33"/>
      <c r="AB3501" s="33"/>
    </row>
    <row r="3502" spans="1:28" x14ac:dyDescent="0.15">
      <c r="A3502" s="46" t="s">
        <v>7055</v>
      </c>
      <c r="B3502" s="52" t="s">
        <v>7361</v>
      </c>
      <c r="C3502" s="53" t="s">
        <v>7056</v>
      </c>
      <c r="D3502" s="54" t="s">
        <v>10939</v>
      </c>
      <c r="E3502" s="50">
        <f t="shared" si="119"/>
        <v>47.917808219999998</v>
      </c>
      <c r="F3502" s="51">
        <f t="shared" si="119"/>
        <v>4.6311131300000001</v>
      </c>
      <c r="H3502" s="33"/>
      <c r="I3502" s="33"/>
      <c r="J3502" s="33"/>
      <c r="K3502" s="33"/>
      <c r="L3502" s="33"/>
      <c r="M3502" s="33"/>
      <c r="N3502" s="33"/>
      <c r="O3502" s="33"/>
      <c r="P3502" s="33"/>
      <c r="Q3502" s="33"/>
      <c r="R3502" s="33"/>
      <c r="S3502" s="33"/>
      <c r="T3502" s="33"/>
      <c r="U3502" s="33"/>
      <c r="V3502" s="33"/>
      <c r="W3502" s="33"/>
      <c r="X3502" s="33"/>
      <c r="Y3502" s="33"/>
      <c r="Z3502" s="33"/>
      <c r="AA3502" s="33"/>
      <c r="AB3502" s="33"/>
    </row>
    <row r="3503" spans="1:28" x14ac:dyDescent="0.15">
      <c r="A3503" s="46" t="s">
        <v>7057</v>
      </c>
      <c r="B3503" s="52" t="s">
        <v>7361</v>
      </c>
      <c r="C3503" s="53" t="s">
        <v>7058</v>
      </c>
      <c r="D3503" s="54" t="s">
        <v>10940</v>
      </c>
      <c r="E3503" s="50">
        <f t="shared" si="119"/>
        <v>47.931506849999998</v>
      </c>
      <c r="F3503" s="51">
        <f t="shared" si="119"/>
        <v>4.6310898600000003</v>
      </c>
      <c r="H3503" s="33"/>
      <c r="I3503" s="33"/>
      <c r="J3503" s="33"/>
      <c r="K3503" s="33"/>
      <c r="L3503" s="33"/>
      <c r="M3503" s="33"/>
      <c r="N3503" s="33"/>
      <c r="O3503" s="33"/>
      <c r="P3503" s="33"/>
      <c r="Q3503" s="33"/>
      <c r="R3503" s="33"/>
      <c r="S3503" s="33"/>
      <c r="T3503" s="33"/>
      <c r="U3503" s="33"/>
      <c r="V3503" s="33"/>
      <c r="W3503" s="33"/>
      <c r="X3503" s="33"/>
      <c r="Y3503" s="33"/>
      <c r="Z3503" s="33"/>
      <c r="AA3503" s="33"/>
      <c r="AB3503" s="33"/>
    </row>
    <row r="3504" spans="1:28" x14ac:dyDescent="0.15">
      <c r="A3504" s="46" t="s">
        <v>7059</v>
      </c>
      <c r="B3504" s="52" t="s">
        <v>7361</v>
      </c>
      <c r="C3504" s="53" t="s">
        <v>7060</v>
      </c>
      <c r="D3504" s="54" t="s">
        <v>10941</v>
      </c>
      <c r="E3504" s="50">
        <f t="shared" si="119"/>
        <v>47.945205479999998</v>
      </c>
      <c r="F3504" s="51">
        <f t="shared" si="119"/>
        <v>4.6310664800000003</v>
      </c>
      <c r="H3504" s="33"/>
      <c r="I3504" s="33"/>
      <c r="J3504" s="33"/>
      <c r="K3504" s="33"/>
      <c r="L3504" s="33"/>
      <c r="M3504" s="33"/>
      <c r="N3504" s="33"/>
      <c r="O3504" s="33"/>
      <c r="P3504" s="33"/>
      <c r="Q3504" s="33"/>
      <c r="R3504" s="33"/>
      <c r="S3504" s="33"/>
      <c r="T3504" s="33"/>
      <c r="U3504" s="33"/>
      <c r="V3504" s="33"/>
      <c r="W3504" s="33"/>
      <c r="X3504" s="33"/>
      <c r="Y3504" s="33"/>
      <c r="Z3504" s="33"/>
      <c r="AA3504" s="33"/>
      <c r="AB3504" s="33"/>
    </row>
    <row r="3505" spans="1:28" x14ac:dyDescent="0.15">
      <c r="A3505" s="46" t="s">
        <v>7061</v>
      </c>
      <c r="B3505" s="52" t="s">
        <v>7361</v>
      </c>
      <c r="C3505" s="53" t="s">
        <v>7062</v>
      </c>
      <c r="D3505" s="54" t="s">
        <v>10942</v>
      </c>
      <c r="E3505" s="50">
        <f t="shared" si="119"/>
        <v>47.958904109999999</v>
      </c>
      <c r="F3505" s="51">
        <f t="shared" si="119"/>
        <v>4.6310429800000001</v>
      </c>
      <c r="H3505" s="33"/>
      <c r="I3505" s="33"/>
      <c r="J3505" s="33"/>
      <c r="K3505" s="33"/>
      <c r="L3505" s="33"/>
      <c r="M3505" s="33"/>
      <c r="N3505" s="33"/>
      <c r="O3505" s="33"/>
      <c r="P3505" s="33"/>
      <c r="Q3505" s="33"/>
      <c r="R3505" s="33"/>
      <c r="S3505" s="33"/>
      <c r="T3505" s="33"/>
      <c r="U3505" s="33"/>
      <c r="V3505" s="33"/>
      <c r="W3505" s="33"/>
      <c r="X3505" s="33"/>
      <c r="Y3505" s="33"/>
      <c r="Z3505" s="33"/>
      <c r="AA3505" s="33"/>
      <c r="AB3505" s="33"/>
    </row>
    <row r="3506" spans="1:28" x14ac:dyDescent="0.15">
      <c r="A3506" s="46" t="s">
        <v>7063</v>
      </c>
      <c r="B3506" s="52" t="s">
        <v>7361</v>
      </c>
      <c r="C3506" s="53" t="s">
        <v>7064</v>
      </c>
      <c r="D3506" s="54" t="s">
        <v>10943</v>
      </c>
      <c r="E3506" s="50">
        <f t="shared" si="119"/>
        <v>47.972602739999999</v>
      </c>
      <c r="F3506" s="51">
        <f t="shared" si="119"/>
        <v>4.6310193399999999</v>
      </c>
      <c r="H3506" s="33"/>
      <c r="I3506" s="33"/>
      <c r="J3506" s="33"/>
      <c r="K3506" s="33"/>
      <c r="L3506" s="33"/>
      <c r="M3506" s="33"/>
      <c r="N3506" s="33"/>
      <c r="O3506" s="33"/>
      <c r="P3506" s="33"/>
      <c r="Q3506" s="33"/>
      <c r="R3506" s="33"/>
      <c r="S3506" s="33"/>
      <c r="T3506" s="33"/>
      <c r="U3506" s="33"/>
      <c r="V3506" s="33"/>
      <c r="W3506" s="33"/>
      <c r="X3506" s="33"/>
      <c r="Y3506" s="33"/>
      <c r="Z3506" s="33"/>
      <c r="AA3506" s="33"/>
      <c r="AB3506" s="33"/>
    </row>
    <row r="3507" spans="1:28" x14ac:dyDescent="0.15">
      <c r="A3507" s="46" t="s">
        <v>7065</v>
      </c>
      <c r="B3507" s="52" t="s">
        <v>7361</v>
      </c>
      <c r="C3507" s="53" t="s">
        <v>7066</v>
      </c>
      <c r="D3507" s="54" t="s">
        <v>10944</v>
      </c>
      <c r="E3507" s="50">
        <f t="shared" si="119"/>
        <v>47.98630137</v>
      </c>
      <c r="F3507" s="51">
        <f t="shared" si="119"/>
        <v>4.6309955399999998</v>
      </c>
      <c r="H3507" s="33"/>
      <c r="I3507" s="33"/>
      <c r="J3507" s="33"/>
      <c r="K3507" s="33"/>
      <c r="L3507" s="33"/>
      <c r="M3507" s="33"/>
      <c r="N3507" s="33"/>
      <c r="O3507" s="33"/>
      <c r="P3507" s="33"/>
      <c r="Q3507" s="33"/>
      <c r="R3507" s="33"/>
      <c r="S3507" s="33"/>
      <c r="T3507" s="33"/>
      <c r="U3507" s="33"/>
      <c r="V3507" s="33"/>
      <c r="W3507" s="33"/>
      <c r="X3507" s="33"/>
      <c r="Y3507" s="33"/>
      <c r="Z3507" s="33"/>
      <c r="AA3507" s="33"/>
      <c r="AB3507" s="33"/>
    </row>
    <row r="3508" spans="1:28" x14ac:dyDescent="0.15">
      <c r="A3508" s="46" t="s">
        <v>7067</v>
      </c>
      <c r="B3508" s="52" t="s">
        <v>7361</v>
      </c>
      <c r="C3508" s="53" t="s">
        <v>7068</v>
      </c>
      <c r="D3508" s="54" t="s">
        <v>10945</v>
      </c>
      <c r="E3508" s="50">
        <f t="shared" si="119"/>
        <v>48</v>
      </c>
      <c r="F3508" s="51">
        <f t="shared" si="119"/>
        <v>4.6309715699999998</v>
      </c>
      <c r="H3508" s="33"/>
      <c r="I3508" s="33"/>
      <c r="J3508" s="33"/>
      <c r="K3508" s="33"/>
      <c r="L3508" s="33"/>
      <c r="M3508" s="33"/>
      <c r="N3508" s="33"/>
      <c r="O3508" s="33"/>
      <c r="P3508" s="33"/>
      <c r="Q3508" s="33"/>
      <c r="R3508" s="33"/>
      <c r="S3508" s="33"/>
      <c r="T3508" s="33"/>
      <c r="U3508" s="33"/>
      <c r="V3508" s="33"/>
      <c r="W3508" s="33"/>
      <c r="X3508" s="33"/>
      <c r="Y3508" s="33"/>
      <c r="Z3508" s="33"/>
      <c r="AA3508" s="33"/>
      <c r="AB3508" s="33"/>
    </row>
    <row r="3509" spans="1:28" x14ac:dyDescent="0.15">
      <c r="A3509" s="46" t="s">
        <v>7069</v>
      </c>
      <c r="B3509" s="52" t="s">
        <v>7361</v>
      </c>
      <c r="C3509" s="53" t="s">
        <v>7070</v>
      </c>
      <c r="D3509" s="54" t="s">
        <v>10946</v>
      </c>
      <c r="E3509" s="50">
        <f t="shared" si="119"/>
        <v>48.01369863</v>
      </c>
      <c r="F3509" s="51">
        <f t="shared" si="119"/>
        <v>4.6309477799999996</v>
      </c>
      <c r="H3509" s="33"/>
      <c r="I3509" s="33"/>
      <c r="J3509" s="33"/>
      <c r="K3509" s="33"/>
      <c r="L3509" s="33"/>
      <c r="M3509" s="33"/>
      <c r="N3509" s="33"/>
      <c r="O3509" s="33"/>
      <c r="P3509" s="33"/>
      <c r="Q3509" s="33"/>
      <c r="R3509" s="33"/>
      <c r="S3509" s="33"/>
      <c r="T3509" s="33"/>
      <c r="U3509" s="33"/>
      <c r="V3509" s="33"/>
      <c r="W3509" s="33"/>
      <c r="X3509" s="33"/>
      <c r="Y3509" s="33"/>
      <c r="Z3509" s="33"/>
      <c r="AA3509" s="33"/>
      <c r="AB3509" s="33"/>
    </row>
    <row r="3510" spans="1:28" x14ac:dyDescent="0.15">
      <c r="A3510" s="46" t="s">
        <v>7071</v>
      </c>
      <c r="B3510" s="52" t="s">
        <v>7361</v>
      </c>
      <c r="C3510" s="53" t="s">
        <v>7072</v>
      </c>
      <c r="D3510" s="54" t="s">
        <v>10947</v>
      </c>
      <c r="E3510" s="50">
        <f t="shared" ref="E3510:F3539" si="120">VALUE(C3510)</f>
        <v>48.027397260000001</v>
      </c>
      <c r="F3510" s="51">
        <f t="shared" si="120"/>
        <v>4.6309244899999999</v>
      </c>
      <c r="H3510" s="33"/>
      <c r="I3510" s="33"/>
      <c r="J3510" s="33"/>
      <c r="K3510" s="33"/>
      <c r="L3510" s="33"/>
      <c r="M3510" s="33"/>
      <c r="N3510" s="33"/>
      <c r="O3510" s="33"/>
      <c r="P3510" s="33"/>
      <c r="Q3510" s="33"/>
      <c r="R3510" s="33"/>
      <c r="S3510" s="33"/>
      <c r="T3510" s="33"/>
      <c r="U3510" s="33"/>
      <c r="V3510" s="33"/>
      <c r="W3510" s="33"/>
      <c r="X3510" s="33"/>
      <c r="Y3510" s="33"/>
      <c r="Z3510" s="33"/>
      <c r="AA3510" s="33"/>
      <c r="AB3510" s="33"/>
    </row>
    <row r="3511" spans="1:28" x14ac:dyDescent="0.15">
      <c r="A3511" s="46" t="s">
        <v>7073</v>
      </c>
      <c r="B3511" s="52" t="s">
        <v>7361</v>
      </c>
      <c r="C3511" s="53" t="s">
        <v>7074</v>
      </c>
      <c r="D3511" s="54" t="s">
        <v>10948</v>
      </c>
      <c r="E3511" s="50">
        <f t="shared" si="120"/>
        <v>48.041095890000001</v>
      </c>
      <c r="F3511" s="51">
        <f t="shared" si="120"/>
        <v>4.6309016999999999</v>
      </c>
      <c r="H3511" s="33"/>
      <c r="I3511" s="33"/>
      <c r="J3511" s="33"/>
      <c r="K3511" s="33"/>
      <c r="L3511" s="33"/>
      <c r="M3511" s="33"/>
      <c r="N3511" s="33"/>
      <c r="O3511" s="33"/>
      <c r="P3511" s="33"/>
      <c r="Q3511" s="33"/>
      <c r="R3511" s="33"/>
      <c r="S3511" s="33"/>
      <c r="T3511" s="33"/>
      <c r="U3511" s="33"/>
      <c r="V3511" s="33"/>
      <c r="W3511" s="33"/>
      <c r="X3511" s="33"/>
      <c r="Y3511" s="33"/>
      <c r="Z3511" s="33"/>
      <c r="AA3511" s="33"/>
      <c r="AB3511" s="33"/>
    </row>
    <row r="3512" spans="1:28" x14ac:dyDescent="0.15">
      <c r="A3512" s="46" t="s">
        <v>7075</v>
      </c>
      <c r="B3512" s="52" t="s">
        <v>7361</v>
      </c>
      <c r="C3512" s="53" t="s">
        <v>7076</v>
      </c>
      <c r="D3512" s="54" t="s">
        <v>10949</v>
      </c>
      <c r="E3512" s="50">
        <f t="shared" si="120"/>
        <v>48.054794520000002</v>
      </c>
      <c r="F3512" s="51">
        <f t="shared" si="120"/>
        <v>4.6308793799999997</v>
      </c>
      <c r="H3512" s="33"/>
      <c r="I3512" s="33"/>
      <c r="J3512" s="33"/>
      <c r="K3512" s="33"/>
      <c r="L3512" s="33"/>
      <c r="M3512" s="33"/>
      <c r="N3512" s="33"/>
      <c r="O3512" s="33"/>
      <c r="P3512" s="33"/>
      <c r="Q3512" s="33"/>
      <c r="R3512" s="33"/>
      <c r="S3512" s="33"/>
      <c r="T3512" s="33"/>
      <c r="U3512" s="33"/>
      <c r="V3512" s="33"/>
      <c r="W3512" s="33"/>
      <c r="X3512" s="33"/>
      <c r="Y3512" s="33"/>
      <c r="Z3512" s="33"/>
      <c r="AA3512" s="33"/>
      <c r="AB3512" s="33"/>
    </row>
    <row r="3513" spans="1:28" x14ac:dyDescent="0.15">
      <c r="A3513" s="46" t="s">
        <v>7077</v>
      </c>
      <c r="B3513" s="52" t="s">
        <v>7361</v>
      </c>
      <c r="C3513" s="53" t="s">
        <v>7078</v>
      </c>
      <c r="D3513" s="54" t="s">
        <v>10950</v>
      </c>
      <c r="E3513" s="50">
        <f t="shared" si="120"/>
        <v>48.068493150000002</v>
      </c>
      <c r="F3513" s="51">
        <f t="shared" si="120"/>
        <v>4.6308575000000003</v>
      </c>
      <c r="H3513" s="33"/>
      <c r="I3513" s="33"/>
      <c r="J3513" s="33"/>
      <c r="K3513" s="33"/>
      <c r="L3513" s="33"/>
      <c r="M3513" s="33"/>
      <c r="N3513" s="33"/>
      <c r="O3513" s="33"/>
      <c r="P3513" s="33"/>
      <c r="Q3513" s="33"/>
      <c r="R3513" s="33"/>
      <c r="S3513" s="33"/>
      <c r="T3513" s="33"/>
      <c r="U3513" s="33"/>
      <c r="V3513" s="33"/>
      <c r="W3513" s="33"/>
      <c r="X3513" s="33"/>
      <c r="Y3513" s="33"/>
      <c r="Z3513" s="33"/>
      <c r="AA3513" s="33"/>
      <c r="AB3513" s="33"/>
    </row>
    <row r="3514" spans="1:28" x14ac:dyDescent="0.15">
      <c r="A3514" s="46" t="s">
        <v>7079</v>
      </c>
      <c r="B3514" s="52" t="s">
        <v>7361</v>
      </c>
      <c r="C3514" s="53" t="s">
        <v>7080</v>
      </c>
      <c r="D3514" s="54" t="s">
        <v>10951</v>
      </c>
      <c r="E3514" s="50">
        <f t="shared" si="120"/>
        <v>48.082191780000002</v>
      </c>
      <c r="F3514" s="51">
        <f t="shared" si="120"/>
        <v>4.6308360500000001</v>
      </c>
      <c r="H3514" s="33"/>
      <c r="I3514" s="33"/>
      <c r="J3514" s="33"/>
      <c r="K3514" s="33"/>
      <c r="L3514" s="33"/>
      <c r="M3514" s="33"/>
      <c r="N3514" s="33"/>
      <c r="O3514" s="33"/>
      <c r="P3514" s="33"/>
      <c r="Q3514" s="33"/>
      <c r="R3514" s="33"/>
      <c r="S3514" s="33"/>
      <c r="T3514" s="33"/>
      <c r="U3514" s="33"/>
      <c r="V3514" s="33"/>
      <c r="W3514" s="33"/>
      <c r="X3514" s="33"/>
      <c r="Y3514" s="33"/>
      <c r="Z3514" s="33"/>
      <c r="AA3514" s="33"/>
      <c r="AB3514" s="33"/>
    </row>
    <row r="3515" spans="1:28" x14ac:dyDescent="0.15">
      <c r="A3515" s="46" t="s">
        <v>7081</v>
      </c>
      <c r="B3515" s="52" t="s">
        <v>7361</v>
      </c>
      <c r="C3515" s="53" t="s">
        <v>7082</v>
      </c>
      <c r="D3515" s="54" t="s">
        <v>10952</v>
      </c>
      <c r="E3515" s="50">
        <f t="shared" si="120"/>
        <v>48.095890410000003</v>
      </c>
      <c r="F3515" s="51">
        <f t="shared" si="120"/>
        <v>4.6308150000000001</v>
      </c>
      <c r="H3515" s="33"/>
      <c r="I3515" s="33"/>
      <c r="J3515" s="33"/>
      <c r="K3515" s="33"/>
      <c r="L3515" s="33"/>
      <c r="M3515" s="33"/>
      <c r="N3515" s="33"/>
      <c r="O3515" s="33"/>
      <c r="P3515" s="33"/>
      <c r="Q3515" s="33"/>
      <c r="R3515" s="33"/>
      <c r="S3515" s="33"/>
      <c r="T3515" s="33"/>
      <c r="U3515" s="33"/>
      <c r="V3515" s="33"/>
      <c r="W3515" s="33"/>
      <c r="X3515" s="33"/>
      <c r="Y3515" s="33"/>
      <c r="Z3515" s="33"/>
      <c r="AA3515" s="33"/>
      <c r="AB3515" s="33"/>
    </row>
    <row r="3516" spans="1:28" x14ac:dyDescent="0.15">
      <c r="A3516" s="46" t="s">
        <v>7083</v>
      </c>
      <c r="B3516" s="52" t="s">
        <v>7361</v>
      </c>
      <c r="C3516" s="53" t="s">
        <v>7084</v>
      </c>
      <c r="D3516" s="54" t="s">
        <v>10953</v>
      </c>
      <c r="E3516" s="50">
        <f t="shared" si="120"/>
        <v>48.109589040000003</v>
      </c>
      <c r="F3516" s="51">
        <f t="shared" si="120"/>
        <v>4.6307943299999996</v>
      </c>
      <c r="H3516" s="33"/>
      <c r="I3516" s="33"/>
      <c r="J3516" s="33"/>
      <c r="K3516" s="33"/>
      <c r="L3516" s="33"/>
      <c r="M3516" s="33"/>
      <c r="N3516" s="33"/>
      <c r="O3516" s="33"/>
      <c r="P3516" s="33"/>
      <c r="Q3516" s="33"/>
      <c r="R3516" s="33"/>
      <c r="S3516" s="33"/>
      <c r="T3516" s="33"/>
      <c r="U3516" s="33"/>
      <c r="V3516" s="33"/>
      <c r="W3516" s="33"/>
      <c r="X3516" s="33"/>
      <c r="Y3516" s="33"/>
      <c r="Z3516" s="33"/>
      <c r="AA3516" s="33"/>
      <c r="AB3516" s="33"/>
    </row>
    <row r="3517" spans="1:28" x14ac:dyDescent="0.15">
      <c r="A3517" s="46" t="s">
        <v>7085</v>
      </c>
      <c r="B3517" s="52" t="s">
        <v>7361</v>
      </c>
      <c r="C3517" s="53" t="s">
        <v>7086</v>
      </c>
      <c r="D3517" s="54" t="s">
        <v>10954</v>
      </c>
      <c r="E3517" s="50">
        <f t="shared" si="120"/>
        <v>48.123287670000003</v>
      </c>
      <c r="F3517" s="51">
        <f t="shared" si="120"/>
        <v>4.6307740199999996</v>
      </c>
      <c r="H3517" s="33"/>
      <c r="I3517" s="33"/>
      <c r="J3517" s="33"/>
      <c r="K3517" s="33"/>
      <c r="L3517" s="33"/>
      <c r="M3517" s="33"/>
      <c r="N3517" s="33"/>
      <c r="O3517" s="33"/>
      <c r="P3517" s="33"/>
      <c r="Q3517" s="33"/>
      <c r="R3517" s="33"/>
      <c r="S3517" s="33"/>
      <c r="T3517" s="33"/>
      <c r="U3517" s="33"/>
      <c r="V3517" s="33"/>
      <c r="W3517" s="33"/>
      <c r="X3517" s="33"/>
      <c r="Y3517" s="33"/>
      <c r="Z3517" s="33"/>
      <c r="AA3517" s="33"/>
      <c r="AB3517" s="33"/>
    </row>
    <row r="3518" spans="1:28" x14ac:dyDescent="0.15">
      <c r="A3518" s="46" t="s">
        <v>7087</v>
      </c>
      <c r="B3518" s="52" t="s">
        <v>7361</v>
      </c>
      <c r="C3518" s="53" t="s">
        <v>7088</v>
      </c>
      <c r="D3518" s="54" t="s">
        <v>10955</v>
      </c>
      <c r="E3518" s="50">
        <f t="shared" si="120"/>
        <v>48.136986299999997</v>
      </c>
      <c r="F3518" s="51">
        <f t="shared" si="120"/>
        <v>4.6307540500000002</v>
      </c>
      <c r="H3518" s="33"/>
      <c r="I3518" s="33"/>
      <c r="J3518" s="33"/>
      <c r="K3518" s="33"/>
      <c r="L3518" s="33"/>
      <c r="M3518" s="33"/>
      <c r="N3518" s="33"/>
      <c r="O3518" s="33"/>
      <c r="P3518" s="33"/>
      <c r="Q3518" s="33"/>
      <c r="R3518" s="33"/>
      <c r="S3518" s="33"/>
      <c r="T3518" s="33"/>
      <c r="U3518" s="33"/>
      <c r="V3518" s="33"/>
      <c r="W3518" s="33"/>
      <c r="X3518" s="33"/>
      <c r="Y3518" s="33"/>
      <c r="Z3518" s="33"/>
      <c r="AA3518" s="33"/>
      <c r="AB3518" s="33"/>
    </row>
    <row r="3519" spans="1:28" x14ac:dyDescent="0.15">
      <c r="A3519" s="46" t="s">
        <v>7089</v>
      </c>
      <c r="B3519" s="52" t="s">
        <v>7361</v>
      </c>
      <c r="C3519" s="53" t="s">
        <v>7090</v>
      </c>
      <c r="D3519" s="54" t="s">
        <v>10956</v>
      </c>
      <c r="E3519" s="50">
        <f t="shared" si="120"/>
        <v>48.150684929999997</v>
      </c>
      <c r="F3519" s="51">
        <f t="shared" si="120"/>
        <v>4.6307343899999998</v>
      </c>
      <c r="H3519" s="33"/>
      <c r="I3519" s="33"/>
      <c r="J3519" s="33"/>
      <c r="K3519" s="33"/>
      <c r="L3519" s="33"/>
      <c r="M3519" s="33"/>
      <c r="N3519" s="33"/>
      <c r="O3519" s="33"/>
      <c r="P3519" s="33"/>
      <c r="Q3519" s="33"/>
      <c r="R3519" s="33"/>
      <c r="S3519" s="33"/>
      <c r="T3519" s="33"/>
      <c r="U3519" s="33"/>
      <c r="V3519" s="33"/>
      <c r="W3519" s="33"/>
      <c r="X3519" s="33"/>
      <c r="Y3519" s="33"/>
      <c r="Z3519" s="33"/>
      <c r="AA3519" s="33"/>
      <c r="AB3519" s="33"/>
    </row>
    <row r="3520" spans="1:28" x14ac:dyDescent="0.15">
      <c r="A3520" s="46" t="s">
        <v>7091</v>
      </c>
      <c r="B3520" s="52" t="s">
        <v>7361</v>
      </c>
      <c r="C3520" s="53" t="s">
        <v>7092</v>
      </c>
      <c r="D3520" s="54" t="s">
        <v>10957</v>
      </c>
      <c r="E3520" s="50">
        <f t="shared" si="120"/>
        <v>48.164383559999997</v>
      </c>
      <c r="F3520" s="51">
        <f t="shared" si="120"/>
        <v>4.6307150300000002</v>
      </c>
      <c r="H3520" s="33"/>
      <c r="I3520" s="33"/>
      <c r="J3520" s="33"/>
      <c r="K3520" s="33"/>
      <c r="L3520" s="33"/>
      <c r="M3520" s="33"/>
      <c r="N3520" s="33"/>
      <c r="O3520" s="33"/>
      <c r="P3520" s="33"/>
      <c r="Q3520" s="33"/>
      <c r="R3520" s="33"/>
      <c r="S3520" s="33"/>
      <c r="T3520" s="33"/>
      <c r="U3520" s="33"/>
      <c r="V3520" s="33"/>
      <c r="W3520" s="33"/>
      <c r="X3520" s="33"/>
      <c r="Y3520" s="33"/>
      <c r="Z3520" s="33"/>
      <c r="AA3520" s="33"/>
      <c r="AB3520" s="33"/>
    </row>
    <row r="3521" spans="1:28" x14ac:dyDescent="0.15">
      <c r="A3521" s="46" t="s">
        <v>7093</v>
      </c>
      <c r="B3521" s="52" t="s">
        <v>7361</v>
      </c>
      <c r="C3521" s="53" t="s">
        <v>7094</v>
      </c>
      <c r="D3521" s="54" t="s">
        <v>10958</v>
      </c>
      <c r="E3521" s="50">
        <f t="shared" si="120"/>
        <v>48.178082189999998</v>
      </c>
      <c r="F3521" s="51">
        <f t="shared" si="120"/>
        <v>4.6306959299999999</v>
      </c>
      <c r="H3521" s="33"/>
      <c r="I3521" s="33"/>
      <c r="J3521" s="33"/>
      <c r="K3521" s="33"/>
      <c r="L3521" s="33"/>
      <c r="M3521" s="33"/>
      <c r="N3521" s="33"/>
      <c r="O3521" s="33"/>
      <c r="P3521" s="33"/>
      <c r="Q3521" s="33"/>
      <c r="R3521" s="33"/>
      <c r="S3521" s="33"/>
      <c r="T3521" s="33"/>
      <c r="U3521" s="33"/>
      <c r="V3521" s="33"/>
      <c r="W3521" s="33"/>
      <c r="X3521" s="33"/>
      <c r="Y3521" s="33"/>
      <c r="Z3521" s="33"/>
      <c r="AA3521" s="33"/>
      <c r="AB3521" s="33"/>
    </row>
    <row r="3522" spans="1:28" x14ac:dyDescent="0.15">
      <c r="A3522" s="46" t="s">
        <v>7095</v>
      </c>
      <c r="B3522" s="52" t="s">
        <v>7361</v>
      </c>
      <c r="C3522" s="53" t="s">
        <v>7096</v>
      </c>
      <c r="D3522" s="54" t="s">
        <v>10959</v>
      </c>
      <c r="E3522" s="50">
        <f t="shared" si="120"/>
        <v>48.191780819999998</v>
      </c>
      <c r="F3522" s="51">
        <f t="shared" si="120"/>
        <v>4.6306770899999998</v>
      </c>
      <c r="H3522" s="33"/>
      <c r="I3522" s="33"/>
      <c r="J3522" s="33"/>
      <c r="K3522" s="33"/>
      <c r="L3522" s="33"/>
      <c r="M3522" s="33"/>
      <c r="N3522" s="33"/>
      <c r="O3522" s="33"/>
      <c r="P3522" s="33"/>
      <c r="Q3522" s="33"/>
      <c r="R3522" s="33"/>
      <c r="S3522" s="33"/>
      <c r="T3522" s="33"/>
      <c r="U3522" s="33"/>
      <c r="V3522" s="33"/>
      <c r="W3522" s="33"/>
      <c r="X3522" s="33"/>
      <c r="Y3522" s="33"/>
      <c r="Z3522" s="33"/>
      <c r="AA3522" s="33"/>
      <c r="AB3522" s="33"/>
    </row>
    <row r="3523" spans="1:28" x14ac:dyDescent="0.15">
      <c r="A3523" s="46" t="s">
        <v>7097</v>
      </c>
      <c r="B3523" s="52" t="s">
        <v>7361</v>
      </c>
      <c r="C3523" s="53" t="s">
        <v>7098</v>
      </c>
      <c r="D3523" s="54" t="s">
        <v>10960</v>
      </c>
      <c r="E3523" s="50">
        <f t="shared" si="120"/>
        <v>48.205479449999999</v>
      </c>
      <c r="F3523" s="51">
        <f t="shared" si="120"/>
        <v>4.6306584700000002</v>
      </c>
      <c r="H3523" s="33"/>
      <c r="I3523" s="33"/>
      <c r="J3523" s="33"/>
      <c r="K3523" s="33"/>
      <c r="L3523" s="33"/>
      <c r="M3523" s="33"/>
      <c r="N3523" s="33"/>
      <c r="O3523" s="33"/>
      <c r="P3523" s="33"/>
      <c r="Q3523" s="33"/>
      <c r="R3523" s="33"/>
      <c r="S3523" s="33"/>
      <c r="T3523" s="33"/>
      <c r="U3523" s="33"/>
      <c r="V3523" s="33"/>
      <c r="W3523" s="33"/>
      <c r="X3523" s="33"/>
      <c r="Y3523" s="33"/>
      <c r="Z3523" s="33"/>
      <c r="AA3523" s="33"/>
      <c r="AB3523" s="33"/>
    </row>
    <row r="3524" spans="1:28" x14ac:dyDescent="0.15">
      <c r="A3524" s="46" t="s">
        <v>7099</v>
      </c>
      <c r="B3524" s="52" t="s">
        <v>7361</v>
      </c>
      <c r="C3524" s="53" t="s">
        <v>7100</v>
      </c>
      <c r="D3524" s="54" t="s">
        <v>10961</v>
      </c>
      <c r="E3524" s="50">
        <f t="shared" si="120"/>
        <v>48.219178079999999</v>
      </c>
      <c r="F3524" s="51">
        <f t="shared" si="120"/>
        <v>4.6306400600000002</v>
      </c>
      <c r="H3524" s="33"/>
      <c r="I3524" s="33"/>
      <c r="J3524" s="33"/>
      <c r="K3524" s="33"/>
      <c r="L3524" s="33"/>
      <c r="M3524" s="33"/>
      <c r="N3524" s="33"/>
      <c r="O3524" s="33"/>
      <c r="P3524" s="33"/>
      <c r="Q3524" s="33"/>
      <c r="R3524" s="33"/>
      <c r="S3524" s="33"/>
      <c r="T3524" s="33"/>
      <c r="U3524" s="33"/>
      <c r="V3524" s="33"/>
      <c r="W3524" s="33"/>
      <c r="X3524" s="33"/>
      <c r="Y3524" s="33"/>
      <c r="Z3524" s="33"/>
      <c r="AA3524" s="33"/>
      <c r="AB3524" s="33"/>
    </row>
    <row r="3525" spans="1:28" x14ac:dyDescent="0.15">
      <c r="A3525" s="46" t="s">
        <v>7101</v>
      </c>
      <c r="B3525" s="52" t="s">
        <v>7361</v>
      </c>
      <c r="C3525" s="53" t="s">
        <v>7102</v>
      </c>
      <c r="D3525" s="54" t="s">
        <v>10962</v>
      </c>
      <c r="E3525" s="50">
        <f t="shared" si="120"/>
        <v>48.232876709999999</v>
      </c>
      <c r="F3525" s="51">
        <f t="shared" si="120"/>
        <v>4.6306218299999999</v>
      </c>
      <c r="H3525" s="33"/>
      <c r="I3525" s="33"/>
      <c r="J3525" s="33"/>
      <c r="K3525" s="33"/>
      <c r="L3525" s="33"/>
      <c r="M3525" s="33"/>
      <c r="N3525" s="33"/>
      <c r="O3525" s="33"/>
      <c r="P3525" s="33"/>
      <c r="Q3525" s="33"/>
      <c r="R3525" s="33"/>
      <c r="S3525" s="33"/>
      <c r="T3525" s="33"/>
      <c r="U3525" s="33"/>
      <c r="V3525" s="33"/>
      <c r="W3525" s="33"/>
      <c r="X3525" s="33"/>
      <c r="Y3525" s="33"/>
      <c r="Z3525" s="33"/>
      <c r="AA3525" s="33"/>
      <c r="AB3525" s="33"/>
    </row>
    <row r="3526" spans="1:28" x14ac:dyDescent="0.15">
      <c r="A3526" s="46" t="s">
        <v>7103</v>
      </c>
      <c r="B3526" s="52" t="s">
        <v>7361</v>
      </c>
      <c r="C3526" s="53" t="s">
        <v>7104</v>
      </c>
      <c r="D3526" s="54" t="s">
        <v>10963</v>
      </c>
      <c r="E3526" s="50">
        <f t="shared" si="120"/>
        <v>48.24657534</v>
      </c>
      <c r="F3526" s="51">
        <f t="shared" si="120"/>
        <v>4.6306037599999996</v>
      </c>
      <c r="H3526" s="33"/>
      <c r="I3526" s="33"/>
      <c r="J3526" s="33"/>
      <c r="K3526" s="33"/>
      <c r="L3526" s="33"/>
      <c r="M3526" s="33"/>
      <c r="N3526" s="33"/>
      <c r="O3526" s="33"/>
      <c r="P3526" s="33"/>
      <c r="Q3526" s="33"/>
      <c r="R3526" s="33"/>
      <c r="S3526" s="33"/>
      <c r="T3526" s="33"/>
      <c r="U3526" s="33"/>
      <c r="V3526" s="33"/>
      <c r="W3526" s="33"/>
      <c r="X3526" s="33"/>
      <c r="Y3526" s="33"/>
      <c r="Z3526" s="33"/>
      <c r="AA3526" s="33"/>
      <c r="AB3526" s="33"/>
    </row>
    <row r="3527" spans="1:28" x14ac:dyDescent="0.15">
      <c r="A3527" s="46" t="s">
        <v>7105</v>
      </c>
      <c r="B3527" s="52" t="s">
        <v>7361</v>
      </c>
      <c r="C3527" s="53" t="s">
        <v>7106</v>
      </c>
      <c r="D3527" s="54" t="s">
        <v>10964</v>
      </c>
      <c r="E3527" s="50">
        <f t="shared" si="120"/>
        <v>48.26027397</v>
      </c>
      <c r="F3527" s="51">
        <f t="shared" si="120"/>
        <v>4.6305858300000002</v>
      </c>
      <c r="H3527" s="33"/>
      <c r="I3527" s="33"/>
      <c r="J3527" s="33"/>
      <c r="K3527" s="33"/>
      <c r="L3527" s="33"/>
      <c r="M3527" s="33"/>
      <c r="N3527" s="33"/>
      <c r="O3527" s="33"/>
      <c r="P3527" s="33"/>
      <c r="Q3527" s="33"/>
      <c r="R3527" s="33"/>
      <c r="S3527" s="33"/>
      <c r="T3527" s="33"/>
      <c r="U3527" s="33"/>
      <c r="V3527" s="33"/>
      <c r="W3527" s="33"/>
      <c r="X3527" s="33"/>
      <c r="Y3527" s="33"/>
      <c r="Z3527" s="33"/>
      <c r="AA3527" s="33"/>
      <c r="AB3527" s="33"/>
    </row>
    <row r="3528" spans="1:28" x14ac:dyDescent="0.15">
      <c r="A3528" s="46" t="s">
        <v>7107</v>
      </c>
      <c r="B3528" s="52" t="s">
        <v>7361</v>
      </c>
      <c r="C3528" s="53" t="s">
        <v>7108</v>
      </c>
      <c r="D3528" s="54" t="s">
        <v>10965</v>
      </c>
      <c r="E3528" s="50">
        <f t="shared" si="120"/>
        <v>48.2739726</v>
      </c>
      <c r="F3528" s="51">
        <f t="shared" si="120"/>
        <v>4.6305680200000001</v>
      </c>
      <c r="H3528" s="33"/>
      <c r="I3528" s="33"/>
      <c r="J3528" s="33"/>
      <c r="K3528" s="33"/>
      <c r="L3528" s="33"/>
      <c r="M3528" s="33"/>
      <c r="N3528" s="33"/>
      <c r="O3528" s="33"/>
      <c r="P3528" s="33"/>
      <c r="Q3528" s="33"/>
      <c r="R3528" s="33"/>
      <c r="S3528" s="33"/>
      <c r="T3528" s="33"/>
      <c r="U3528" s="33"/>
      <c r="V3528" s="33"/>
      <c r="W3528" s="33"/>
      <c r="X3528" s="33"/>
      <c r="Y3528" s="33"/>
      <c r="Z3528" s="33"/>
      <c r="AA3528" s="33"/>
      <c r="AB3528" s="33"/>
    </row>
    <row r="3529" spans="1:28" x14ac:dyDescent="0.15">
      <c r="A3529" s="46" t="s">
        <v>7109</v>
      </c>
      <c r="B3529" s="52" t="s">
        <v>7361</v>
      </c>
      <c r="C3529" s="53" t="s">
        <v>7110</v>
      </c>
      <c r="D3529" s="54" t="s">
        <v>10966</v>
      </c>
      <c r="E3529" s="50">
        <f t="shared" si="120"/>
        <v>48.287671230000001</v>
      </c>
      <c r="F3529" s="51">
        <f t="shared" si="120"/>
        <v>4.6305503000000003</v>
      </c>
      <c r="H3529" s="33"/>
      <c r="I3529" s="33"/>
      <c r="J3529" s="33"/>
      <c r="K3529" s="33"/>
      <c r="L3529" s="33"/>
      <c r="M3529" s="33"/>
      <c r="N3529" s="33"/>
      <c r="O3529" s="33"/>
      <c r="P3529" s="33"/>
      <c r="Q3529" s="33"/>
      <c r="R3529" s="33"/>
      <c r="S3529" s="33"/>
      <c r="T3529" s="33"/>
      <c r="U3529" s="33"/>
      <c r="V3529" s="33"/>
      <c r="W3529" s="33"/>
      <c r="X3529" s="33"/>
      <c r="Y3529" s="33"/>
      <c r="Z3529" s="33"/>
      <c r="AA3529" s="33"/>
      <c r="AB3529" s="33"/>
    </row>
    <row r="3530" spans="1:28" x14ac:dyDescent="0.15">
      <c r="A3530" s="46" t="s">
        <v>7111</v>
      </c>
      <c r="B3530" s="52" t="s">
        <v>7361</v>
      </c>
      <c r="C3530" s="53" t="s">
        <v>7112</v>
      </c>
      <c r="D3530" s="54" t="s">
        <v>10967</v>
      </c>
      <c r="E3530" s="50">
        <f t="shared" si="120"/>
        <v>48.301369860000001</v>
      </c>
      <c r="F3530" s="51">
        <f t="shared" si="120"/>
        <v>4.6305326500000001</v>
      </c>
      <c r="H3530" s="33"/>
      <c r="I3530" s="33"/>
      <c r="J3530" s="33"/>
      <c r="K3530" s="33"/>
      <c r="L3530" s="33"/>
      <c r="M3530" s="33"/>
      <c r="N3530" s="33"/>
      <c r="O3530" s="33"/>
      <c r="P3530" s="33"/>
      <c r="Q3530" s="33"/>
      <c r="R3530" s="33"/>
      <c r="S3530" s="33"/>
      <c r="T3530" s="33"/>
      <c r="U3530" s="33"/>
      <c r="V3530" s="33"/>
      <c r="W3530" s="33"/>
      <c r="X3530" s="33"/>
      <c r="Y3530" s="33"/>
      <c r="Z3530" s="33"/>
      <c r="AA3530" s="33"/>
      <c r="AB3530" s="33"/>
    </row>
    <row r="3531" spans="1:28" x14ac:dyDescent="0.15">
      <c r="A3531" s="46" t="s">
        <v>7113</v>
      </c>
      <c r="B3531" s="52" t="s">
        <v>7361</v>
      </c>
      <c r="C3531" s="53" t="s">
        <v>7114</v>
      </c>
      <c r="D3531" s="54" t="s">
        <v>10968</v>
      </c>
      <c r="E3531" s="50">
        <f t="shared" si="120"/>
        <v>48.315068490000002</v>
      </c>
      <c r="F3531" s="51">
        <f t="shared" si="120"/>
        <v>4.6305150599999996</v>
      </c>
      <c r="H3531" s="33"/>
      <c r="I3531" s="33"/>
      <c r="J3531" s="33"/>
      <c r="K3531" s="33"/>
      <c r="L3531" s="33"/>
      <c r="M3531" s="33"/>
      <c r="N3531" s="33"/>
      <c r="O3531" s="33"/>
      <c r="P3531" s="33"/>
      <c r="Q3531" s="33"/>
      <c r="R3531" s="33"/>
      <c r="S3531" s="33"/>
      <c r="T3531" s="33"/>
      <c r="U3531" s="33"/>
      <c r="V3531" s="33"/>
      <c r="W3531" s="33"/>
      <c r="X3531" s="33"/>
      <c r="Y3531" s="33"/>
      <c r="Z3531" s="33"/>
      <c r="AA3531" s="33"/>
      <c r="AB3531" s="33"/>
    </row>
    <row r="3532" spans="1:28" x14ac:dyDescent="0.15">
      <c r="A3532" s="46" t="s">
        <v>7115</v>
      </c>
      <c r="B3532" s="52" t="s">
        <v>7361</v>
      </c>
      <c r="C3532" s="53" t="s">
        <v>7116</v>
      </c>
      <c r="D3532" s="54" t="s">
        <v>10969</v>
      </c>
      <c r="E3532" s="50">
        <f t="shared" si="120"/>
        <v>48.328767120000002</v>
      </c>
      <c r="F3532" s="51">
        <f t="shared" si="120"/>
        <v>4.6304974999999997</v>
      </c>
      <c r="H3532" s="33"/>
      <c r="I3532" s="33"/>
      <c r="J3532" s="33"/>
      <c r="K3532" s="33"/>
      <c r="L3532" s="33"/>
      <c r="M3532" s="33"/>
      <c r="N3532" s="33"/>
      <c r="O3532" s="33"/>
      <c r="P3532" s="33"/>
      <c r="Q3532" s="33"/>
      <c r="R3532" s="33"/>
      <c r="S3532" s="33"/>
      <c r="T3532" s="33"/>
      <c r="U3532" s="33"/>
      <c r="V3532" s="33"/>
      <c r="W3532" s="33"/>
      <c r="X3532" s="33"/>
      <c r="Y3532" s="33"/>
      <c r="Z3532" s="33"/>
      <c r="AA3532" s="33"/>
      <c r="AB3532" s="33"/>
    </row>
    <row r="3533" spans="1:28" x14ac:dyDescent="0.15">
      <c r="A3533" s="46" t="s">
        <v>7117</v>
      </c>
      <c r="B3533" s="52" t="s">
        <v>7361</v>
      </c>
      <c r="C3533" s="53" t="s">
        <v>7118</v>
      </c>
      <c r="D3533" s="54" t="s">
        <v>10970</v>
      </c>
      <c r="E3533" s="50">
        <f t="shared" si="120"/>
        <v>48.342465750000002</v>
      </c>
      <c r="F3533" s="51">
        <f t="shared" si="120"/>
        <v>4.6304799399999998</v>
      </c>
      <c r="H3533" s="33"/>
      <c r="I3533" s="33"/>
      <c r="J3533" s="33"/>
      <c r="K3533" s="33"/>
      <c r="L3533" s="33"/>
      <c r="M3533" s="33"/>
      <c r="N3533" s="33"/>
      <c r="O3533" s="33"/>
      <c r="P3533" s="33"/>
      <c r="Q3533" s="33"/>
      <c r="R3533" s="33"/>
      <c r="S3533" s="33"/>
      <c r="T3533" s="33"/>
      <c r="U3533" s="33"/>
      <c r="V3533" s="33"/>
      <c r="W3533" s="33"/>
      <c r="X3533" s="33"/>
      <c r="Y3533" s="33"/>
      <c r="Z3533" s="33"/>
      <c r="AA3533" s="33"/>
      <c r="AB3533" s="33"/>
    </row>
    <row r="3534" spans="1:28" x14ac:dyDescent="0.15">
      <c r="A3534" s="46" t="s">
        <v>7119</v>
      </c>
      <c r="B3534" s="52" t="s">
        <v>7361</v>
      </c>
      <c r="C3534" s="53" t="s">
        <v>7120</v>
      </c>
      <c r="D3534" s="54" t="s">
        <v>10971</v>
      </c>
      <c r="E3534" s="50">
        <f t="shared" si="120"/>
        <v>48.356164380000003</v>
      </c>
      <c r="F3534" s="51">
        <f t="shared" si="120"/>
        <v>4.63046237</v>
      </c>
      <c r="H3534" s="33"/>
      <c r="I3534" s="33"/>
      <c r="J3534" s="33"/>
      <c r="K3534" s="33"/>
      <c r="L3534" s="33"/>
      <c r="M3534" s="33"/>
      <c r="N3534" s="33"/>
      <c r="O3534" s="33"/>
      <c r="P3534" s="33"/>
      <c r="Q3534" s="33"/>
      <c r="R3534" s="33"/>
      <c r="S3534" s="33"/>
      <c r="T3534" s="33"/>
      <c r="U3534" s="33"/>
      <c r="V3534" s="33"/>
      <c r="W3534" s="33"/>
      <c r="X3534" s="33"/>
      <c r="Y3534" s="33"/>
      <c r="Z3534" s="33"/>
      <c r="AA3534" s="33"/>
      <c r="AB3534" s="33"/>
    </row>
    <row r="3535" spans="1:28" x14ac:dyDescent="0.15">
      <c r="A3535" s="46" t="s">
        <v>7121</v>
      </c>
      <c r="B3535" s="52" t="s">
        <v>7361</v>
      </c>
      <c r="C3535" s="53" t="s">
        <v>7122</v>
      </c>
      <c r="D3535" s="54" t="s">
        <v>10972</v>
      </c>
      <c r="E3535" s="50">
        <f t="shared" si="120"/>
        <v>48.369863010000003</v>
      </c>
      <c r="F3535" s="51">
        <f t="shared" si="120"/>
        <v>4.6304447599999996</v>
      </c>
      <c r="H3535" s="33"/>
      <c r="I3535" s="33"/>
      <c r="J3535" s="33"/>
      <c r="K3535" s="33"/>
      <c r="L3535" s="33"/>
      <c r="M3535" s="33"/>
      <c r="N3535" s="33"/>
      <c r="O3535" s="33"/>
      <c r="P3535" s="33"/>
      <c r="Q3535" s="33"/>
      <c r="R3535" s="33"/>
      <c r="S3535" s="33"/>
      <c r="T3535" s="33"/>
      <c r="U3535" s="33"/>
      <c r="V3535" s="33"/>
      <c r="W3535" s="33"/>
      <c r="X3535" s="33"/>
      <c r="Y3535" s="33"/>
      <c r="Z3535" s="33"/>
      <c r="AA3535" s="33"/>
      <c r="AB3535" s="33"/>
    </row>
    <row r="3536" spans="1:28" x14ac:dyDescent="0.15">
      <c r="A3536" s="46" t="s">
        <v>7123</v>
      </c>
      <c r="B3536" s="52" t="s">
        <v>7361</v>
      </c>
      <c r="C3536" s="53" t="s">
        <v>7124</v>
      </c>
      <c r="D3536" s="54" t="s">
        <v>10973</v>
      </c>
      <c r="E3536" s="50">
        <f t="shared" si="120"/>
        <v>48.383561640000003</v>
      </c>
      <c r="F3536" s="51">
        <f t="shared" si="120"/>
        <v>4.6304270900000004</v>
      </c>
      <c r="H3536" s="33"/>
      <c r="I3536" s="33"/>
      <c r="J3536" s="33"/>
      <c r="K3536" s="33"/>
      <c r="L3536" s="33"/>
      <c r="M3536" s="33"/>
      <c r="N3536" s="33"/>
      <c r="O3536" s="33"/>
      <c r="P3536" s="33"/>
      <c r="Q3536" s="33"/>
      <c r="R3536" s="33"/>
      <c r="S3536" s="33"/>
      <c r="T3536" s="33"/>
      <c r="U3536" s="33"/>
      <c r="V3536" s="33"/>
      <c r="W3536" s="33"/>
      <c r="X3536" s="33"/>
      <c r="Y3536" s="33"/>
      <c r="Z3536" s="33"/>
      <c r="AA3536" s="33"/>
      <c r="AB3536" s="33"/>
    </row>
    <row r="3537" spans="1:28" x14ac:dyDescent="0.15">
      <c r="A3537" s="46" t="s">
        <v>7125</v>
      </c>
      <c r="B3537" s="52" t="s">
        <v>7361</v>
      </c>
      <c r="C3537" s="53" t="s">
        <v>7126</v>
      </c>
      <c r="D3537" s="54" t="s">
        <v>10974</v>
      </c>
      <c r="E3537" s="50">
        <f t="shared" si="120"/>
        <v>48.397260269999997</v>
      </c>
      <c r="F3537" s="51">
        <f t="shared" si="120"/>
        <v>4.6304093499999999</v>
      </c>
      <c r="H3537" s="33"/>
      <c r="I3537" s="33"/>
      <c r="J3537" s="33"/>
      <c r="K3537" s="33"/>
      <c r="L3537" s="33"/>
      <c r="M3537" s="33"/>
      <c r="N3537" s="33"/>
      <c r="O3537" s="33"/>
      <c r="P3537" s="33"/>
      <c r="Q3537" s="33"/>
      <c r="R3537" s="33"/>
      <c r="S3537" s="33"/>
      <c r="T3537" s="33"/>
      <c r="U3537" s="33"/>
      <c r="V3537" s="33"/>
      <c r="W3537" s="33"/>
      <c r="X3537" s="33"/>
      <c r="Y3537" s="33"/>
      <c r="Z3537" s="33"/>
      <c r="AA3537" s="33"/>
      <c r="AB3537" s="33"/>
    </row>
    <row r="3538" spans="1:28" x14ac:dyDescent="0.15">
      <c r="A3538" s="46" t="s">
        <v>7127</v>
      </c>
      <c r="B3538" s="52" t="s">
        <v>7361</v>
      </c>
      <c r="C3538" s="53" t="s">
        <v>7128</v>
      </c>
      <c r="D3538" s="54" t="s">
        <v>10975</v>
      </c>
      <c r="E3538" s="50">
        <f t="shared" si="120"/>
        <v>48.410958899999997</v>
      </c>
      <c r="F3538" s="51">
        <f t="shared" si="120"/>
        <v>4.6303915</v>
      </c>
      <c r="H3538" s="33"/>
      <c r="I3538" s="33"/>
      <c r="J3538" s="33"/>
      <c r="K3538" s="33"/>
      <c r="L3538" s="33"/>
      <c r="M3538" s="33"/>
      <c r="N3538" s="33"/>
      <c r="O3538" s="33"/>
      <c r="P3538" s="33"/>
      <c r="Q3538" s="33"/>
      <c r="R3538" s="33"/>
      <c r="S3538" s="33"/>
      <c r="T3538" s="33"/>
      <c r="U3538" s="33"/>
      <c r="V3538" s="33"/>
      <c r="W3538" s="33"/>
      <c r="X3538" s="33"/>
      <c r="Y3538" s="33"/>
      <c r="Z3538" s="33"/>
      <c r="AA3538" s="33"/>
      <c r="AB3538" s="33"/>
    </row>
    <row r="3539" spans="1:28" x14ac:dyDescent="0.15">
      <c r="A3539" s="46" t="s">
        <v>7129</v>
      </c>
      <c r="B3539" s="52" t="s">
        <v>7361</v>
      </c>
      <c r="C3539" s="53" t="s">
        <v>7130</v>
      </c>
      <c r="D3539" s="54" t="s">
        <v>10976</v>
      </c>
      <c r="E3539" s="50">
        <f t="shared" si="120"/>
        <v>48.424657529999998</v>
      </c>
      <c r="F3539" s="51">
        <f t="shared" si="120"/>
        <v>4.63037352</v>
      </c>
      <c r="H3539" s="33"/>
      <c r="I3539" s="33"/>
      <c r="J3539" s="33"/>
      <c r="K3539" s="33"/>
      <c r="L3539" s="33"/>
      <c r="M3539" s="33"/>
      <c r="N3539" s="33"/>
      <c r="O3539" s="33"/>
      <c r="P3539" s="33"/>
      <c r="Q3539" s="33"/>
      <c r="R3539" s="33"/>
      <c r="S3539" s="33"/>
      <c r="T3539" s="33"/>
      <c r="U3539" s="33"/>
      <c r="V3539" s="33"/>
      <c r="W3539" s="33"/>
      <c r="X3539" s="33"/>
      <c r="Y3539" s="33"/>
      <c r="Z3539" s="33"/>
      <c r="AA3539" s="33"/>
      <c r="AB3539" s="33"/>
    </row>
    <row r="3540" spans="1:28" x14ac:dyDescent="0.15">
      <c r="A3540" s="46" t="s">
        <v>7131</v>
      </c>
      <c r="B3540" s="52" t="s">
        <v>7361</v>
      </c>
      <c r="C3540" s="53" t="s">
        <v>7132</v>
      </c>
      <c r="D3540" s="54" t="s">
        <v>10977</v>
      </c>
      <c r="E3540" s="50">
        <f t="shared" ref="E3540:F3570" si="121">VALUE(C3540)</f>
        <v>48.438356159999998</v>
      </c>
      <c r="F3540" s="51">
        <f t="shared" si="121"/>
        <v>4.6303554</v>
      </c>
      <c r="H3540" s="33"/>
      <c r="I3540" s="33"/>
      <c r="J3540" s="33"/>
      <c r="K3540" s="33"/>
      <c r="L3540" s="33"/>
      <c r="M3540" s="33"/>
      <c r="N3540" s="33"/>
      <c r="O3540" s="33"/>
      <c r="P3540" s="33"/>
      <c r="Q3540" s="33"/>
      <c r="R3540" s="33"/>
      <c r="S3540" s="33"/>
      <c r="T3540" s="33"/>
      <c r="U3540" s="33"/>
      <c r="V3540" s="33"/>
      <c r="W3540" s="33"/>
      <c r="X3540" s="33"/>
      <c r="Y3540" s="33"/>
      <c r="Z3540" s="33"/>
      <c r="AA3540" s="33"/>
      <c r="AB3540" s="33"/>
    </row>
    <row r="3541" spans="1:28" x14ac:dyDescent="0.15">
      <c r="A3541" s="46" t="s">
        <v>7133</v>
      </c>
      <c r="B3541" s="52" t="s">
        <v>7361</v>
      </c>
      <c r="C3541" s="53" t="s">
        <v>7134</v>
      </c>
      <c r="D3541" s="54" t="s">
        <v>10978</v>
      </c>
      <c r="E3541" s="50">
        <f t="shared" si="121"/>
        <v>48.452054789999998</v>
      </c>
      <c r="F3541" s="51">
        <f t="shared" si="121"/>
        <v>4.6303371100000001</v>
      </c>
      <c r="H3541" s="33"/>
      <c r="I3541" s="33"/>
      <c r="J3541" s="33"/>
      <c r="K3541" s="33"/>
      <c r="L3541" s="33"/>
      <c r="M3541" s="33"/>
      <c r="N3541" s="33"/>
      <c r="O3541" s="33"/>
      <c r="P3541" s="33"/>
      <c r="Q3541" s="33"/>
      <c r="R3541" s="33"/>
      <c r="S3541" s="33"/>
      <c r="T3541" s="33"/>
      <c r="U3541" s="33"/>
      <c r="V3541" s="33"/>
      <c r="W3541" s="33"/>
      <c r="X3541" s="33"/>
      <c r="Y3541" s="33"/>
      <c r="Z3541" s="33"/>
      <c r="AA3541" s="33"/>
      <c r="AB3541" s="33"/>
    </row>
    <row r="3542" spans="1:28" x14ac:dyDescent="0.15">
      <c r="A3542" s="46" t="s">
        <v>7135</v>
      </c>
      <c r="B3542" s="52" t="s">
        <v>7361</v>
      </c>
      <c r="C3542" s="53" t="s">
        <v>7136</v>
      </c>
      <c r="D3542" s="54" t="s">
        <v>10979</v>
      </c>
      <c r="E3542" s="50">
        <f t="shared" si="121"/>
        <v>48.465753419999999</v>
      </c>
      <c r="F3542" s="51">
        <f t="shared" si="121"/>
        <v>4.6303186399999996</v>
      </c>
      <c r="H3542" s="33"/>
      <c r="I3542" s="33"/>
      <c r="J3542" s="33"/>
      <c r="K3542" s="33"/>
      <c r="L3542" s="33"/>
      <c r="M3542" s="33"/>
      <c r="N3542" s="33"/>
      <c r="O3542" s="33"/>
      <c r="P3542" s="33"/>
      <c r="Q3542" s="33"/>
      <c r="R3542" s="33"/>
      <c r="S3542" s="33"/>
      <c r="T3542" s="33"/>
      <c r="U3542" s="33"/>
      <c r="V3542" s="33"/>
      <c r="W3542" s="33"/>
      <c r="X3542" s="33"/>
      <c r="Y3542" s="33"/>
      <c r="Z3542" s="33"/>
      <c r="AA3542" s="33"/>
      <c r="AB3542" s="33"/>
    </row>
    <row r="3543" spans="1:28" x14ac:dyDescent="0.15">
      <c r="A3543" s="46" t="s">
        <v>7137</v>
      </c>
      <c r="B3543" s="52" t="s">
        <v>7361</v>
      </c>
      <c r="C3543" s="53" t="s">
        <v>7138</v>
      </c>
      <c r="D3543" s="54" t="s">
        <v>10980</v>
      </c>
      <c r="E3543" s="50">
        <f t="shared" si="121"/>
        <v>48.479452049999999</v>
      </c>
      <c r="F3543" s="51">
        <f t="shared" si="121"/>
        <v>4.6302999399999996</v>
      </c>
      <c r="H3543" s="33"/>
      <c r="I3543" s="33"/>
      <c r="J3543" s="33"/>
      <c r="K3543" s="33"/>
      <c r="L3543" s="33"/>
      <c r="M3543" s="33"/>
      <c r="N3543" s="33"/>
      <c r="O3543" s="33"/>
      <c r="P3543" s="33"/>
      <c r="Q3543" s="33"/>
      <c r="R3543" s="33"/>
      <c r="S3543" s="33"/>
      <c r="T3543" s="33"/>
      <c r="U3543" s="33"/>
      <c r="V3543" s="33"/>
      <c r="W3543" s="33"/>
      <c r="X3543" s="33"/>
      <c r="Y3543" s="33"/>
      <c r="Z3543" s="33"/>
      <c r="AA3543" s="33"/>
      <c r="AB3543" s="33"/>
    </row>
    <row r="3544" spans="1:28" x14ac:dyDescent="0.15">
      <c r="A3544" s="46" t="s">
        <v>7139</v>
      </c>
      <c r="B3544" s="52" t="s">
        <v>7361</v>
      </c>
      <c r="C3544" s="53" t="s">
        <v>7140</v>
      </c>
      <c r="D3544" s="54" t="s">
        <v>10981</v>
      </c>
      <c r="E3544" s="50">
        <f t="shared" si="121"/>
        <v>48.493150679999999</v>
      </c>
      <c r="F3544" s="51">
        <f t="shared" si="121"/>
        <v>4.63028102</v>
      </c>
      <c r="H3544" s="33"/>
      <c r="I3544" s="33"/>
      <c r="J3544" s="33"/>
      <c r="K3544" s="33"/>
      <c r="L3544" s="33"/>
      <c r="M3544" s="33"/>
      <c r="N3544" s="33"/>
      <c r="O3544" s="33"/>
      <c r="P3544" s="33"/>
      <c r="Q3544" s="33"/>
      <c r="R3544" s="33"/>
      <c r="S3544" s="33"/>
      <c r="T3544" s="33"/>
      <c r="U3544" s="33"/>
      <c r="V3544" s="33"/>
      <c r="W3544" s="33"/>
      <c r="X3544" s="33"/>
      <c r="Y3544" s="33"/>
      <c r="Z3544" s="33"/>
      <c r="AA3544" s="33"/>
      <c r="AB3544" s="33"/>
    </row>
    <row r="3545" spans="1:28" x14ac:dyDescent="0.15">
      <c r="A3545" s="46" t="s">
        <v>7141</v>
      </c>
      <c r="B3545" s="52" t="s">
        <v>7361</v>
      </c>
      <c r="C3545" s="53" t="s">
        <v>7142</v>
      </c>
      <c r="D3545" s="54" t="s">
        <v>10982</v>
      </c>
      <c r="E3545" s="50">
        <f t="shared" si="121"/>
        <v>48.506849320000001</v>
      </c>
      <c r="F3545" s="51">
        <f t="shared" si="121"/>
        <v>4.6302619600000003</v>
      </c>
      <c r="H3545" s="33"/>
      <c r="I3545" s="33"/>
      <c r="J3545" s="33"/>
      <c r="K3545" s="33"/>
      <c r="L3545" s="33"/>
      <c r="M3545" s="33"/>
      <c r="N3545" s="33"/>
      <c r="O3545" s="33"/>
      <c r="P3545" s="33"/>
      <c r="Q3545" s="33"/>
      <c r="R3545" s="33"/>
      <c r="S3545" s="33"/>
      <c r="T3545" s="33"/>
      <c r="U3545" s="33"/>
      <c r="V3545" s="33"/>
      <c r="W3545" s="33"/>
      <c r="X3545" s="33"/>
      <c r="Y3545" s="33"/>
      <c r="Z3545" s="33"/>
      <c r="AA3545" s="33"/>
      <c r="AB3545" s="33"/>
    </row>
    <row r="3546" spans="1:28" x14ac:dyDescent="0.15">
      <c r="A3546" s="46" t="s">
        <v>7143</v>
      </c>
      <c r="B3546" s="52" t="s">
        <v>7361</v>
      </c>
      <c r="C3546" s="53" t="s">
        <v>7144</v>
      </c>
      <c r="D3546" s="54" t="s">
        <v>10983</v>
      </c>
      <c r="E3546" s="50">
        <f t="shared" si="121"/>
        <v>48.520547950000001</v>
      </c>
      <c r="F3546" s="51">
        <f t="shared" si="121"/>
        <v>4.63024346</v>
      </c>
      <c r="H3546" s="33"/>
      <c r="I3546" s="33"/>
      <c r="J3546" s="33"/>
      <c r="K3546" s="33"/>
      <c r="L3546" s="33"/>
      <c r="M3546" s="33"/>
      <c r="N3546" s="33"/>
      <c r="O3546" s="33"/>
      <c r="P3546" s="33"/>
      <c r="Q3546" s="33"/>
      <c r="R3546" s="33"/>
      <c r="S3546" s="33"/>
      <c r="T3546" s="33"/>
      <c r="U3546" s="33"/>
      <c r="V3546" s="33"/>
      <c r="W3546" s="33"/>
      <c r="X3546" s="33"/>
      <c r="Y3546" s="33"/>
      <c r="Z3546" s="33"/>
      <c r="AA3546" s="33"/>
      <c r="AB3546" s="33"/>
    </row>
    <row r="3547" spans="1:28" x14ac:dyDescent="0.15">
      <c r="A3547" s="46" t="s">
        <v>7145</v>
      </c>
      <c r="B3547" s="52" t="s">
        <v>7361</v>
      </c>
      <c r="C3547" s="53" t="s">
        <v>7146</v>
      </c>
      <c r="D3547" s="54" t="s">
        <v>10984</v>
      </c>
      <c r="E3547" s="50">
        <f t="shared" si="121"/>
        <v>48.534246580000001</v>
      </c>
      <c r="F3547" s="51">
        <f t="shared" si="121"/>
        <v>4.63022563</v>
      </c>
      <c r="H3547" s="33"/>
      <c r="I3547" s="33"/>
      <c r="J3547" s="33"/>
      <c r="K3547" s="33"/>
      <c r="L3547" s="33"/>
      <c r="M3547" s="33"/>
      <c r="N3547" s="33"/>
      <c r="O3547" s="33"/>
      <c r="P3547" s="33"/>
      <c r="Q3547" s="33"/>
      <c r="R3547" s="33"/>
      <c r="S3547" s="33"/>
      <c r="T3547" s="33"/>
      <c r="U3547" s="33"/>
      <c r="V3547" s="33"/>
      <c r="W3547" s="33"/>
      <c r="X3547" s="33"/>
      <c r="Y3547" s="33"/>
      <c r="Z3547" s="33"/>
      <c r="AA3547" s="33"/>
      <c r="AB3547" s="33"/>
    </row>
    <row r="3548" spans="1:28" x14ac:dyDescent="0.15">
      <c r="A3548" s="46" t="s">
        <v>7147</v>
      </c>
      <c r="B3548" s="52" t="s">
        <v>7361</v>
      </c>
      <c r="C3548" s="53" t="s">
        <v>7148</v>
      </c>
      <c r="D3548" s="54" t="s">
        <v>10985</v>
      </c>
      <c r="E3548" s="50">
        <f t="shared" si="121"/>
        <v>48.547945210000002</v>
      </c>
      <c r="F3548" s="51">
        <f t="shared" si="121"/>
        <v>4.6302084399999996</v>
      </c>
      <c r="H3548" s="33"/>
      <c r="I3548" s="33"/>
      <c r="J3548" s="33"/>
      <c r="K3548" s="33"/>
      <c r="L3548" s="33"/>
      <c r="M3548" s="33"/>
      <c r="N3548" s="33"/>
      <c r="O3548" s="33"/>
      <c r="P3548" s="33"/>
      <c r="Q3548" s="33"/>
      <c r="R3548" s="33"/>
      <c r="S3548" s="33"/>
      <c r="T3548" s="33"/>
      <c r="U3548" s="33"/>
      <c r="V3548" s="33"/>
      <c r="W3548" s="33"/>
      <c r="X3548" s="33"/>
      <c r="Y3548" s="33"/>
      <c r="Z3548" s="33"/>
      <c r="AA3548" s="33"/>
      <c r="AB3548" s="33"/>
    </row>
    <row r="3549" spans="1:28" x14ac:dyDescent="0.15">
      <c r="A3549" s="46" t="s">
        <v>7149</v>
      </c>
      <c r="B3549" s="52" t="s">
        <v>7361</v>
      </c>
      <c r="C3549" s="53" t="s">
        <v>7150</v>
      </c>
      <c r="D3549" s="54" t="s">
        <v>10986</v>
      </c>
      <c r="E3549" s="50">
        <f t="shared" si="121"/>
        <v>48.561643840000002</v>
      </c>
      <c r="F3549" s="51">
        <f t="shared" si="121"/>
        <v>4.6301918400000002</v>
      </c>
      <c r="H3549" s="33"/>
      <c r="I3549" s="33"/>
      <c r="J3549" s="33"/>
      <c r="K3549" s="33"/>
      <c r="L3549" s="33"/>
      <c r="M3549" s="33"/>
      <c r="N3549" s="33"/>
      <c r="O3549" s="33"/>
      <c r="P3549" s="33"/>
      <c r="Q3549" s="33"/>
      <c r="R3549" s="33"/>
      <c r="S3549" s="33"/>
      <c r="T3549" s="33"/>
      <c r="U3549" s="33"/>
      <c r="V3549" s="33"/>
      <c r="W3549" s="33"/>
      <c r="X3549" s="33"/>
      <c r="Y3549" s="33"/>
      <c r="Z3549" s="33"/>
      <c r="AA3549" s="33"/>
      <c r="AB3549" s="33"/>
    </row>
    <row r="3550" spans="1:28" x14ac:dyDescent="0.15">
      <c r="A3550" s="46" t="s">
        <v>7151</v>
      </c>
      <c r="B3550" s="52" t="s">
        <v>7361</v>
      </c>
      <c r="C3550" s="53" t="s">
        <v>7152</v>
      </c>
      <c r="D3550" s="54" t="s">
        <v>10987</v>
      </c>
      <c r="E3550" s="50">
        <f t="shared" si="121"/>
        <v>48.575342470000002</v>
      </c>
      <c r="F3550" s="51">
        <f t="shared" si="121"/>
        <v>4.6301758199999998</v>
      </c>
      <c r="H3550" s="33"/>
      <c r="I3550" s="33"/>
      <c r="J3550" s="33"/>
      <c r="K3550" s="33"/>
      <c r="L3550" s="33"/>
      <c r="M3550" s="33"/>
      <c r="N3550" s="33"/>
      <c r="O3550" s="33"/>
      <c r="P3550" s="33"/>
      <c r="Q3550" s="33"/>
      <c r="R3550" s="33"/>
      <c r="S3550" s="33"/>
      <c r="T3550" s="33"/>
      <c r="U3550" s="33"/>
      <c r="V3550" s="33"/>
      <c r="W3550" s="33"/>
      <c r="X3550" s="33"/>
      <c r="Y3550" s="33"/>
      <c r="Z3550" s="33"/>
      <c r="AA3550" s="33"/>
      <c r="AB3550" s="33"/>
    </row>
    <row r="3551" spans="1:28" x14ac:dyDescent="0.15">
      <c r="A3551" s="46" t="s">
        <v>7153</v>
      </c>
      <c r="B3551" s="52" t="s">
        <v>7361</v>
      </c>
      <c r="C3551" s="53" t="s">
        <v>7154</v>
      </c>
      <c r="D3551" s="54" t="s">
        <v>10988</v>
      </c>
      <c r="E3551" s="50">
        <f t="shared" si="121"/>
        <v>48.589041100000003</v>
      </c>
      <c r="F3551" s="51">
        <f t="shared" si="121"/>
        <v>4.6301603499999997</v>
      </c>
      <c r="H3551" s="33"/>
      <c r="I3551" s="33"/>
      <c r="J3551" s="33"/>
      <c r="K3551" s="33"/>
      <c r="L3551" s="33"/>
      <c r="M3551" s="33"/>
      <c r="N3551" s="33"/>
      <c r="O3551" s="33"/>
      <c r="P3551" s="33"/>
      <c r="Q3551" s="33"/>
      <c r="R3551" s="33"/>
      <c r="S3551" s="33"/>
      <c r="T3551" s="33"/>
      <c r="U3551" s="33"/>
      <c r="V3551" s="33"/>
      <c r="W3551" s="33"/>
      <c r="X3551" s="33"/>
      <c r="Y3551" s="33"/>
      <c r="Z3551" s="33"/>
      <c r="AA3551" s="33"/>
      <c r="AB3551" s="33"/>
    </row>
    <row r="3552" spans="1:28" x14ac:dyDescent="0.15">
      <c r="A3552" s="46" t="s">
        <v>7155</v>
      </c>
      <c r="B3552" s="52" t="s">
        <v>7361</v>
      </c>
      <c r="C3552" s="53" t="s">
        <v>7156</v>
      </c>
      <c r="D3552" s="54" t="s">
        <v>10989</v>
      </c>
      <c r="E3552" s="50">
        <f t="shared" si="121"/>
        <v>48.602739730000003</v>
      </c>
      <c r="F3552" s="51">
        <f t="shared" si="121"/>
        <v>4.63014539</v>
      </c>
      <c r="H3552" s="33"/>
      <c r="I3552" s="33"/>
      <c r="J3552" s="33"/>
      <c r="K3552" s="33"/>
      <c r="L3552" s="33"/>
      <c r="M3552" s="33"/>
      <c r="N3552" s="33"/>
      <c r="O3552" s="33"/>
      <c r="P3552" s="33"/>
      <c r="Q3552" s="33"/>
      <c r="R3552" s="33"/>
      <c r="S3552" s="33"/>
      <c r="T3552" s="33"/>
      <c r="U3552" s="33"/>
      <c r="V3552" s="33"/>
      <c r="W3552" s="33"/>
      <c r="X3552" s="33"/>
      <c r="Y3552" s="33"/>
      <c r="Z3552" s="33"/>
      <c r="AA3552" s="33"/>
      <c r="AB3552" s="33"/>
    </row>
    <row r="3553" spans="1:28" x14ac:dyDescent="0.15">
      <c r="A3553" s="46" t="s">
        <v>7157</v>
      </c>
      <c r="B3553" s="52" t="s">
        <v>7361</v>
      </c>
      <c r="C3553" s="53" t="s">
        <v>7158</v>
      </c>
      <c r="D3553" s="54" t="s">
        <v>10990</v>
      </c>
      <c r="E3553" s="50">
        <f t="shared" si="121"/>
        <v>48.616438359999997</v>
      </c>
      <c r="F3553" s="51">
        <f t="shared" si="121"/>
        <v>4.63013092</v>
      </c>
      <c r="H3553" s="33"/>
      <c r="I3553" s="33"/>
      <c r="J3553" s="33"/>
      <c r="K3553" s="33"/>
      <c r="L3553" s="33"/>
      <c r="M3553" s="33"/>
      <c r="N3553" s="33"/>
      <c r="O3553" s="33"/>
      <c r="P3553" s="33"/>
      <c r="Q3553" s="33"/>
      <c r="R3553" s="33"/>
      <c r="S3553" s="33"/>
      <c r="T3553" s="33"/>
      <c r="U3553" s="33"/>
      <c r="V3553" s="33"/>
      <c r="W3553" s="33"/>
      <c r="X3553" s="33"/>
      <c r="Y3553" s="33"/>
      <c r="Z3553" s="33"/>
      <c r="AA3553" s="33"/>
      <c r="AB3553" s="33"/>
    </row>
    <row r="3554" spans="1:28" x14ac:dyDescent="0.15">
      <c r="A3554" s="46" t="s">
        <v>7159</v>
      </c>
      <c r="B3554" s="52" t="s">
        <v>7361</v>
      </c>
      <c r="C3554" s="53" t="s">
        <v>7160</v>
      </c>
      <c r="D3554" s="54" t="s">
        <v>10991</v>
      </c>
      <c r="E3554" s="50">
        <f t="shared" si="121"/>
        <v>48.630136989999997</v>
      </c>
      <c r="F3554" s="51">
        <f t="shared" si="121"/>
        <v>4.6301169099999999</v>
      </c>
      <c r="H3554" s="33"/>
      <c r="I3554" s="33"/>
      <c r="J3554" s="33"/>
      <c r="K3554" s="33"/>
      <c r="L3554" s="33"/>
      <c r="M3554" s="33"/>
      <c r="N3554" s="33"/>
      <c r="O3554" s="33"/>
      <c r="P3554" s="33"/>
      <c r="Q3554" s="33"/>
      <c r="R3554" s="33"/>
      <c r="S3554" s="33"/>
      <c r="T3554" s="33"/>
      <c r="U3554" s="33"/>
      <c r="V3554" s="33"/>
      <c r="W3554" s="33"/>
      <c r="X3554" s="33"/>
      <c r="Y3554" s="33"/>
      <c r="Z3554" s="33"/>
      <c r="AA3554" s="33"/>
      <c r="AB3554" s="33"/>
    </row>
    <row r="3555" spans="1:28" x14ac:dyDescent="0.15">
      <c r="A3555" s="46" t="s">
        <v>7161</v>
      </c>
      <c r="B3555" s="52" t="s">
        <v>7361</v>
      </c>
      <c r="C3555" s="53" t="s">
        <v>7162</v>
      </c>
      <c r="D3555" s="54" t="s">
        <v>10992</v>
      </c>
      <c r="E3555" s="50">
        <f t="shared" si="121"/>
        <v>48.643835619999997</v>
      </c>
      <c r="F3555" s="51">
        <f t="shared" si="121"/>
        <v>4.6301033299999999</v>
      </c>
      <c r="H3555" s="33"/>
      <c r="I3555" s="33"/>
      <c r="J3555" s="33"/>
      <c r="K3555" s="33"/>
      <c r="L3555" s="33"/>
      <c r="M3555" s="33"/>
      <c r="N3555" s="33"/>
      <c r="O3555" s="33"/>
      <c r="P3555" s="33"/>
      <c r="Q3555" s="33"/>
      <c r="R3555" s="33"/>
      <c r="S3555" s="33"/>
      <c r="T3555" s="33"/>
      <c r="U3555" s="33"/>
      <c r="V3555" s="33"/>
      <c r="W3555" s="33"/>
      <c r="X3555" s="33"/>
      <c r="Y3555" s="33"/>
      <c r="Z3555" s="33"/>
      <c r="AA3555" s="33"/>
      <c r="AB3555" s="33"/>
    </row>
    <row r="3556" spans="1:28" x14ac:dyDescent="0.15">
      <c r="A3556" s="46" t="s">
        <v>7163</v>
      </c>
      <c r="B3556" s="52" t="s">
        <v>7361</v>
      </c>
      <c r="C3556" s="53" t="s">
        <v>7164</v>
      </c>
      <c r="D3556" s="54" t="s">
        <v>10993</v>
      </c>
      <c r="E3556" s="50">
        <f t="shared" si="121"/>
        <v>48.657534249999998</v>
      </c>
      <c r="F3556" s="51">
        <f t="shared" si="121"/>
        <v>4.6300901400000001</v>
      </c>
      <c r="H3556" s="33"/>
      <c r="I3556" s="33"/>
      <c r="J3556" s="33"/>
      <c r="K3556" s="33"/>
      <c r="L3556" s="33"/>
      <c r="M3556" s="33"/>
      <c r="N3556" s="33"/>
      <c r="O3556" s="33"/>
      <c r="P3556" s="33"/>
      <c r="Q3556" s="33"/>
      <c r="R3556" s="33"/>
      <c r="S3556" s="33"/>
      <c r="T3556" s="33"/>
      <c r="U3556" s="33"/>
      <c r="V3556" s="33"/>
      <c r="W3556" s="33"/>
      <c r="X3556" s="33"/>
      <c r="Y3556" s="33"/>
      <c r="Z3556" s="33"/>
      <c r="AA3556" s="33"/>
      <c r="AB3556" s="33"/>
    </row>
    <row r="3557" spans="1:28" x14ac:dyDescent="0.15">
      <c r="A3557" s="46" t="s">
        <v>7165</v>
      </c>
      <c r="B3557" s="52" t="s">
        <v>7361</v>
      </c>
      <c r="C3557" s="53" t="s">
        <v>7166</v>
      </c>
      <c r="D3557" s="54" t="s">
        <v>10994</v>
      </c>
      <c r="E3557" s="50">
        <f t="shared" si="121"/>
        <v>48.671232879999998</v>
      </c>
      <c r="F3557" s="51">
        <f t="shared" si="121"/>
        <v>4.6300773299999998</v>
      </c>
      <c r="H3557" s="33"/>
      <c r="I3557" s="33"/>
      <c r="J3557" s="33"/>
      <c r="K3557" s="33"/>
      <c r="L3557" s="33"/>
      <c r="M3557" s="33"/>
      <c r="N3557" s="33"/>
      <c r="O3557" s="33"/>
      <c r="P3557" s="33"/>
      <c r="Q3557" s="33"/>
      <c r="R3557" s="33"/>
      <c r="S3557" s="33"/>
      <c r="T3557" s="33"/>
      <c r="U3557" s="33"/>
      <c r="V3557" s="33"/>
      <c r="W3557" s="33"/>
      <c r="X3557" s="33"/>
      <c r="Y3557" s="33"/>
      <c r="Z3557" s="33"/>
      <c r="AA3557" s="33"/>
      <c r="AB3557" s="33"/>
    </row>
    <row r="3558" spans="1:28" x14ac:dyDescent="0.15">
      <c r="A3558" s="46" t="s">
        <v>7167</v>
      </c>
      <c r="B3558" s="52" t="s">
        <v>7361</v>
      </c>
      <c r="C3558" s="53" t="s">
        <v>7168</v>
      </c>
      <c r="D3558" s="54" t="s">
        <v>10995</v>
      </c>
      <c r="E3558" s="50">
        <f t="shared" si="121"/>
        <v>48.684931509999998</v>
      </c>
      <c r="F3558" s="51">
        <f t="shared" si="121"/>
        <v>4.63006487</v>
      </c>
      <c r="H3558" s="33"/>
      <c r="I3558" s="33"/>
      <c r="J3558" s="33"/>
      <c r="K3558" s="33"/>
      <c r="L3558" s="33"/>
      <c r="M3558" s="33"/>
      <c r="N3558" s="33"/>
      <c r="O3558" s="33"/>
      <c r="P3558" s="33"/>
      <c r="Q3558" s="33"/>
      <c r="R3558" s="33"/>
      <c r="S3558" s="33"/>
      <c r="T3558" s="33"/>
      <c r="U3558" s="33"/>
      <c r="V3558" s="33"/>
      <c r="W3558" s="33"/>
      <c r="X3558" s="33"/>
      <c r="Y3558" s="33"/>
      <c r="Z3558" s="33"/>
      <c r="AA3558" s="33"/>
      <c r="AB3558" s="33"/>
    </row>
    <row r="3559" spans="1:28" x14ac:dyDescent="0.15">
      <c r="A3559" s="46" t="s">
        <v>7169</v>
      </c>
      <c r="B3559" s="52" t="s">
        <v>7361</v>
      </c>
      <c r="C3559" s="53" t="s">
        <v>7170</v>
      </c>
      <c r="D3559" s="54" t="s">
        <v>10996</v>
      </c>
      <c r="E3559" s="50">
        <f t="shared" si="121"/>
        <v>48.698630139999999</v>
      </c>
      <c r="F3559" s="51">
        <f t="shared" si="121"/>
        <v>4.6300527200000001</v>
      </c>
      <c r="H3559" s="33"/>
      <c r="I3559" s="33"/>
      <c r="J3559" s="33"/>
      <c r="K3559" s="33"/>
      <c r="L3559" s="33"/>
      <c r="M3559" s="33"/>
      <c r="N3559" s="33"/>
      <c r="O3559" s="33"/>
      <c r="P3559" s="33"/>
      <c r="Q3559" s="33"/>
      <c r="R3559" s="33"/>
      <c r="S3559" s="33"/>
      <c r="T3559" s="33"/>
      <c r="U3559" s="33"/>
      <c r="V3559" s="33"/>
      <c r="W3559" s="33"/>
      <c r="X3559" s="33"/>
      <c r="Y3559" s="33"/>
      <c r="Z3559" s="33"/>
      <c r="AA3559" s="33"/>
      <c r="AB3559" s="33"/>
    </row>
    <row r="3560" spans="1:28" x14ac:dyDescent="0.15">
      <c r="A3560" s="46" t="s">
        <v>7171</v>
      </c>
      <c r="B3560" s="52" t="s">
        <v>7361</v>
      </c>
      <c r="C3560" s="53" t="s">
        <v>7172</v>
      </c>
      <c r="D3560" s="54" t="s">
        <v>10997</v>
      </c>
      <c r="E3560" s="50">
        <f t="shared" si="121"/>
        <v>48.712328769999999</v>
      </c>
      <c r="F3560" s="51">
        <f t="shared" si="121"/>
        <v>4.6300408500000003</v>
      </c>
      <c r="H3560" s="33"/>
      <c r="I3560" s="33"/>
      <c r="J3560" s="33"/>
      <c r="K3560" s="33"/>
      <c r="L3560" s="33"/>
      <c r="M3560" s="33"/>
      <c r="N3560" s="33"/>
      <c r="O3560" s="33"/>
      <c r="P3560" s="33"/>
      <c r="Q3560" s="33"/>
      <c r="R3560" s="33"/>
      <c r="S3560" s="33"/>
      <c r="T3560" s="33"/>
      <c r="U3560" s="33"/>
      <c r="V3560" s="33"/>
      <c r="W3560" s="33"/>
      <c r="X3560" s="33"/>
      <c r="Y3560" s="33"/>
      <c r="Z3560" s="33"/>
      <c r="AA3560" s="33"/>
      <c r="AB3560" s="33"/>
    </row>
    <row r="3561" spans="1:28" x14ac:dyDescent="0.15">
      <c r="A3561" s="46" t="s">
        <v>7173</v>
      </c>
      <c r="B3561" s="52" t="s">
        <v>7361</v>
      </c>
      <c r="C3561" s="53" t="s">
        <v>7174</v>
      </c>
      <c r="D3561" s="54" t="s">
        <v>10998</v>
      </c>
      <c r="E3561" s="50">
        <f t="shared" si="121"/>
        <v>48.7260274</v>
      </c>
      <c r="F3561" s="51">
        <f t="shared" si="121"/>
        <v>4.6300292399999998</v>
      </c>
      <c r="H3561" s="33"/>
      <c r="I3561" s="33"/>
      <c r="J3561" s="33"/>
      <c r="K3561" s="33"/>
      <c r="L3561" s="33"/>
      <c r="M3561" s="33"/>
      <c r="N3561" s="33"/>
      <c r="O3561" s="33"/>
      <c r="P3561" s="33"/>
      <c r="Q3561" s="33"/>
      <c r="R3561" s="33"/>
      <c r="S3561" s="33"/>
      <c r="T3561" s="33"/>
      <c r="U3561" s="33"/>
      <c r="V3561" s="33"/>
      <c r="W3561" s="33"/>
      <c r="X3561" s="33"/>
      <c r="Y3561" s="33"/>
      <c r="Z3561" s="33"/>
      <c r="AA3561" s="33"/>
      <c r="AB3561" s="33"/>
    </row>
    <row r="3562" spans="1:28" x14ac:dyDescent="0.15">
      <c r="A3562" s="46" t="s">
        <v>7175</v>
      </c>
      <c r="B3562" s="52" t="s">
        <v>7361</v>
      </c>
      <c r="C3562" s="53" t="s">
        <v>7176</v>
      </c>
      <c r="D3562" s="54" t="s">
        <v>10999</v>
      </c>
      <c r="E3562" s="50">
        <f t="shared" si="121"/>
        <v>48.73972603</v>
      </c>
      <c r="F3562" s="51">
        <f t="shared" si="121"/>
        <v>4.6300178499999998</v>
      </c>
      <c r="H3562" s="33"/>
      <c r="I3562" s="33"/>
      <c r="J3562" s="33"/>
      <c r="K3562" s="33"/>
      <c r="L3562" s="33"/>
      <c r="M3562" s="33"/>
      <c r="N3562" s="33"/>
      <c r="O3562" s="33"/>
      <c r="P3562" s="33"/>
      <c r="Q3562" s="33"/>
      <c r="R3562" s="33"/>
      <c r="S3562" s="33"/>
      <c r="T3562" s="33"/>
      <c r="U3562" s="33"/>
      <c r="V3562" s="33"/>
      <c r="W3562" s="33"/>
      <c r="X3562" s="33"/>
      <c r="Y3562" s="33"/>
      <c r="Z3562" s="33"/>
      <c r="AA3562" s="33"/>
      <c r="AB3562" s="33"/>
    </row>
    <row r="3563" spans="1:28" x14ac:dyDescent="0.15">
      <c r="A3563" s="46" t="s">
        <v>7177</v>
      </c>
      <c r="B3563" s="52" t="s">
        <v>7361</v>
      </c>
      <c r="C3563" s="53" t="s">
        <v>7178</v>
      </c>
      <c r="D3563" s="54" t="s">
        <v>11000</v>
      </c>
      <c r="E3563" s="50">
        <f t="shared" si="121"/>
        <v>48.75342466</v>
      </c>
      <c r="F3563" s="51">
        <f t="shared" si="121"/>
        <v>4.6300066600000003</v>
      </c>
      <c r="H3563" s="33"/>
      <c r="I3563" s="33"/>
      <c r="J3563" s="33"/>
      <c r="K3563" s="33"/>
      <c r="L3563" s="33"/>
      <c r="M3563" s="33"/>
      <c r="N3563" s="33"/>
      <c r="O3563" s="33"/>
      <c r="P3563" s="33"/>
      <c r="Q3563" s="33"/>
      <c r="R3563" s="33"/>
      <c r="S3563" s="33"/>
      <c r="T3563" s="33"/>
      <c r="U3563" s="33"/>
      <c r="V3563" s="33"/>
      <c r="W3563" s="33"/>
      <c r="X3563" s="33"/>
      <c r="Y3563" s="33"/>
      <c r="Z3563" s="33"/>
      <c r="AA3563" s="33"/>
      <c r="AB3563" s="33"/>
    </row>
    <row r="3564" spans="1:28" x14ac:dyDescent="0.15">
      <c r="A3564" s="46" t="s">
        <v>7179</v>
      </c>
      <c r="B3564" s="52" t="s">
        <v>7361</v>
      </c>
      <c r="C3564" s="53" t="s">
        <v>7180</v>
      </c>
      <c r="D3564" s="54" t="s">
        <v>11001</v>
      </c>
      <c r="E3564" s="50">
        <f t="shared" si="121"/>
        <v>48.767123290000001</v>
      </c>
      <c r="F3564" s="51">
        <f t="shared" si="121"/>
        <v>4.6299956399999997</v>
      </c>
      <c r="H3564" s="33"/>
      <c r="I3564" s="33"/>
      <c r="J3564" s="33"/>
      <c r="K3564" s="33"/>
      <c r="L3564" s="33"/>
      <c r="M3564" s="33"/>
      <c r="N3564" s="33"/>
      <c r="O3564" s="33"/>
      <c r="P3564" s="33"/>
      <c r="Q3564" s="33"/>
      <c r="R3564" s="33"/>
      <c r="S3564" s="33"/>
      <c r="T3564" s="33"/>
      <c r="U3564" s="33"/>
      <c r="V3564" s="33"/>
      <c r="W3564" s="33"/>
      <c r="X3564" s="33"/>
      <c r="Y3564" s="33"/>
      <c r="Z3564" s="33"/>
      <c r="AA3564" s="33"/>
      <c r="AB3564" s="33"/>
    </row>
    <row r="3565" spans="1:28" x14ac:dyDescent="0.15">
      <c r="A3565" s="46" t="s">
        <v>7181</v>
      </c>
      <c r="B3565" s="52" t="s">
        <v>7361</v>
      </c>
      <c r="C3565" s="53" t="s">
        <v>7182</v>
      </c>
      <c r="D3565" s="54" t="s">
        <v>11002</v>
      </c>
      <c r="E3565" s="50">
        <f t="shared" si="121"/>
        <v>48.780821920000001</v>
      </c>
      <c r="F3565" s="51">
        <f t="shared" si="121"/>
        <v>4.6299847700000001</v>
      </c>
      <c r="H3565" s="33"/>
      <c r="I3565" s="33"/>
      <c r="J3565" s="33"/>
      <c r="K3565" s="33"/>
      <c r="L3565" s="33"/>
      <c r="M3565" s="33"/>
      <c r="N3565" s="33"/>
      <c r="O3565" s="33"/>
      <c r="P3565" s="33"/>
      <c r="Q3565" s="33"/>
      <c r="R3565" s="33"/>
      <c r="S3565" s="33"/>
      <c r="T3565" s="33"/>
      <c r="U3565" s="33"/>
      <c r="V3565" s="33"/>
      <c r="W3565" s="33"/>
      <c r="X3565" s="33"/>
      <c r="Y3565" s="33"/>
      <c r="Z3565" s="33"/>
      <c r="AA3565" s="33"/>
      <c r="AB3565" s="33"/>
    </row>
    <row r="3566" spans="1:28" x14ac:dyDescent="0.15">
      <c r="A3566" s="46" t="s">
        <v>7183</v>
      </c>
      <c r="B3566" s="52" t="s">
        <v>7361</v>
      </c>
      <c r="C3566" s="53" t="s">
        <v>7184</v>
      </c>
      <c r="D3566" s="54" t="s">
        <v>11003</v>
      </c>
      <c r="E3566" s="50">
        <f t="shared" si="121"/>
        <v>48.794520550000001</v>
      </c>
      <c r="F3566" s="51">
        <f t="shared" si="121"/>
        <v>4.6299739999999998</v>
      </c>
      <c r="H3566" s="33"/>
      <c r="I3566" s="33"/>
      <c r="J3566" s="33"/>
      <c r="K3566" s="33"/>
      <c r="L3566" s="33"/>
      <c r="M3566" s="33"/>
      <c r="N3566" s="33"/>
      <c r="O3566" s="33"/>
      <c r="P3566" s="33"/>
      <c r="Q3566" s="33"/>
      <c r="R3566" s="33"/>
      <c r="S3566" s="33"/>
      <c r="T3566" s="33"/>
      <c r="U3566" s="33"/>
      <c r="V3566" s="33"/>
      <c r="W3566" s="33"/>
      <c r="X3566" s="33"/>
      <c r="Y3566" s="33"/>
      <c r="Z3566" s="33"/>
      <c r="AA3566" s="33"/>
      <c r="AB3566" s="33"/>
    </row>
    <row r="3567" spans="1:28" x14ac:dyDescent="0.15">
      <c r="A3567" s="46" t="s">
        <v>7185</v>
      </c>
      <c r="B3567" s="52" t="s">
        <v>7361</v>
      </c>
      <c r="C3567" s="53" t="s">
        <v>7186</v>
      </c>
      <c r="D3567" s="54" t="s">
        <v>11004</v>
      </c>
      <c r="E3567" s="50">
        <f t="shared" si="121"/>
        <v>48.808219180000002</v>
      </c>
      <c r="F3567" s="51">
        <f t="shared" si="121"/>
        <v>4.6299633099999999</v>
      </c>
      <c r="H3567" s="33"/>
      <c r="I3567" s="33"/>
      <c r="J3567" s="33"/>
      <c r="K3567" s="33"/>
      <c r="L3567" s="33"/>
      <c r="M3567" s="33"/>
      <c r="N3567" s="33"/>
      <c r="O3567" s="33"/>
      <c r="P3567" s="33"/>
      <c r="Q3567" s="33"/>
      <c r="R3567" s="33"/>
      <c r="S3567" s="33"/>
      <c r="T3567" s="33"/>
      <c r="U3567" s="33"/>
      <c r="V3567" s="33"/>
      <c r="W3567" s="33"/>
      <c r="X3567" s="33"/>
      <c r="Y3567" s="33"/>
      <c r="Z3567" s="33"/>
      <c r="AA3567" s="33"/>
      <c r="AB3567" s="33"/>
    </row>
    <row r="3568" spans="1:28" x14ac:dyDescent="0.15">
      <c r="A3568" s="46" t="s">
        <v>7187</v>
      </c>
      <c r="B3568" s="52" t="s">
        <v>7361</v>
      </c>
      <c r="C3568" s="53" t="s">
        <v>7188</v>
      </c>
      <c r="D3568" s="54" t="s">
        <v>11005</v>
      </c>
      <c r="E3568" s="50">
        <f t="shared" si="121"/>
        <v>48.821917810000002</v>
      </c>
      <c r="F3568" s="51">
        <f t="shared" si="121"/>
        <v>4.6299526799999997</v>
      </c>
      <c r="H3568" s="33"/>
      <c r="I3568" s="33"/>
      <c r="J3568" s="33"/>
      <c r="K3568" s="33"/>
      <c r="L3568" s="33"/>
      <c r="M3568" s="33"/>
      <c r="N3568" s="33"/>
      <c r="O3568" s="33"/>
      <c r="P3568" s="33"/>
      <c r="Q3568" s="33"/>
      <c r="R3568" s="33"/>
      <c r="S3568" s="33"/>
      <c r="T3568" s="33"/>
      <c r="U3568" s="33"/>
      <c r="V3568" s="33"/>
      <c r="W3568" s="33"/>
      <c r="X3568" s="33"/>
      <c r="Y3568" s="33"/>
      <c r="Z3568" s="33"/>
      <c r="AA3568" s="33"/>
      <c r="AB3568" s="33"/>
    </row>
    <row r="3569" spans="1:28" x14ac:dyDescent="0.15">
      <c r="A3569" s="46" t="s">
        <v>7189</v>
      </c>
      <c r="B3569" s="52" t="s">
        <v>7361</v>
      </c>
      <c r="C3569" s="53" t="s">
        <v>7190</v>
      </c>
      <c r="D3569" s="54" t="s">
        <v>11006</v>
      </c>
      <c r="E3569" s="50">
        <f t="shared" si="121"/>
        <v>48.835616440000003</v>
      </c>
      <c r="F3569" s="51">
        <f t="shared" si="121"/>
        <v>4.6299420700000002</v>
      </c>
      <c r="H3569" s="33"/>
      <c r="I3569" s="33"/>
      <c r="J3569" s="33"/>
      <c r="K3569" s="33"/>
      <c r="L3569" s="33"/>
      <c r="M3569" s="33"/>
      <c r="N3569" s="33"/>
      <c r="O3569" s="33"/>
      <c r="P3569" s="33"/>
      <c r="Q3569" s="33"/>
      <c r="R3569" s="33"/>
      <c r="S3569" s="33"/>
      <c r="T3569" s="33"/>
      <c r="U3569" s="33"/>
      <c r="V3569" s="33"/>
      <c r="W3569" s="33"/>
      <c r="X3569" s="33"/>
      <c r="Y3569" s="33"/>
      <c r="Z3569" s="33"/>
      <c r="AA3569" s="33"/>
      <c r="AB3569" s="33"/>
    </row>
    <row r="3570" spans="1:28" x14ac:dyDescent="0.15">
      <c r="A3570" s="46" t="s">
        <v>7191</v>
      </c>
      <c r="B3570" s="52" t="s">
        <v>7361</v>
      </c>
      <c r="C3570" s="53" t="s">
        <v>7192</v>
      </c>
      <c r="D3570" s="54" t="s">
        <v>11007</v>
      </c>
      <c r="E3570" s="50">
        <f t="shared" si="121"/>
        <v>48.849315070000003</v>
      </c>
      <c r="F3570" s="51">
        <f t="shared" si="121"/>
        <v>4.6299314599999999</v>
      </c>
      <c r="H3570" s="33"/>
      <c r="I3570" s="33"/>
      <c r="J3570" s="33"/>
      <c r="K3570" s="33"/>
      <c r="L3570" s="33"/>
      <c r="M3570" s="33"/>
      <c r="N3570" s="33"/>
      <c r="O3570" s="33"/>
      <c r="P3570" s="33"/>
      <c r="Q3570" s="33"/>
      <c r="R3570" s="33"/>
      <c r="S3570" s="33"/>
      <c r="T3570" s="33"/>
      <c r="U3570" s="33"/>
      <c r="V3570" s="33"/>
      <c r="W3570" s="33"/>
      <c r="X3570" s="33"/>
      <c r="Y3570" s="33"/>
      <c r="Z3570" s="33"/>
      <c r="AA3570" s="33"/>
      <c r="AB3570" s="33"/>
    </row>
    <row r="3571" spans="1:28" x14ac:dyDescent="0.15">
      <c r="A3571" s="46" t="s">
        <v>7193</v>
      </c>
      <c r="B3571" s="52" t="s">
        <v>7361</v>
      </c>
      <c r="C3571" s="53" t="s">
        <v>7194</v>
      </c>
      <c r="D3571" s="54" t="s">
        <v>11008</v>
      </c>
      <c r="E3571" s="50">
        <f t="shared" ref="E3571:F3600" si="122">VALUE(C3571)</f>
        <v>48.863013700000003</v>
      </c>
      <c r="F3571" s="51">
        <f t="shared" si="122"/>
        <v>4.6299208199999997</v>
      </c>
      <c r="H3571" s="33"/>
      <c r="I3571" s="33"/>
      <c r="J3571" s="33"/>
      <c r="K3571" s="33"/>
      <c r="L3571" s="33"/>
      <c r="M3571" s="33"/>
      <c r="N3571" s="33"/>
      <c r="O3571" s="33"/>
      <c r="P3571" s="33"/>
      <c r="Q3571" s="33"/>
      <c r="R3571" s="33"/>
      <c r="S3571" s="33"/>
      <c r="T3571" s="33"/>
      <c r="U3571" s="33"/>
      <c r="V3571" s="33"/>
      <c r="W3571" s="33"/>
      <c r="X3571" s="33"/>
      <c r="Y3571" s="33"/>
      <c r="Z3571" s="33"/>
      <c r="AA3571" s="33"/>
      <c r="AB3571" s="33"/>
    </row>
    <row r="3572" spans="1:28" x14ac:dyDescent="0.15">
      <c r="A3572" s="46" t="s">
        <v>7195</v>
      </c>
      <c r="B3572" s="52" t="s">
        <v>7361</v>
      </c>
      <c r="C3572" s="53" t="s">
        <v>7196</v>
      </c>
      <c r="D3572" s="54" t="s">
        <v>11009</v>
      </c>
      <c r="E3572" s="50">
        <f t="shared" si="122"/>
        <v>48.876712329999997</v>
      </c>
      <c r="F3572" s="51">
        <f t="shared" si="122"/>
        <v>4.62991011</v>
      </c>
      <c r="H3572" s="33"/>
      <c r="I3572" s="33"/>
      <c r="J3572" s="33"/>
      <c r="K3572" s="33"/>
      <c r="L3572" s="33"/>
      <c r="M3572" s="33"/>
      <c r="N3572" s="33"/>
      <c r="O3572" s="33"/>
      <c r="P3572" s="33"/>
      <c r="Q3572" s="33"/>
      <c r="R3572" s="33"/>
      <c r="S3572" s="33"/>
      <c r="T3572" s="33"/>
      <c r="U3572" s="33"/>
      <c r="V3572" s="33"/>
      <c r="W3572" s="33"/>
      <c r="X3572" s="33"/>
      <c r="Y3572" s="33"/>
      <c r="Z3572" s="33"/>
      <c r="AA3572" s="33"/>
      <c r="AB3572" s="33"/>
    </row>
    <row r="3573" spans="1:28" x14ac:dyDescent="0.15">
      <c r="A3573" s="46" t="s">
        <v>7197</v>
      </c>
      <c r="B3573" s="52" t="s">
        <v>7361</v>
      </c>
      <c r="C3573" s="53" t="s">
        <v>7198</v>
      </c>
      <c r="D3573" s="54" t="s">
        <v>11010</v>
      </c>
      <c r="E3573" s="50">
        <f t="shared" si="122"/>
        <v>48.890410959999997</v>
      </c>
      <c r="F3573" s="51">
        <f t="shared" si="122"/>
        <v>4.6298993099999999</v>
      </c>
      <c r="H3573" s="33"/>
      <c r="I3573" s="33"/>
      <c r="J3573" s="33"/>
      <c r="K3573" s="33"/>
      <c r="L3573" s="33"/>
      <c r="M3573" s="33"/>
      <c r="N3573" s="33"/>
      <c r="O3573" s="33"/>
      <c r="P3573" s="33"/>
      <c r="Q3573" s="33"/>
      <c r="R3573" s="33"/>
      <c r="S3573" s="33"/>
      <c r="T3573" s="33"/>
      <c r="U3573" s="33"/>
      <c r="V3573" s="33"/>
      <c r="W3573" s="33"/>
      <c r="X3573" s="33"/>
      <c r="Y3573" s="33"/>
      <c r="Z3573" s="33"/>
      <c r="AA3573" s="33"/>
      <c r="AB3573" s="33"/>
    </row>
    <row r="3574" spans="1:28" x14ac:dyDescent="0.15">
      <c r="A3574" s="46" t="s">
        <v>7199</v>
      </c>
      <c r="B3574" s="52" t="s">
        <v>7361</v>
      </c>
      <c r="C3574" s="53" t="s">
        <v>7200</v>
      </c>
      <c r="D3574" s="54" t="s">
        <v>11011</v>
      </c>
      <c r="E3574" s="50">
        <f t="shared" si="122"/>
        <v>48.904109589999997</v>
      </c>
      <c r="F3574" s="51">
        <f t="shared" si="122"/>
        <v>4.6298883799999997</v>
      </c>
      <c r="H3574" s="33"/>
      <c r="I3574" s="33"/>
      <c r="J3574" s="33"/>
      <c r="K3574" s="33"/>
      <c r="L3574" s="33"/>
      <c r="M3574" s="33"/>
      <c r="N3574" s="33"/>
      <c r="O3574" s="33"/>
      <c r="P3574" s="33"/>
      <c r="Q3574" s="33"/>
      <c r="R3574" s="33"/>
      <c r="S3574" s="33"/>
      <c r="T3574" s="33"/>
      <c r="U3574" s="33"/>
      <c r="V3574" s="33"/>
      <c r="W3574" s="33"/>
      <c r="X3574" s="33"/>
      <c r="Y3574" s="33"/>
      <c r="Z3574" s="33"/>
      <c r="AA3574" s="33"/>
      <c r="AB3574" s="33"/>
    </row>
    <row r="3575" spans="1:28" x14ac:dyDescent="0.15">
      <c r="A3575" s="46" t="s">
        <v>7201</v>
      </c>
      <c r="B3575" s="52" t="s">
        <v>7361</v>
      </c>
      <c r="C3575" s="53" t="s">
        <v>7202</v>
      </c>
      <c r="D3575" s="54" t="s">
        <v>11012</v>
      </c>
      <c r="E3575" s="50">
        <f t="shared" si="122"/>
        <v>48.917808219999998</v>
      </c>
      <c r="F3575" s="51">
        <f t="shared" si="122"/>
        <v>4.6298773100000004</v>
      </c>
      <c r="H3575" s="33"/>
      <c r="I3575" s="33"/>
      <c r="J3575" s="33"/>
      <c r="K3575" s="33"/>
      <c r="L3575" s="33"/>
      <c r="M3575" s="33"/>
      <c r="N3575" s="33"/>
      <c r="O3575" s="33"/>
      <c r="P3575" s="33"/>
      <c r="Q3575" s="33"/>
      <c r="R3575" s="33"/>
      <c r="S3575" s="33"/>
      <c r="T3575" s="33"/>
      <c r="U3575" s="33"/>
      <c r="V3575" s="33"/>
      <c r="W3575" s="33"/>
      <c r="X3575" s="33"/>
      <c r="Y3575" s="33"/>
      <c r="Z3575" s="33"/>
      <c r="AA3575" s="33"/>
      <c r="AB3575" s="33"/>
    </row>
    <row r="3576" spans="1:28" x14ac:dyDescent="0.15">
      <c r="A3576" s="46" t="s">
        <v>7203</v>
      </c>
      <c r="B3576" s="52" t="s">
        <v>7361</v>
      </c>
      <c r="C3576" s="53" t="s">
        <v>7204</v>
      </c>
      <c r="D3576" s="54" t="s">
        <v>11013</v>
      </c>
      <c r="E3576" s="50">
        <f t="shared" si="122"/>
        <v>48.931506849999998</v>
      </c>
      <c r="F3576" s="51">
        <f t="shared" si="122"/>
        <v>4.6298660600000003</v>
      </c>
      <c r="H3576" s="33"/>
      <c r="I3576" s="33"/>
      <c r="J3576" s="33"/>
      <c r="K3576" s="33"/>
      <c r="L3576" s="33"/>
      <c r="M3576" s="33"/>
      <c r="N3576" s="33"/>
      <c r="O3576" s="33"/>
      <c r="P3576" s="33"/>
      <c r="Q3576" s="33"/>
      <c r="R3576" s="33"/>
      <c r="S3576" s="33"/>
      <c r="T3576" s="33"/>
      <c r="U3576" s="33"/>
      <c r="V3576" s="33"/>
      <c r="W3576" s="33"/>
      <c r="X3576" s="33"/>
      <c r="Y3576" s="33"/>
      <c r="Z3576" s="33"/>
      <c r="AA3576" s="33"/>
      <c r="AB3576" s="33"/>
    </row>
    <row r="3577" spans="1:28" x14ac:dyDescent="0.15">
      <c r="A3577" s="46" t="s">
        <v>7205</v>
      </c>
      <c r="B3577" s="52" t="s">
        <v>7361</v>
      </c>
      <c r="C3577" s="53" t="s">
        <v>7206</v>
      </c>
      <c r="D3577" s="54" t="s">
        <v>11014</v>
      </c>
      <c r="E3577" s="50">
        <f t="shared" si="122"/>
        <v>48.945205479999998</v>
      </c>
      <c r="F3577" s="51">
        <f t="shared" si="122"/>
        <v>4.6298546099999998</v>
      </c>
      <c r="H3577" s="33"/>
      <c r="I3577" s="33"/>
      <c r="J3577" s="33"/>
      <c r="K3577" s="33"/>
      <c r="L3577" s="33"/>
      <c r="M3577" s="33"/>
      <c r="N3577" s="33"/>
      <c r="O3577" s="33"/>
      <c r="P3577" s="33"/>
      <c r="Q3577" s="33"/>
      <c r="R3577" s="33"/>
      <c r="S3577" s="33"/>
      <c r="T3577" s="33"/>
      <c r="U3577" s="33"/>
      <c r="V3577" s="33"/>
      <c r="W3577" s="33"/>
      <c r="X3577" s="33"/>
      <c r="Y3577" s="33"/>
      <c r="Z3577" s="33"/>
      <c r="AA3577" s="33"/>
      <c r="AB3577" s="33"/>
    </row>
    <row r="3578" spans="1:28" x14ac:dyDescent="0.15">
      <c r="A3578" s="46" t="s">
        <v>7207</v>
      </c>
      <c r="B3578" s="52" t="s">
        <v>7361</v>
      </c>
      <c r="C3578" s="53" t="s">
        <v>7208</v>
      </c>
      <c r="D3578" s="54" t="s">
        <v>11015</v>
      </c>
      <c r="E3578" s="50">
        <f t="shared" si="122"/>
        <v>48.958904109999999</v>
      </c>
      <c r="F3578" s="51">
        <f t="shared" si="122"/>
        <v>4.6298429099999998</v>
      </c>
      <c r="H3578" s="33"/>
      <c r="I3578" s="33"/>
      <c r="J3578" s="33"/>
      <c r="K3578" s="33"/>
      <c r="L3578" s="33"/>
      <c r="M3578" s="33"/>
      <c r="N3578" s="33"/>
      <c r="O3578" s="33"/>
      <c r="P3578" s="33"/>
      <c r="Q3578" s="33"/>
      <c r="R3578" s="33"/>
      <c r="S3578" s="33"/>
      <c r="T3578" s="33"/>
      <c r="U3578" s="33"/>
      <c r="V3578" s="33"/>
      <c r="W3578" s="33"/>
      <c r="X3578" s="33"/>
      <c r="Y3578" s="33"/>
      <c r="Z3578" s="33"/>
      <c r="AA3578" s="33"/>
      <c r="AB3578" s="33"/>
    </row>
    <row r="3579" spans="1:28" x14ac:dyDescent="0.15">
      <c r="A3579" s="46" t="s">
        <v>7209</v>
      </c>
      <c r="B3579" s="52" t="s">
        <v>7361</v>
      </c>
      <c r="C3579" s="53" t="s">
        <v>7210</v>
      </c>
      <c r="D3579" s="54" t="s">
        <v>11016</v>
      </c>
      <c r="E3579" s="50">
        <f t="shared" si="122"/>
        <v>48.972602739999999</v>
      </c>
      <c r="F3579" s="51">
        <f t="shared" si="122"/>
        <v>4.6298309499999997</v>
      </c>
      <c r="H3579" s="33"/>
      <c r="I3579" s="33"/>
      <c r="J3579" s="33"/>
      <c r="K3579" s="33"/>
      <c r="L3579" s="33"/>
      <c r="M3579" s="33"/>
      <c r="N3579" s="33"/>
      <c r="O3579" s="33"/>
      <c r="P3579" s="33"/>
      <c r="Q3579" s="33"/>
      <c r="R3579" s="33"/>
      <c r="S3579" s="33"/>
      <c r="T3579" s="33"/>
      <c r="U3579" s="33"/>
      <c r="V3579" s="33"/>
      <c r="W3579" s="33"/>
      <c r="X3579" s="33"/>
      <c r="Y3579" s="33"/>
      <c r="Z3579" s="33"/>
      <c r="AA3579" s="33"/>
      <c r="AB3579" s="33"/>
    </row>
    <row r="3580" spans="1:28" x14ac:dyDescent="0.15">
      <c r="A3580" s="46" t="s">
        <v>7211</v>
      </c>
      <c r="B3580" s="52" t="s">
        <v>7361</v>
      </c>
      <c r="C3580" s="53" t="s">
        <v>7212</v>
      </c>
      <c r="D3580" s="54" t="s">
        <v>11017</v>
      </c>
      <c r="E3580" s="50">
        <f t="shared" si="122"/>
        <v>48.98630137</v>
      </c>
      <c r="F3580" s="51">
        <f t="shared" si="122"/>
        <v>4.6298187000000004</v>
      </c>
      <c r="H3580" s="33"/>
      <c r="I3580" s="33"/>
      <c r="J3580" s="33"/>
      <c r="K3580" s="33"/>
      <c r="L3580" s="33"/>
      <c r="M3580" s="33"/>
      <c r="N3580" s="33"/>
      <c r="O3580" s="33"/>
      <c r="P3580" s="33"/>
      <c r="Q3580" s="33"/>
      <c r="R3580" s="33"/>
      <c r="S3580" s="33"/>
      <c r="T3580" s="33"/>
      <c r="U3580" s="33"/>
      <c r="V3580" s="33"/>
      <c r="W3580" s="33"/>
      <c r="X3580" s="33"/>
      <c r="Y3580" s="33"/>
      <c r="Z3580" s="33"/>
      <c r="AA3580" s="33"/>
      <c r="AB3580" s="33"/>
    </row>
    <row r="3581" spans="1:28" x14ac:dyDescent="0.15">
      <c r="A3581" s="46" t="s">
        <v>7213</v>
      </c>
      <c r="B3581" s="52" t="s">
        <v>7361</v>
      </c>
      <c r="C3581" s="53" t="s">
        <v>7214</v>
      </c>
      <c r="D3581" s="54" t="s">
        <v>11018</v>
      </c>
      <c r="E3581" s="50">
        <f t="shared" si="122"/>
        <v>49</v>
      </c>
      <c r="F3581" s="51">
        <f t="shared" si="122"/>
        <v>4.6298061199999996</v>
      </c>
      <c r="H3581" s="33"/>
      <c r="I3581" s="33"/>
      <c r="J3581" s="33"/>
      <c r="K3581" s="33"/>
      <c r="L3581" s="33"/>
      <c r="M3581" s="33"/>
      <c r="N3581" s="33"/>
      <c r="O3581" s="33"/>
      <c r="P3581" s="33"/>
      <c r="Q3581" s="33"/>
      <c r="R3581" s="33"/>
      <c r="S3581" s="33"/>
      <c r="T3581" s="33"/>
      <c r="U3581" s="33"/>
      <c r="V3581" s="33"/>
      <c r="W3581" s="33"/>
      <c r="X3581" s="33"/>
      <c r="Y3581" s="33"/>
      <c r="Z3581" s="33"/>
      <c r="AA3581" s="33"/>
      <c r="AB3581" s="33"/>
    </row>
    <row r="3582" spans="1:28" x14ac:dyDescent="0.15">
      <c r="A3582" s="46" t="s">
        <v>7215</v>
      </c>
      <c r="B3582" s="52" t="s">
        <v>7361</v>
      </c>
      <c r="C3582" s="53" t="s">
        <v>7216</v>
      </c>
      <c r="D3582" s="54" t="s">
        <v>11019</v>
      </c>
      <c r="E3582" s="50">
        <f t="shared" si="122"/>
        <v>49.01369863</v>
      </c>
      <c r="F3582" s="51">
        <f t="shared" si="122"/>
        <v>4.6297936799999997</v>
      </c>
      <c r="H3582" s="33"/>
      <c r="I3582" s="33"/>
      <c r="J3582" s="33"/>
      <c r="K3582" s="33"/>
      <c r="L3582" s="33"/>
      <c r="M3582" s="33"/>
      <c r="N3582" s="33"/>
      <c r="O3582" s="33"/>
      <c r="P3582" s="33"/>
      <c r="Q3582" s="33"/>
      <c r="R3582" s="33"/>
      <c r="S3582" s="33"/>
      <c r="T3582" s="33"/>
      <c r="U3582" s="33"/>
      <c r="V3582" s="33"/>
      <c r="W3582" s="33"/>
      <c r="X3582" s="33"/>
      <c r="Y3582" s="33"/>
      <c r="Z3582" s="33"/>
      <c r="AA3582" s="33"/>
      <c r="AB3582" s="33"/>
    </row>
    <row r="3583" spans="1:28" x14ac:dyDescent="0.15">
      <c r="A3583" s="46" t="s">
        <v>7217</v>
      </c>
      <c r="B3583" s="52" t="s">
        <v>7361</v>
      </c>
      <c r="C3583" s="53" t="s">
        <v>7218</v>
      </c>
      <c r="D3583" s="54" t="s">
        <v>11020</v>
      </c>
      <c r="E3583" s="50">
        <f t="shared" si="122"/>
        <v>49.027397260000001</v>
      </c>
      <c r="F3583" s="51">
        <f t="shared" si="122"/>
        <v>4.6297818499999996</v>
      </c>
      <c r="H3583" s="33"/>
      <c r="I3583" s="33"/>
      <c r="J3583" s="33"/>
      <c r="K3583" s="33"/>
      <c r="L3583" s="33"/>
      <c r="M3583" s="33"/>
      <c r="N3583" s="33"/>
      <c r="O3583" s="33"/>
      <c r="P3583" s="33"/>
      <c r="Q3583" s="33"/>
      <c r="R3583" s="33"/>
      <c r="S3583" s="33"/>
      <c r="T3583" s="33"/>
      <c r="U3583" s="33"/>
      <c r="V3583" s="33"/>
      <c r="W3583" s="33"/>
      <c r="X3583" s="33"/>
      <c r="Y3583" s="33"/>
      <c r="Z3583" s="33"/>
      <c r="AA3583" s="33"/>
      <c r="AB3583" s="33"/>
    </row>
    <row r="3584" spans="1:28" x14ac:dyDescent="0.15">
      <c r="A3584" s="46" t="s">
        <v>7219</v>
      </c>
      <c r="B3584" s="52" t="s">
        <v>7361</v>
      </c>
      <c r="C3584" s="53" t="s">
        <v>7220</v>
      </c>
      <c r="D3584" s="54" t="s">
        <v>11021</v>
      </c>
      <c r="E3584" s="50">
        <f t="shared" si="122"/>
        <v>49.041095890000001</v>
      </c>
      <c r="F3584" s="51">
        <f t="shared" si="122"/>
        <v>4.6297706200000004</v>
      </c>
      <c r="H3584" s="33"/>
      <c r="I3584" s="33"/>
      <c r="J3584" s="33"/>
      <c r="K3584" s="33"/>
      <c r="L3584" s="33"/>
      <c r="M3584" s="33"/>
      <c r="N3584" s="33"/>
      <c r="O3584" s="33"/>
      <c r="P3584" s="33"/>
      <c r="Q3584" s="33"/>
      <c r="R3584" s="33"/>
      <c r="S3584" s="33"/>
      <c r="T3584" s="33"/>
      <c r="U3584" s="33"/>
      <c r="V3584" s="33"/>
      <c r="W3584" s="33"/>
      <c r="X3584" s="33"/>
      <c r="Y3584" s="33"/>
      <c r="Z3584" s="33"/>
      <c r="AA3584" s="33"/>
      <c r="AB3584" s="33"/>
    </row>
    <row r="3585" spans="1:28" x14ac:dyDescent="0.15">
      <c r="A3585" s="46" t="s">
        <v>7221</v>
      </c>
      <c r="B3585" s="52" t="s">
        <v>7361</v>
      </c>
      <c r="C3585" s="53" t="s">
        <v>7222</v>
      </c>
      <c r="D3585" s="54" t="s">
        <v>11022</v>
      </c>
      <c r="E3585" s="50">
        <f t="shared" si="122"/>
        <v>49.054794520000002</v>
      </c>
      <c r="F3585" s="51">
        <f t="shared" si="122"/>
        <v>4.6297599600000003</v>
      </c>
      <c r="H3585" s="33"/>
      <c r="I3585" s="33"/>
      <c r="J3585" s="33"/>
      <c r="K3585" s="33"/>
      <c r="L3585" s="33"/>
      <c r="M3585" s="33"/>
      <c r="N3585" s="33"/>
      <c r="O3585" s="33"/>
      <c r="P3585" s="33"/>
      <c r="Q3585" s="33"/>
      <c r="R3585" s="33"/>
      <c r="S3585" s="33"/>
      <c r="T3585" s="33"/>
      <c r="U3585" s="33"/>
      <c r="V3585" s="33"/>
      <c r="W3585" s="33"/>
      <c r="X3585" s="33"/>
      <c r="Y3585" s="33"/>
      <c r="Z3585" s="33"/>
      <c r="AA3585" s="33"/>
      <c r="AB3585" s="33"/>
    </row>
    <row r="3586" spans="1:28" x14ac:dyDescent="0.15">
      <c r="A3586" s="46" t="s">
        <v>7223</v>
      </c>
      <c r="B3586" s="52" t="s">
        <v>7361</v>
      </c>
      <c r="C3586" s="53" t="s">
        <v>7224</v>
      </c>
      <c r="D3586" s="54" t="s">
        <v>11023</v>
      </c>
      <c r="E3586" s="50">
        <f t="shared" si="122"/>
        <v>49.068493150000002</v>
      </c>
      <c r="F3586" s="51">
        <f t="shared" si="122"/>
        <v>4.6297498700000004</v>
      </c>
      <c r="H3586" s="33"/>
      <c r="I3586" s="33"/>
      <c r="J3586" s="33"/>
      <c r="K3586" s="33"/>
      <c r="L3586" s="33"/>
      <c r="M3586" s="33"/>
      <c r="N3586" s="33"/>
      <c r="O3586" s="33"/>
      <c r="P3586" s="33"/>
      <c r="Q3586" s="33"/>
      <c r="R3586" s="33"/>
      <c r="S3586" s="33"/>
      <c r="T3586" s="33"/>
      <c r="U3586" s="33"/>
      <c r="V3586" s="33"/>
      <c r="W3586" s="33"/>
      <c r="X3586" s="33"/>
      <c r="Y3586" s="33"/>
      <c r="Z3586" s="33"/>
      <c r="AA3586" s="33"/>
      <c r="AB3586" s="33"/>
    </row>
    <row r="3587" spans="1:28" x14ac:dyDescent="0.15">
      <c r="A3587" s="46" t="s">
        <v>7225</v>
      </c>
      <c r="B3587" s="52" t="s">
        <v>7361</v>
      </c>
      <c r="C3587" s="53" t="s">
        <v>7226</v>
      </c>
      <c r="D3587" s="54" t="s">
        <v>11024</v>
      </c>
      <c r="E3587" s="50">
        <f t="shared" si="122"/>
        <v>49.082191780000002</v>
      </c>
      <c r="F3587" s="51">
        <f t="shared" si="122"/>
        <v>4.6297403299999997</v>
      </c>
      <c r="H3587" s="33"/>
      <c r="I3587" s="33"/>
      <c r="J3587" s="33"/>
      <c r="K3587" s="33"/>
      <c r="L3587" s="33"/>
      <c r="M3587" s="33"/>
      <c r="N3587" s="33"/>
      <c r="O3587" s="33"/>
      <c r="P3587" s="33"/>
      <c r="Q3587" s="33"/>
      <c r="R3587" s="33"/>
      <c r="S3587" s="33"/>
      <c r="T3587" s="33"/>
      <c r="U3587" s="33"/>
      <c r="V3587" s="33"/>
      <c r="W3587" s="33"/>
      <c r="X3587" s="33"/>
      <c r="Y3587" s="33"/>
      <c r="Z3587" s="33"/>
      <c r="AA3587" s="33"/>
      <c r="AB3587" s="33"/>
    </row>
    <row r="3588" spans="1:28" x14ac:dyDescent="0.15">
      <c r="A3588" s="46" t="s">
        <v>7227</v>
      </c>
      <c r="B3588" s="52" t="s">
        <v>7361</v>
      </c>
      <c r="C3588" s="53" t="s">
        <v>7228</v>
      </c>
      <c r="D3588" s="54" t="s">
        <v>11025</v>
      </c>
      <c r="E3588" s="50">
        <f t="shared" si="122"/>
        <v>49.095890410000003</v>
      </c>
      <c r="F3588" s="51">
        <f t="shared" si="122"/>
        <v>4.6297313200000003</v>
      </c>
      <c r="H3588" s="33"/>
      <c r="I3588" s="33"/>
      <c r="J3588" s="33"/>
      <c r="K3588" s="33"/>
      <c r="L3588" s="33"/>
      <c r="M3588" s="33"/>
      <c r="N3588" s="33"/>
      <c r="O3588" s="33"/>
      <c r="P3588" s="33"/>
      <c r="Q3588" s="33"/>
      <c r="R3588" s="33"/>
      <c r="S3588" s="33"/>
      <c r="T3588" s="33"/>
      <c r="U3588" s="33"/>
      <c r="V3588" s="33"/>
      <c r="W3588" s="33"/>
      <c r="X3588" s="33"/>
      <c r="Y3588" s="33"/>
      <c r="Z3588" s="33"/>
      <c r="AA3588" s="33"/>
      <c r="AB3588" s="33"/>
    </row>
    <row r="3589" spans="1:28" x14ac:dyDescent="0.15">
      <c r="A3589" s="46" t="s">
        <v>7229</v>
      </c>
      <c r="B3589" s="52" t="s">
        <v>7361</v>
      </c>
      <c r="C3589" s="53" t="s">
        <v>7230</v>
      </c>
      <c r="D3589" s="54" t="s">
        <v>11026</v>
      </c>
      <c r="E3589" s="50">
        <f t="shared" si="122"/>
        <v>49.109589040000003</v>
      </c>
      <c r="F3589" s="51">
        <f t="shared" si="122"/>
        <v>4.6297228300000004</v>
      </c>
      <c r="H3589" s="33"/>
      <c r="I3589" s="33"/>
      <c r="J3589" s="33"/>
      <c r="K3589" s="33"/>
      <c r="L3589" s="33"/>
      <c r="M3589" s="33"/>
      <c r="N3589" s="33"/>
      <c r="O3589" s="33"/>
      <c r="P3589" s="33"/>
      <c r="Q3589" s="33"/>
      <c r="R3589" s="33"/>
      <c r="S3589" s="33"/>
      <c r="T3589" s="33"/>
      <c r="U3589" s="33"/>
      <c r="V3589" s="33"/>
      <c r="W3589" s="33"/>
      <c r="X3589" s="33"/>
      <c r="Y3589" s="33"/>
      <c r="Z3589" s="33"/>
      <c r="AA3589" s="33"/>
      <c r="AB3589" s="33"/>
    </row>
    <row r="3590" spans="1:28" x14ac:dyDescent="0.15">
      <c r="A3590" s="46" t="s">
        <v>7231</v>
      </c>
      <c r="B3590" s="52" t="s">
        <v>7361</v>
      </c>
      <c r="C3590" s="53" t="s">
        <v>7232</v>
      </c>
      <c r="D3590" s="54" t="s">
        <v>11027</v>
      </c>
      <c r="E3590" s="50">
        <f t="shared" si="122"/>
        <v>49.123287670000003</v>
      </c>
      <c r="F3590" s="51">
        <f t="shared" si="122"/>
        <v>4.62971485</v>
      </c>
      <c r="H3590" s="33"/>
      <c r="I3590" s="33"/>
      <c r="J3590" s="33"/>
      <c r="K3590" s="33"/>
      <c r="L3590" s="33"/>
      <c r="M3590" s="33"/>
      <c r="N3590" s="33"/>
      <c r="O3590" s="33"/>
      <c r="P3590" s="33"/>
      <c r="Q3590" s="33"/>
      <c r="R3590" s="33"/>
      <c r="S3590" s="33"/>
      <c r="T3590" s="33"/>
      <c r="U3590" s="33"/>
      <c r="V3590" s="33"/>
      <c r="W3590" s="33"/>
      <c r="X3590" s="33"/>
      <c r="Y3590" s="33"/>
      <c r="Z3590" s="33"/>
      <c r="AA3590" s="33"/>
      <c r="AB3590" s="33"/>
    </row>
    <row r="3591" spans="1:28" x14ac:dyDescent="0.15">
      <c r="A3591" s="46" t="s">
        <v>7233</v>
      </c>
      <c r="B3591" s="52" t="s">
        <v>7361</v>
      </c>
      <c r="C3591" s="53" t="s">
        <v>7234</v>
      </c>
      <c r="D3591" s="54" t="s">
        <v>11028</v>
      </c>
      <c r="E3591" s="50">
        <f t="shared" si="122"/>
        <v>49.136986299999997</v>
      </c>
      <c r="F3591" s="51">
        <f t="shared" si="122"/>
        <v>4.6297073500000003</v>
      </c>
      <c r="H3591" s="33"/>
      <c r="I3591" s="33"/>
      <c r="J3591" s="33"/>
      <c r="K3591" s="33"/>
      <c r="L3591" s="33"/>
      <c r="M3591" s="33"/>
      <c r="N3591" s="33"/>
      <c r="O3591" s="33"/>
      <c r="P3591" s="33"/>
      <c r="Q3591" s="33"/>
      <c r="R3591" s="33"/>
      <c r="S3591" s="33"/>
      <c r="T3591" s="33"/>
      <c r="U3591" s="33"/>
      <c r="V3591" s="33"/>
      <c r="W3591" s="33"/>
      <c r="X3591" s="33"/>
      <c r="Y3591" s="33"/>
      <c r="Z3591" s="33"/>
      <c r="AA3591" s="33"/>
      <c r="AB3591" s="33"/>
    </row>
    <row r="3592" spans="1:28" x14ac:dyDescent="0.15">
      <c r="A3592" s="46" t="s">
        <v>7235</v>
      </c>
      <c r="B3592" s="52" t="s">
        <v>7361</v>
      </c>
      <c r="C3592" s="53" t="s">
        <v>7236</v>
      </c>
      <c r="D3592" s="54" t="s">
        <v>11029</v>
      </c>
      <c r="E3592" s="50">
        <f t="shared" si="122"/>
        <v>49.150684929999997</v>
      </c>
      <c r="F3592" s="51">
        <f t="shared" si="122"/>
        <v>4.6297003300000004</v>
      </c>
      <c r="H3592" s="33"/>
      <c r="I3592" s="33"/>
      <c r="J3592" s="33"/>
      <c r="K3592" s="33"/>
      <c r="L3592" s="33"/>
      <c r="M3592" s="33"/>
      <c r="N3592" s="33"/>
      <c r="O3592" s="33"/>
      <c r="P3592" s="33"/>
      <c r="Q3592" s="33"/>
      <c r="R3592" s="33"/>
      <c r="S3592" s="33"/>
      <c r="T3592" s="33"/>
      <c r="U3592" s="33"/>
      <c r="V3592" s="33"/>
      <c r="W3592" s="33"/>
      <c r="X3592" s="33"/>
      <c r="Y3592" s="33"/>
      <c r="Z3592" s="33"/>
      <c r="AA3592" s="33"/>
      <c r="AB3592" s="33"/>
    </row>
    <row r="3593" spans="1:28" x14ac:dyDescent="0.15">
      <c r="A3593" s="46" t="s">
        <v>7237</v>
      </c>
      <c r="B3593" s="52" t="s">
        <v>7361</v>
      </c>
      <c r="C3593" s="53" t="s">
        <v>7238</v>
      </c>
      <c r="D3593" s="54" t="s">
        <v>11030</v>
      </c>
      <c r="E3593" s="50">
        <f t="shared" si="122"/>
        <v>49.164383559999997</v>
      </c>
      <c r="F3593" s="51">
        <f t="shared" si="122"/>
        <v>4.6296937700000003</v>
      </c>
      <c r="H3593" s="33"/>
      <c r="I3593" s="33"/>
      <c r="J3593" s="33"/>
      <c r="K3593" s="33"/>
      <c r="L3593" s="33"/>
      <c r="M3593" s="33"/>
      <c r="N3593" s="33"/>
      <c r="O3593" s="33"/>
      <c r="P3593" s="33"/>
      <c r="Q3593" s="33"/>
      <c r="R3593" s="33"/>
      <c r="S3593" s="33"/>
      <c r="T3593" s="33"/>
      <c r="U3593" s="33"/>
      <c r="V3593" s="33"/>
      <c r="W3593" s="33"/>
      <c r="X3593" s="33"/>
      <c r="Y3593" s="33"/>
      <c r="Z3593" s="33"/>
      <c r="AA3593" s="33"/>
      <c r="AB3593" s="33"/>
    </row>
    <row r="3594" spans="1:28" x14ac:dyDescent="0.15">
      <c r="A3594" s="46" t="s">
        <v>7239</v>
      </c>
      <c r="B3594" s="52" t="s">
        <v>7361</v>
      </c>
      <c r="C3594" s="53" t="s">
        <v>7240</v>
      </c>
      <c r="D3594" s="54" t="s">
        <v>11031</v>
      </c>
      <c r="E3594" s="50">
        <f t="shared" si="122"/>
        <v>49.178082189999998</v>
      </c>
      <c r="F3594" s="51">
        <f t="shared" si="122"/>
        <v>4.6296876500000002</v>
      </c>
      <c r="H3594" s="33"/>
      <c r="I3594" s="33"/>
      <c r="J3594" s="33"/>
      <c r="K3594" s="33"/>
      <c r="L3594" s="33"/>
      <c r="M3594" s="33"/>
      <c r="N3594" s="33"/>
      <c r="O3594" s="33"/>
      <c r="P3594" s="33"/>
      <c r="Q3594" s="33"/>
      <c r="R3594" s="33"/>
      <c r="S3594" s="33"/>
      <c r="T3594" s="33"/>
      <c r="U3594" s="33"/>
      <c r="V3594" s="33"/>
      <c r="W3594" s="33"/>
      <c r="X3594" s="33"/>
      <c r="Y3594" s="33"/>
      <c r="Z3594" s="33"/>
      <c r="AA3594" s="33"/>
      <c r="AB3594" s="33"/>
    </row>
    <row r="3595" spans="1:28" x14ac:dyDescent="0.15">
      <c r="A3595" s="46" t="s">
        <v>7241</v>
      </c>
      <c r="B3595" s="52" t="s">
        <v>7361</v>
      </c>
      <c r="C3595" s="53" t="s">
        <v>7242</v>
      </c>
      <c r="D3595" s="54" t="s">
        <v>11032</v>
      </c>
      <c r="E3595" s="50">
        <f t="shared" si="122"/>
        <v>49.191780819999998</v>
      </c>
      <c r="F3595" s="51">
        <f t="shared" si="122"/>
        <v>4.6296819600000001</v>
      </c>
      <c r="H3595" s="33"/>
      <c r="I3595" s="33"/>
      <c r="J3595" s="33"/>
      <c r="K3595" s="33"/>
      <c r="L3595" s="33"/>
      <c r="M3595" s="33"/>
      <c r="N3595" s="33"/>
      <c r="O3595" s="33"/>
      <c r="P3595" s="33"/>
      <c r="Q3595" s="33"/>
      <c r="R3595" s="33"/>
      <c r="S3595" s="33"/>
      <c r="T3595" s="33"/>
      <c r="U3595" s="33"/>
      <c r="V3595" s="33"/>
      <c r="W3595" s="33"/>
      <c r="X3595" s="33"/>
      <c r="Y3595" s="33"/>
      <c r="Z3595" s="33"/>
      <c r="AA3595" s="33"/>
      <c r="AB3595" s="33"/>
    </row>
    <row r="3596" spans="1:28" x14ac:dyDescent="0.15">
      <c r="A3596" s="46" t="s">
        <v>7243</v>
      </c>
      <c r="B3596" s="52" t="s">
        <v>7361</v>
      </c>
      <c r="C3596" s="53" t="s">
        <v>7244</v>
      </c>
      <c r="D3596" s="54" t="s">
        <v>11033</v>
      </c>
      <c r="E3596" s="50">
        <f t="shared" si="122"/>
        <v>49.205479449999999</v>
      </c>
      <c r="F3596" s="51">
        <f t="shared" si="122"/>
        <v>4.6296766800000002</v>
      </c>
      <c r="H3596" s="33"/>
      <c r="I3596" s="33"/>
      <c r="J3596" s="33"/>
      <c r="K3596" s="33"/>
      <c r="L3596" s="33"/>
      <c r="M3596" s="33"/>
      <c r="N3596" s="33"/>
      <c r="O3596" s="33"/>
      <c r="P3596" s="33"/>
      <c r="Q3596" s="33"/>
      <c r="R3596" s="33"/>
      <c r="S3596" s="33"/>
      <c r="T3596" s="33"/>
      <c r="U3596" s="33"/>
      <c r="V3596" s="33"/>
      <c r="W3596" s="33"/>
      <c r="X3596" s="33"/>
      <c r="Y3596" s="33"/>
      <c r="Z3596" s="33"/>
      <c r="AA3596" s="33"/>
      <c r="AB3596" s="33"/>
    </row>
    <row r="3597" spans="1:28" x14ac:dyDescent="0.15">
      <c r="A3597" s="46" t="s">
        <v>7245</v>
      </c>
      <c r="B3597" s="52" t="s">
        <v>7361</v>
      </c>
      <c r="C3597" s="53" t="s">
        <v>7246</v>
      </c>
      <c r="D3597" s="54" t="s">
        <v>11034</v>
      </c>
      <c r="E3597" s="50">
        <f t="shared" si="122"/>
        <v>49.219178079999999</v>
      </c>
      <c r="F3597" s="51">
        <f t="shared" si="122"/>
        <v>4.6296717999999997</v>
      </c>
      <c r="H3597" s="33"/>
      <c r="I3597" s="33"/>
      <c r="J3597" s="33"/>
      <c r="K3597" s="33"/>
      <c r="L3597" s="33"/>
      <c r="M3597" s="33"/>
      <c r="N3597" s="33"/>
      <c r="O3597" s="33"/>
      <c r="P3597" s="33"/>
      <c r="Q3597" s="33"/>
      <c r="R3597" s="33"/>
      <c r="S3597" s="33"/>
      <c r="T3597" s="33"/>
      <c r="U3597" s="33"/>
      <c r="V3597" s="33"/>
      <c r="W3597" s="33"/>
      <c r="X3597" s="33"/>
      <c r="Y3597" s="33"/>
      <c r="Z3597" s="33"/>
      <c r="AA3597" s="33"/>
      <c r="AB3597" s="33"/>
    </row>
    <row r="3598" spans="1:28" x14ac:dyDescent="0.15">
      <c r="A3598" s="46" t="s">
        <v>7247</v>
      </c>
      <c r="B3598" s="52" t="s">
        <v>7361</v>
      </c>
      <c r="C3598" s="53" t="s">
        <v>7248</v>
      </c>
      <c r="D3598" s="54" t="s">
        <v>11035</v>
      </c>
      <c r="E3598" s="50">
        <f t="shared" si="122"/>
        <v>49.232876709999999</v>
      </c>
      <c r="F3598" s="51">
        <f t="shared" si="122"/>
        <v>4.6296673100000003</v>
      </c>
      <c r="H3598" s="33"/>
      <c r="I3598" s="33"/>
      <c r="J3598" s="33"/>
      <c r="K3598" s="33"/>
      <c r="L3598" s="33"/>
      <c r="M3598" s="33"/>
      <c r="N3598" s="33"/>
      <c r="O3598" s="33"/>
      <c r="P3598" s="33"/>
      <c r="Q3598" s="33"/>
      <c r="R3598" s="33"/>
      <c r="S3598" s="33"/>
      <c r="T3598" s="33"/>
      <c r="U3598" s="33"/>
      <c r="V3598" s="33"/>
      <c r="W3598" s="33"/>
      <c r="X3598" s="33"/>
      <c r="Y3598" s="33"/>
      <c r="Z3598" s="33"/>
      <c r="AA3598" s="33"/>
      <c r="AB3598" s="33"/>
    </row>
    <row r="3599" spans="1:28" x14ac:dyDescent="0.15">
      <c r="A3599" s="46" t="s">
        <v>7249</v>
      </c>
      <c r="B3599" s="52" t="s">
        <v>7361</v>
      </c>
      <c r="C3599" s="53" t="s">
        <v>7250</v>
      </c>
      <c r="D3599" s="54" t="s">
        <v>11036</v>
      </c>
      <c r="E3599" s="50">
        <f t="shared" si="122"/>
        <v>49.24657534</v>
      </c>
      <c r="F3599" s="51">
        <f t="shared" si="122"/>
        <v>4.6296631799999997</v>
      </c>
      <c r="H3599" s="33"/>
      <c r="I3599" s="33"/>
      <c r="J3599" s="33"/>
      <c r="K3599" s="33"/>
      <c r="L3599" s="33"/>
      <c r="M3599" s="33"/>
      <c r="N3599" s="33"/>
      <c r="O3599" s="33"/>
      <c r="P3599" s="33"/>
      <c r="Q3599" s="33"/>
      <c r="R3599" s="33"/>
      <c r="S3599" s="33"/>
      <c r="T3599" s="33"/>
      <c r="U3599" s="33"/>
      <c r="V3599" s="33"/>
      <c r="W3599" s="33"/>
      <c r="X3599" s="33"/>
      <c r="Y3599" s="33"/>
      <c r="Z3599" s="33"/>
      <c r="AA3599" s="33"/>
      <c r="AB3599" s="33"/>
    </row>
    <row r="3600" spans="1:28" x14ac:dyDescent="0.15">
      <c r="A3600" s="46" t="s">
        <v>7251</v>
      </c>
      <c r="B3600" s="52" t="s">
        <v>7361</v>
      </c>
      <c r="C3600" s="53" t="s">
        <v>7252</v>
      </c>
      <c r="D3600" s="54" t="s">
        <v>11037</v>
      </c>
      <c r="E3600" s="50">
        <f t="shared" si="122"/>
        <v>49.26027397</v>
      </c>
      <c r="F3600" s="51">
        <f t="shared" si="122"/>
        <v>4.6296594000000004</v>
      </c>
      <c r="H3600" s="33"/>
      <c r="I3600" s="33"/>
      <c r="J3600" s="33"/>
      <c r="K3600" s="33"/>
      <c r="L3600" s="33"/>
      <c r="M3600" s="33"/>
      <c r="N3600" s="33"/>
      <c r="O3600" s="33"/>
      <c r="P3600" s="33"/>
      <c r="Q3600" s="33"/>
      <c r="R3600" s="33"/>
      <c r="S3600" s="33"/>
      <c r="T3600" s="33"/>
      <c r="U3600" s="33"/>
      <c r="V3600" s="33"/>
      <c r="W3600" s="33"/>
      <c r="X3600" s="33"/>
      <c r="Y3600" s="33"/>
      <c r="Z3600" s="33"/>
      <c r="AA3600" s="33"/>
      <c r="AB3600" s="33"/>
    </row>
    <row r="3601" spans="1:28" x14ac:dyDescent="0.15">
      <c r="A3601" s="46" t="s">
        <v>7253</v>
      </c>
      <c r="B3601" s="52" t="s">
        <v>7361</v>
      </c>
      <c r="C3601" s="53" t="s">
        <v>7254</v>
      </c>
      <c r="D3601" s="54" t="s">
        <v>11038</v>
      </c>
      <c r="E3601" s="50">
        <f t="shared" ref="E3601:F3631" si="123">VALUE(C3601)</f>
        <v>49.2739726</v>
      </c>
      <c r="F3601" s="51">
        <f t="shared" si="123"/>
        <v>4.62965597</v>
      </c>
      <c r="H3601" s="33"/>
      <c r="I3601" s="33"/>
      <c r="J3601" s="33"/>
      <c r="K3601" s="33"/>
      <c r="L3601" s="33"/>
      <c r="M3601" s="33"/>
      <c r="N3601" s="33"/>
      <c r="O3601" s="33"/>
      <c r="P3601" s="33"/>
      <c r="Q3601" s="33"/>
      <c r="R3601" s="33"/>
      <c r="S3601" s="33"/>
      <c r="T3601" s="33"/>
      <c r="U3601" s="33"/>
      <c r="V3601" s="33"/>
      <c r="W3601" s="33"/>
      <c r="X3601" s="33"/>
      <c r="Y3601" s="33"/>
      <c r="Z3601" s="33"/>
      <c r="AA3601" s="33"/>
      <c r="AB3601" s="33"/>
    </row>
    <row r="3602" spans="1:28" x14ac:dyDescent="0.15">
      <c r="A3602" s="46" t="s">
        <v>7255</v>
      </c>
      <c r="B3602" s="52" t="s">
        <v>7361</v>
      </c>
      <c r="C3602" s="53" t="s">
        <v>7256</v>
      </c>
      <c r="D3602" s="54" t="s">
        <v>11039</v>
      </c>
      <c r="E3602" s="50">
        <f t="shared" si="123"/>
        <v>49.287671230000001</v>
      </c>
      <c r="F3602" s="51">
        <f t="shared" si="123"/>
        <v>4.6296528500000003</v>
      </c>
      <c r="H3602" s="33"/>
      <c r="I3602" s="33"/>
      <c r="J3602" s="33"/>
      <c r="K3602" s="33"/>
      <c r="L3602" s="33"/>
      <c r="M3602" s="33"/>
      <c r="N3602" s="33"/>
      <c r="O3602" s="33"/>
      <c r="P3602" s="33"/>
      <c r="Q3602" s="33"/>
      <c r="R3602" s="33"/>
      <c r="S3602" s="33"/>
      <c r="T3602" s="33"/>
      <c r="U3602" s="33"/>
      <c r="V3602" s="33"/>
      <c r="W3602" s="33"/>
      <c r="X3602" s="33"/>
      <c r="Y3602" s="33"/>
      <c r="Z3602" s="33"/>
      <c r="AA3602" s="33"/>
      <c r="AB3602" s="33"/>
    </row>
    <row r="3603" spans="1:28" x14ac:dyDescent="0.15">
      <c r="A3603" s="46" t="s">
        <v>7257</v>
      </c>
      <c r="B3603" s="52" t="s">
        <v>7361</v>
      </c>
      <c r="C3603" s="53" t="s">
        <v>7258</v>
      </c>
      <c r="D3603" s="54" t="s">
        <v>11040</v>
      </c>
      <c r="E3603" s="50">
        <f t="shared" si="123"/>
        <v>49.301369860000001</v>
      </c>
      <c r="F3603" s="51">
        <f t="shared" si="123"/>
        <v>4.6296500500000004</v>
      </c>
      <c r="H3603" s="33"/>
      <c r="I3603" s="33"/>
      <c r="J3603" s="33"/>
      <c r="K3603" s="33"/>
      <c r="L3603" s="33"/>
      <c r="M3603" s="33"/>
      <c r="N3603" s="33"/>
      <c r="O3603" s="33"/>
      <c r="P3603" s="33"/>
      <c r="Q3603" s="33"/>
      <c r="R3603" s="33"/>
      <c r="S3603" s="33"/>
      <c r="T3603" s="33"/>
      <c r="U3603" s="33"/>
      <c r="V3603" s="33"/>
      <c r="W3603" s="33"/>
      <c r="X3603" s="33"/>
      <c r="Y3603" s="33"/>
      <c r="Z3603" s="33"/>
      <c r="AA3603" s="33"/>
      <c r="AB3603" s="33"/>
    </row>
    <row r="3604" spans="1:28" x14ac:dyDescent="0.15">
      <c r="A3604" s="46" t="s">
        <v>7259</v>
      </c>
      <c r="B3604" s="52" t="s">
        <v>7361</v>
      </c>
      <c r="C3604" s="53" t="s">
        <v>7260</v>
      </c>
      <c r="D3604" s="54" t="s">
        <v>11041</v>
      </c>
      <c r="E3604" s="50">
        <f t="shared" si="123"/>
        <v>49.315068490000002</v>
      </c>
      <c r="F3604" s="51">
        <f t="shared" si="123"/>
        <v>4.6296475399999997</v>
      </c>
      <c r="H3604" s="33"/>
      <c r="I3604" s="33"/>
      <c r="J3604" s="33"/>
      <c r="K3604" s="33"/>
      <c r="L3604" s="33"/>
      <c r="M3604" s="33"/>
      <c r="N3604" s="33"/>
      <c r="O3604" s="33"/>
      <c r="P3604" s="33"/>
      <c r="Q3604" s="33"/>
      <c r="R3604" s="33"/>
      <c r="S3604" s="33"/>
      <c r="T3604" s="33"/>
      <c r="U3604" s="33"/>
      <c r="V3604" s="33"/>
      <c r="W3604" s="33"/>
      <c r="X3604" s="33"/>
      <c r="Y3604" s="33"/>
      <c r="Z3604" s="33"/>
      <c r="AA3604" s="33"/>
      <c r="AB3604" s="33"/>
    </row>
    <row r="3605" spans="1:28" x14ac:dyDescent="0.15">
      <c r="A3605" s="46" t="s">
        <v>7261</v>
      </c>
      <c r="B3605" s="52" t="s">
        <v>7361</v>
      </c>
      <c r="C3605" s="53" t="s">
        <v>7262</v>
      </c>
      <c r="D3605" s="54" t="s">
        <v>11042</v>
      </c>
      <c r="E3605" s="50">
        <f t="shared" si="123"/>
        <v>49.328767120000002</v>
      </c>
      <c r="F3605" s="51">
        <f t="shared" si="123"/>
        <v>4.6296453</v>
      </c>
      <c r="H3605" s="33"/>
      <c r="I3605" s="33"/>
      <c r="J3605" s="33"/>
      <c r="K3605" s="33"/>
      <c r="L3605" s="33"/>
      <c r="M3605" s="33"/>
      <c r="N3605" s="33"/>
      <c r="O3605" s="33"/>
      <c r="P3605" s="33"/>
      <c r="Q3605" s="33"/>
      <c r="R3605" s="33"/>
      <c r="S3605" s="33"/>
      <c r="T3605" s="33"/>
      <c r="U3605" s="33"/>
      <c r="V3605" s="33"/>
      <c r="W3605" s="33"/>
      <c r="X3605" s="33"/>
      <c r="Y3605" s="33"/>
      <c r="Z3605" s="33"/>
      <c r="AA3605" s="33"/>
      <c r="AB3605" s="33"/>
    </row>
    <row r="3606" spans="1:28" x14ac:dyDescent="0.15">
      <c r="A3606" s="46" t="s">
        <v>7263</v>
      </c>
      <c r="B3606" s="52" t="s">
        <v>7361</v>
      </c>
      <c r="C3606" s="53" t="s">
        <v>7264</v>
      </c>
      <c r="D3606" s="54" t="s">
        <v>11043</v>
      </c>
      <c r="E3606" s="50">
        <f t="shared" si="123"/>
        <v>49.342465750000002</v>
      </c>
      <c r="F3606" s="51">
        <f t="shared" si="123"/>
        <v>4.6296433300000004</v>
      </c>
      <c r="H3606" s="33"/>
      <c r="I3606" s="33"/>
      <c r="J3606" s="33"/>
      <c r="K3606" s="33"/>
      <c r="L3606" s="33"/>
      <c r="M3606" s="33"/>
      <c r="N3606" s="33"/>
      <c r="O3606" s="33"/>
      <c r="P3606" s="33"/>
      <c r="Q3606" s="33"/>
      <c r="R3606" s="33"/>
      <c r="S3606" s="33"/>
      <c r="T3606" s="33"/>
      <c r="U3606" s="33"/>
      <c r="V3606" s="33"/>
      <c r="W3606" s="33"/>
      <c r="X3606" s="33"/>
      <c r="Y3606" s="33"/>
      <c r="Z3606" s="33"/>
      <c r="AA3606" s="33"/>
      <c r="AB3606" s="33"/>
    </row>
    <row r="3607" spans="1:28" x14ac:dyDescent="0.15">
      <c r="A3607" s="46" t="s">
        <v>7265</v>
      </c>
      <c r="B3607" s="52" t="s">
        <v>7361</v>
      </c>
      <c r="C3607" s="53" t="s">
        <v>7266</v>
      </c>
      <c r="D3607" s="54" t="s">
        <v>11044</v>
      </c>
      <c r="E3607" s="50">
        <f t="shared" si="123"/>
        <v>49.356164380000003</v>
      </c>
      <c r="F3607" s="51">
        <f t="shared" si="123"/>
        <v>4.6296416000000002</v>
      </c>
      <c r="H3607" s="33"/>
      <c r="I3607" s="33"/>
      <c r="J3607" s="33"/>
      <c r="K3607" s="33"/>
      <c r="L3607" s="33"/>
      <c r="M3607" s="33"/>
      <c r="N3607" s="33"/>
      <c r="O3607" s="33"/>
      <c r="P3607" s="33"/>
      <c r="Q3607" s="33"/>
      <c r="R3607" s="33"/>
      <c r="S3607" s="33"/>
      <c r="T3607" s="33"/>
      <c r="U3607" s="33"/>
      <c r="V3607" s="33"/>
      <c r="W3607" s="33"/>
      <c r="X3607" s="33"/>
      <c r="Y3607" s="33"/>
      <c r="Z3607" s="33"/>
      <c r="AA3607" s="33"/>
      <c r="AB3607" s="33"/>
    </row>
    <row r="3608" spans="1:28" x14ac:dyDescent="0.15">
      <c r="A3608" s="46" t="s">
        <v>7267</v>
      </c>
      <c r="B3608" s="52" t="s">
        <v>7361</v>
      </c>
      <c r="C3608" s="53" t="s">
        <v>7268</v>
      </c>
      <c r="D3608" s="54" t="s">
        <v>11045</v>
      </c>
      <c r="E3608" s="50">
        <f t="shared" si="123"/>
        <v>49.369863010000003</v>
      </c>
      <c r="F3608" s="51">
        <f t="shared" si="123"/>
        <v>4.6296401100000004</v>
      </c>
      <c r="H3608" s="33"/>
      <c r="I3608" s="33"/>
      <c r="J3608" s="33"/>
      <c r="K3608" s="33"/>
      <c r="L3608" s="33"/>
      <c r="M3608" s="33"/>
      <c r="N3608" s="33"/>
      <c r="O3608" s="33"/>
      <c r="P3608" s="33"/>
      <c r="Q3608" s="33"/>
      <c r="R3608" s="33"/>
      <c r="S3608" s="33"/>
      <c r="T3608" s="33"/>
      <c r="U3608" s="33"/>
      <c r="V3608" s="33"/>
      <c r="W3608" s="33"/>
      <c r="X3608" s="33"/>
      <c r="Y3608" s="33"/>
      <c r="Z3608" s="33"/>
      <c r="AA3608" s="33"/>
      <c r="AB3608" s="33"/>
    </row>
    <row r="3609" spans="1:28" x14ac:dyDescent="0.15">
      <c r="A3609" s="46" t="s">
        <v>7269</v>
      </c>
      <c r="B3609" s="52" t="s">
        <v>7361</v>
      </c>
      <c r="C3609" s="53" t="s">
        <v>7270</v>
      </c>
      <c r="D3609" s="54" t="s">
        <v>11046</v>
      </c>
      <c r="E3609" s="50">
        <f t="shared" si="123"/>
        <v>49.383561640000003</v>
      </c>
      <c r="F3609" s="51">
        <f t="shared" si="123"/>
        <v>4.6296388300000002</v>
      </c>
      <c r="H3609" s="33"/>
      <c r="I3609" s="33"/>
      <c r="J3609" s="33"/>
      <c r="K3609" s="33"/>
      <c r="L3609" s="33"/>
      <c r="M3609" s="33"/>
      <c r="N3609" s="33"/>
      <c r="O3609" s="33"/>
      <c r="P3609" s="33"/>
      <c r="Q3609" s="33"/>
      <c r="R3609" s="33"/>
      <c r="S3609" s="33"/>
      <c r="T3609" s="33"/>
      <c r="U3609" s="33"/>
      <c r="V3609" s="33"/>
      <c r="W3609" s="33"/>
      <c r="X3609" s="33"/>
      <c r="Y3609" s="33"/>
      <c r="Z3609" s="33"/>
      <c r="AA3609" s="33"/>
      <c r="AB3609" s="33"/>
    </row>
    <row r="3610" spans="1:28" x14ac:dyDescent="0.15">
      <c r="A3610" s="46" t="s">
        <v>7271</v>
      </c>
      <c r="B3610" s="52" t="s">
        <v>7361</v>
      </c>
      <c r="C3610" s="53" t="s">
        <v>7272</v>
      </c>
      <c r="D3610" s="54" t="s">
        <v>11047</v>
      </c>
      <c r="E3610" s="50">
        <f t="shared" si="123"/>
        <v>49.397260269999997</v>
      </c>
      <c r="F3610" s="51">
        <f t="shared" si="123"/>
        <v>4.6296377599999996</v>
      </c>
      <c r="H3610" s="33"/>
      <c r="I3610" s="33"/>
      <c r="J3610" s="33"/>
      <c r="K3610" s="33"/>
      <c r="L3610" s="33"/>
      <c r="M3610" s="33"/>
      <c r="N3610" s="33"/>
      <c r="O3610" s="33"/>
      <c r="P3610" s="33"/>
      <c r="Q3610" s="33"/>
      <c r="R3610" s="33"/>
      <c r="S3610" s="33"/>
      <c r="T3610" s="33"/>
      <c r="U3610" s="33"/>
      <c r="V3610" s="33"/>
      <c r="W3610" s="33"/>
      <c r="X3610" s="33"/>
      <c r="Y3610" s="33"/>
      <c r="Z3610" s="33"/>
      <c r="AA3610" s="33"/>
      <c r="AB3610" s="33"/>
    </row>
    <row r="3611" spans="1:28" x14ac:dyDescent="0.15">
      <c r="A3611" s="46" t="s">
        <v>7273</v>
      </c>
      <c r="B3611" s="52" t="s">
        <v>7361</v>
      </c>
      <c r="C3611" s="53" t="s">
        <v>7274</v>
      </c>
      <c r="D3611" s="54" t="s">
        <v>11048</v>
      </c>
      <c r="E3611" s="50">
        <f t="shared" si="123"/>
        <v>49.410958899999997</v>
      </c>
      <c r="F3611" s="51">
        <f t="shared" si="123"/>
        <v>4.6296368699999997</v>
      </c>
      <c r="H3611" s="33"/>
      <c r="I3611" s="33"/>
      <c r="J3611" s="33"/>
      <c r="K3611" s="33"/>
      <c r="L3611" s="33"/>
      <c r="M3611" s="33"/>
      <c r="N3611" s="33"/>
      <c r="O3611" s="33"/>
      <c r="P3611" s="33"/>
      <c r="Q3611" s="33"/>
      <c r="R3611" s="33"/>
      <c r="S3611" s="33"/>
      <c r="T3611" s="33"/>
      <c r="U3611" s="33"/>
      <c r="V3611" s="33"/>
      <c r="W3611" s="33"/>
      <c r="X3611" s="33"/>
      <c r="Y3611" s="33"/>
      <c r="Z3611" s="33"/>
      <c r="AA3611" s="33"/>
      <c r="AB3611" s="33"/>
    </row>
    <row r="3612" spans="1:28" x14ac:dyDescent="0.15">
      <c r="A3612" s="46" t="s">
        <v>7275</v>
      </c>
      <c r="B3612" s="52" t="s">
        <v>7361</v>
      </c>
      <c r="C3612" s="53" t="s">
        <v>7276</v>
      </c>
      <c r="D3612" s="54" t="s">
        <v>11049</v>
      </c>
      <c r="E3612" s="50">
        <f t="shared" si="123"/>
        <v>49.424657529999998</v>
      </c>
      <c r="F3612" s="51">
        <f t="shared" si="123"/>
        <v>4.6296361499999996</v>
      </c>
      <c r="H3612" s="33"/>
      <c r="I3612" s="33"/>
      <c r="J3612" s="33"/>
      <c r="K3612" s="33"/>
      <c r="L3612" s="33"/>
      <c r="M3612" s="33"/>
      <c r="N3612" s="33"/>
      <c r="O3612" s="33"/>
      <c r="P3612" s="33"/>
      <c r="Q3612" s="33"/>
      <c r="R3612" s="33"/>
      <c r="S3612" s="33"/>
      <c r="T3612" s="33"/>
      <c r="U3612" s="33"/>
      <c r="V3612" s="33"/>
      <c r="W3612" s="33"/>
      <c r="X3612" s="33"/>
      <c r="Y3612" s="33"/>
      <c r="Z3612" s="33"/>
      <c r="AA3612" s="33"/>
      <c r="AB3612" s="33"/>
    </row>
    <row r="3613" spans="1:28" x14ac:dyDescent="0.15">
      <c r="A3613" s="46" t="s">
        <v>7277</v>
      </c>
      <c r="B3613" s="52" t="s">
        <v>7361</v>
      </c>
      <c r="C3613" s="53" t="s">
        <v>7278</v>
      </c>
      <c r="D3613" s="54" t="s">
        <v>11050</v>
      </c>
      <c r="E3613" s="50">
        <f t="shared" si="123"/>
        <v>49.438356159999998</v>
      </c>
      <c r="F3613" s="51">
        <f t="shared" si="123"/>
        <v>4.6296356000000003</v>
      </c>
      <c r="H3613" s="33"/>
      <c r="I3613" s="33"/>
      <c r="J3613" s="33"/>
      <c r="K3613" s="33"/>
      <c r="L3613" s="33"/>
      <c r="M3613" s="33"/>
      <c r="N3613" s="33"/>
      <c r="O3613" s="33"/>
      <c r="P3613" s="33"/>
      <c r="Q3613" s="33"/>
      <c r="R3613" s="33"/>
      <c r="S3613" s="33"/>
      <c r="T3613" s="33"/>
      <c r="U3613" s="33"/>
      <c r="V3613" s="33"/>
      <c r="W3613" s="33"/>
      <c r="X3613" s="33"/>
      <c r="Y3613" s="33"/>
      <c r="Z3613" s="33"/>
      <c r="AA3613" s="33"/>
      <c r="AB3613" s="33"/>
    </row>
    <row r="3614" spans="1:28" x14ac:dyDescent="0.15">
      <c r="A3614" s="46" t="s">
        <v>7279</v>
      </c>
      <c r="B3614" s="52" t="s">
        <v>7361</v>
      </c>
      <c r="C3614" s="53" t="s">
        <v>7280</v>
      </c>
      <c r="D3614" s="54" t="s">
        <v>11051</v>
      </c>
      <c r="E3614" s="50">
        <f t="shared" si="123"/>
        <v>49.452054789999998</v>
      </c>
      <c r="F3614" s="51">
        <f t="shared" si="123"/>
        <v>4.6296351800000002</v>
      </c>
      <c r="H3614" s="33"/>
      <c r="I3614" s="33"/>
      <c r="J3614" s="33"/>
      <c r="K3614" s="33"/>
      <c r="L3614" s="33"/>
      <c r="M3614" s="33"/>
      <c r="N3614" s="33"/>
      <c r="O3614" s="33"/>
      <c r="P3614" s="33"/>
      <c r="Q3614" s="33"/>
      <c r="R3614" s="33"/>
      <c r="S3614" s="33"/>
      <c r="T3614" s="33"/>
      <c r="U3614" s="33"/>
      <c r="V3614" s="33"/>
      <c r="W3614" s="33"/>
      <c r="X3614" s="33"/>
      <c r="Y3614" s="33"/>
      <c r="Z3614" s="33"/>
      <c r="AA3614" s="33"/>
      <c r="AB3614" s="33"/>
    </row>
    <row r="3615" spans="1:28" x14ac:dyDescent="0.15">
      <c r="A3615" s="46" t="s">
        <v>7281</v>
      </c>
      <c r="B3615" s="52" t="s">
        <v>7361</v>
      </c>
      <c r="C3615" s="53" t="s">
        <v>7282</v>
      </c>
      <c r="D3615" s="54" t="s">
        <v>11052</v>
      </c>
      <c r="E3615" s="50">
        <f t="shared" si="123"/>
        <v>49.465753419999999</v>
      </c>
      <c r="F3615" s="51">
        <f t="shared" si="123"/>
        <v>4.6296348900000002</v>
      </c>
      <c r="H3615" s="33"/>
      <c r="I3615" s="33"/>
      <c r="J3615" s="33"/>
      <c r="K3615" s="33"/>
      <c r="L3615" s="33"/>
      <c r="M3615" s="33"/>
      <c r="N3615" s="33"/>
      <c r="O3615" s="33"/>
      <c r="P3615" s="33"/>
      <c r="Q3615" s="33"/>
      <c r="R3615" s="33"/>
      <c r="S3615" s="33"/>
      <c r="T3615" s="33"/>
      <c r="U3615" s="33"/>
      <c r="V3615" s="33"/>
      <c r="W3615" s="33"/>
      <c r="X3615" s="33"/>
      <c r="Y3615" s="33"/>
      <c r="Z3615" s="33"/>
      <c r="AA3615" s="33"/>
      <c r="AB3615" s="33"/>
    </row>
    <row r="3616" spans="1:28" x14ac:dyDescent="0.15">
      <c r="A3616" s="46" t="s">
        <v>7283</v>
      </c>
      <c r="B3616" s="52" t="s">
        <v>7361</v>
      </c>
      <c r="C3616" s="53" t="s">
        <v>7284</v>
      </c>
      <c r="D3616" s="54" t="s">
        <v>11053</v>
      </c>
      <c r="E3616" s="50">
        <f t="shared" si="123"/>
        <v>49.479452049999999</v>
      </c>
      <c r="F3616" s="51">
        <f t="shared" si="123"/>
        <v>4.6296347100000004</v>
      </c>
      <c r="H3616" s="33"/>
      <c r="I3616" s="33"/>
      <c r="J3616" s="33"/>
      <c r="K3616" s="33"/>
      <c r="L3616" s="33"/>
      <c r="M3616" s="33"/>
      <c r="N3616" s="33"/>
      <c r="O3616" s="33"/>
      <c r="P3616" s="33"/>
      <c r="Q3616" s="33"/>
      <c r="R3616" s="33"/>
      <c r="S3616" s="33"/>
      <c r="T3616" s="33"/>
      <c r="U3616" s="33"/>
      <c r="V3616" s="33"/>
      <c r="W3616" s="33"/>
      <c r="X3616" s="33"/>
      <c r="Y3616" s="33"/>
      <c r="Z3616" s="33"/>
      <c r="AA3616" s="33"/>
      <c r="AB3616" s="33"/>
    </row>
    <row r="3617" spans="1:28" x14ac:dyDescent="0.15">
      <c r="A3617" s="46" t="s">
        <v>7285</v>
      </c>
      <c r="B3617" s="52" t="s">
        <v>7361</v>
      </c>
      <c r="C3617" s="53" t="s">
        <v>7286</v>
      </c>
      <c r="D3617" s="54" t="s">
        <v>11054</v>
      </c>
      <c r="E3617" s="50">
        <f t="shared" si="123"/>
        <v>49.493150679999999</v>
      </c>
      <c r="F3617" s="51">
        <f t="shared" si="123"/>
        <v>4.62963463</v>
      </c>
      <c r="H3617" s="33"/>
      <c r="I3617" s="33"/>
      <c r="J3617" s="33"/>
      <c r="K3617" s="33"/>
      <c r="L3617" s="33"/>
      <c r="M3617" s="33"/>
      <c r="N3617" s="33"/>
      <c r="O3617" s="33"/>
      <c r="P3617" s="33"/>
      <c r="Q3617" s="33"/>
      <c r="R3617" s="33"/>
      <c r="S3617" s="33"/>
      <c r="T3617" s="33"/>
      <c r="U3617" s="33"/>
      <c r="V3617" s="33"/>
      <c r="W3617" s="33"/>
      <c r="X3617" s="33"/>
      <c r="Y3617" s="33"/>
      <c r="Z3617" s="33"/>
      <c r="AA3617" s="33"/>
      <c r="AB3617" s="33"/>
    </row>
    <row r="3618" spans="1:28" x14ac:dyDescent="0.15">
      <c r="A3618" s="46" t="s">
        <v>7287</v>
      </c>
      <c r="B3618" s="52" t="s">
        <v>7361</v>
      </c>
      <c r="C3618" s="53" t="s">
        <v>7288</v>
      </c>
      <c r="D3618" s="54" t="s">
        <v>11055</v>
      </c>
      <c r="E3618" s="50">
        <f t="shared" si="123"/>
        <v>49.506849320000001</v>
      </c>
      <c r="F3618" s="51">
        <f t="shared" si="123"/>
        <v>4.6296346899999996</v>
      </c>
      <c r="H3618" s="33"/>
      <c r="I3618" s="33"/>
      <c r="J3618" s="33"/>
      <c r="K3618" s="33"/>
      <c r="L3618" s="33"/>
      <c r="M3618" s="33"/>
      <c r="N3618" s="33"/>
      <c r="O3618" s="33"/>
      <c r="P3618" s="33"/>
      <c r="Q3618" s="33"/>
      <c r="R3618" s="33"/>
      <c r="S3618" s="33"/>
      <c r="T3618" s="33"/>
      <c r="U3618" s="33"/>
      <c r="V3618" s="33"/>
      <c r="W3618" s="33"/>
      <c r="X3618" s="33"/>
      <c r="Y3618" s="33"/>
      <c r="Z3618" s="33"/>
      <c r="AA3618" s="33"/>
      <c r="AB3618" s="33"/>
    </row>
    <row r="3619" spans="1:28" x14ac:dyDescent="0.15">
      <c r="A3619" s="46" t="s">
        <v>7289</v>
      </c>
      <c r="B3619" s="52" t="s">
        <v>7361</v>
      </c>
      <c r="C3619" s="53" t="s">
        <v>7290</v>
      </c>
      <c r="D3619" s="54" t="s">
        <v>11056</v>
      </c>
      <c r="E3619" s="50">
        <f t="shared" si="123"/>
        <v>49.520547950000001</v>
      </c>
      <c r="F3619" s="51">
        <f t="shared" si="123"/>
        <v>4.6296352299999999</v>
      </c>
      <c r="H3619" s="33"/>
      <c r="I3619" s="33"/>
      <c r="J3619" s="33"/>
      <c r="K3619" s="33"/>
      <c r="L3619" s="33"/>
      <c r="M3619" s="33"/>
      <c r="N3619" s="33"/>
      <c r="O3619" s="33"/>
      <c r="P3619" s="33"/>
      <c r="Q3619" s="33"/>
      <c r="R3619" s="33"/>
      <c r="S3619" s="33"/>
      <c r="T3619" s="33"/>
      <c r="U3619" s="33"/>
      <c r="V3619" s="33"/>
      <c r="W3619" s="33"/>
      <c r="X3619" s="33"/>
      <c r="Y3619" s="33"/>
      <c r="Z3619" s="33"/>
      <c r="AA3619" s="33"/>
      <c r="AB3619" s="33"/>
    </row>
    <row r="3620" spans="1:28" x14ac:dyDescent="0.15">
      <c r="A3620" s="46" t="s">
        <v>7291</v>
      </c>
      <c r="B3620" s="52" t="s">
        <v>7361</v>
      </c>
      <c r="C3620" s="53" t="s">
        <v>7292</v>
      </c>
      <c r="D3620" s="54" t="s">
        <v>11057</v>
      </c>
      <c r="E3620" s="50">
        <f t="shared" si="123"/>
        <v>49.534246580000001</v>
      </c>
      <c r="F3620" s="51">
        <f t="shared" si="123"/>
        <v>4.6296362899999997</v>
      </c>
      <c r="H3620" s="33"/>
      <c r="I3620" s="33"/>
      <c r="J3620" s="33"/>
      <c r="K3620" s="33"/>
      <c r="L3620" s="33"/>
      <c r="M3620" s="33"/>
      <c r="N3620" s="33"/>
      <c r="O3620" s="33"/>
      <c r="P3620" s="33"/>
      <c r="Q3620" s="33"/>
      <c r="R3620" s="33"/>
      <c r="S3620" s="33"/>
      <c r="T3620" s="33"/>
      <c r="U3620" s="33"/>
      <c r="V3620" s="33"/>
      <c r="W3620" s="33"/>
      <c r="X3620" s="33"/>
      <c r="Y3620" s="33"/>
      <c r="Z3620" s="33"/>
      <c r="AA3620" s="33"/>
      <c r="AB3620" s="33"/>
    </row>
    <row r="3621" spans="1:28" x14ac:dyDescent="0.15">
      <c r="A3621" s="46" t="s">
        <v>7293</v>
      </c>
      <c r="B3621" s="52" t="s">
        <v>7361</v>
      </c>
      <c r="C3621" s="53" t="s">
        <v>7294</v>
      </c>
      <c r="D3621" s="54" t="s">
        <v>11058</v>
      </c>
      <c r="E3621" s="50">
        <f t="shared" si="123"/>
        <v>49.547945210000002</v>
      </c>
      <c r="F3621" s="51">
        <f t="shared" si="123"/>
        <v>4.62963784</v>
      </c>
      <c r="H3621" s="33"/>
      <c r="I3621" s="33"/>
      <c r="J3621" s="33"/>
      <c r="K3621" s="33"/>
      <c r="L3621" s="33"/>
      <c r="M3621" s="33"/>
      <c r="N3621" s="33"/>
      <c r="O3621" s="33"/>
      <c r="P3621" s="33"/>
      <c r="Q3621" s="33"/>
      <c r="R3621" s="33"/>
      <c r="S3621" s="33"/>
      <c r="T3621" s="33"/>
      <c r="U3621" s="33"/>
      <c r="V3621" s="33"/>
      <c r="W3621" s="33"/>
      <c r="X3621" s="33"/>
      <c r="Y3621" s="33"/>
      <c r="Z3621" s="33"/>
      <c r="AA3621" s="33"/>
      <c r="AB3621" s="33"/>
    </row>
    <row r="3622" spans="1:28" x14ac:dyDescent="0.15">
      <c r="A3622" s="46" t="s">
        <v>7295</v>
      </c>
      <c r="B3622" s="52" t="s">
        <v>7361</v>
      </c>
      <c r="C3622" s="53" t="s">
        <v>7296</v>
      </c>
      <c r="D3622" s="54" t="s">
        <v>11059</v>
      </c>
      <c r="E3622" s="50">
        <f t="shared" si="123"/>
        <v>49.561643840000002</v>
      </c>
      <c r="F3622" s="51">
        <f t="shared" si="123"/>
        <v>4.6296398600000002</v>
      </c>
      <c r="H3622" s="33"/>
      <c r="I3622" s="33"/>
      <c r="J3622" s="33"/>
      <c r="K3622" s="33"/>
      <c r="L3622" s="33"/>
      <c r="M3622" s="33"/>
      <c r="N3622" s="33"/>
      <c r="O3622" s="33"/>
      <c r="P3622" s="33"/>
      <c r="Q3622" s="33"/>
      <c r="R3622" s="33"/>
      <c r="S3622" s="33"/>
      <c r="T3622" s="33"/>
      <c r="U3622" s="33"/>
      <c r="V3622" s="33"/>
      <c r="W3622" s="33"/>
      <c r="X3622" s="33"/>
      <c r="Y3622" s="33"/>
      <c r="Z3622" s="33"/>
      <c r="AA3622" s="33"/>
      <c r="AB3622" s="33"/>
    </row>
    <row r="3623" spans="1:28" x14ac:dyDescent="0.15">
      <c r="A3623" s="46" t="s">
        <v>7297</v>
      </c>
      <c r="B3623" s="52" t="s">
        <v>7361</v>
      </c>
      <c r="C3623" s="53" t="s">
        <v>7298</v>
      </c>
      <c r="D3623" s="54" t="s">
        <v>11060</v>
      </c>
      <c r="E3623" s="50">
        <f t="shared" si="123"/>
        <v>49.575342470000002</v>
      </c>
      <c r="F3623" s="51">
        <f t="shared" si="123"/>
        <v>4.6296423400000002</v>
      </c>
      <c r="H3623" s="33"/>
      <c r="I3623" s="33"/>
      <c r="J3623" s="33"/>
      <c r="K3623" s="33"/>
      <c r="L3623" s="33"/>
      <c r="M3623" s="33"/>
      <c r="N3623" s="33"/>
      <c r="O3623" s="33"/>
      <c r="P3623" s="33"/>
      <c r="Q3623" s="33"/>
      <c r="R3623" s="33"/>
      <c r="S3623" s="33"/>
      <c r="T3623" s="33"/>
      <c r="U3623" s="33"/>
      <c r="V3623" s="33"/>
      <c r="W3623" s="33"/>
      <c r="X3623" s="33"/>
      <c r="Y3623" s="33"/>
      <c r="Z3623" s="33"/>
      <c r="AA3623" s="33"/>
      <c r="AB3623" s="33"/>
    </row>
    <row r="3624" spans="1:28" x14ac:dyDescent="0.15">
      <c r="A3624" s="46" t="s">
        <v>7299</v>
      </c>
      <c r="B3624" s="52" t="s">
        <v>7361</v>
      </c>
      <c r="C3624" s="53" t="s">
        <v>7300</v>
      </c>
      <c r="D3624" s="54" t="s">
        <v>11061</v>
      </c>
      <c r="E3624" s="50">
        <f t="shared" si="123"/>
        <v>49.589041100000003</v>
      </c>
      <c r="F3624" s="51">
        <f t="shared" si="123"/>
        <v>4.6296452400000003</v>
      </c>
      <c r="H3624" s="33"/>
      <c r="I3624" s="33"/>
      <c r="J3624" s="33"/>
      <c r="K3624" s="33"/>
      <c r="L3624" s="33"/>
      <c r="M3624" s="33"/>
      <c r="N3624" s="33"/>
      <c r="O3624" s="33"/>
      <c r="P3624" s="33"/>
      <c r="Q3624" s="33"/>
      <c r="R3624" s="33"/>
      <c r="S3624" s="33"/>
      <c r="T3624" s="33"/>
      <c r="U3624" s="33"/>
      <c r="V3624" s="33"/>
      <c r="W3624" s="33"/>
      <c r="X3624" s="33"/>
      <c r="Y3624" s="33"/>
      <c r="Z3624" s="33"/>
      <c r="AA3624" s="33"/>
      <c r="AB3624" s="33"/>
    </row>
    <row r="3625" spans="1:28" x14ac:dyDescent="0.15">
      <c r="A3625" s="46" t="s">
        <v>7301</v>
      </c>
      <c r="B3625" s="52" t="s">
        <v>7361</v>
      </c>
      <c r="C3625" s="53" t="s">
        <v>7302</v>
      </c>
      <c r="D3625" s="54" t="s">
        <v>11062</v>
      </c>
      <c r="E3625" s="50">
        <f t="shared" si="123"/>
        <v>49.602739730000003</v>
      </c>
      <c r="F3625" s="51">
        <f t="shared" si="123"/>
        <v>4.6296485499999998</v>
      </c>
      <c r="H3625" s="33"/>
      <c r="I3625" s="33"/>
      <c r="J3625" s="33"/>
      <c r="K3625" s="33"/>
      <c r="L3625" s="33"/>
      <c r="M3625" s="33"/>
      <c r="N3625" s="33"/>
      <c r="O3625" s="33"/>
      <c r="P3625" s="33"/>
      <c r="Q3625" s="33"/>
      <c r="R3625" s="33"/>
      <c r="S3625" s="33"/>
      <c r="T3625" s="33"/>
      <c r="U3625" s="33"/>
      <c r="V3625" s="33"/>
      <c r="W3625" s="33"/>
      <c r="X3625" s="33"/>
      <c r="Y3625" s="33"/>
      <c r="Z3625" s="33"/>
      <c r="AA3625" s="33"/>
      <c r="AB3625" s="33"/>
    </row>
    <row r="3626" spans="1:28" x14ac:dyDescent="0.15">
      <c r="A3626" s="46" t="s">
        <v>7303</v>
      </c>
      <c r="B3626" s="52" t="s">
        <v>7361</v>
      </c>
      <c r="C3626" s="53" t="s">
        <v>7304</v>
      </c>
      <c r="D3626" s="54" t="s">
        <v>11063</v>
      </c>
      <c r="E3626" s="50">
        <f t="shared" si="123"/>
        <v>49.616438359999997</v>
      </c>
      <c r="F3626" s="51">
        <f t="shared" si="123"/>
        <v>4.6296522400000004</v>
      </c>
      <c r="H3626" s="33"/>
      <c r="I3626" s="33"/>
      <c r="J3626" s="33"/>
      <c r="K3626" s="33"/>
      <c r="L3626" s="33"/>
      <c r="M3626" s="33"/>
      <c r="N3626" s="33"/>
      <c r="O3626" s="33"/>
      <c r="P3626" s="33"/>
      <c r="Q3626" s="33"/>
      <c r="R3626" s="33"/>
      <c r="S3626" s="33"/>
      <c r="T3626" s="33"/>
      <c r="U3626" s="33"/>
      <c r="V3626" s="33"/>
      <c r="W3626" s="33"/>
      <c r="X3626" s="33"/>
      <c r="Y3626" s="33"/>
      <c r="Z3626" s="33"/>
      <c r="AA3626" s="33"/>
      <c r="AB3626" s="33"/>
    </row>
    <row r="3627" spans="1:28" x14ac:dyDescent="0.15">
      <c r="A3627" s="46" t="s">
        <v>7305</v>
      </c>
      <c r="B3627" s="52" t="s">
        <v>7361</v>
      </c>
      <c r="C3627" s="53" t="s">
        <v>7306</v>
      </c>
      <c r="D3627" s="54" t="s">
        <v>11064</v>
      </c>
      <c r="E3627" s="50">
        <f t="shared" si="123"/>
        <v>49.630136989999997</v>
      </c>
      <c r="F3627" s="51">
        <f t="shared" si="123"/>
        <v>4.6296562899999998</v>
      </c>
      <c r="H3627" s="33"/>
      <c r="I3627" s="33"/>
      <c r="J3627" s="33"/>
      <c r="K3627" s="33"/>
      <c r="L3627" s="33"/>
      <c r="M3627" s="33"/>
      <c r="N3627" s="33"/>
      <c r="O3627" s="33"/>
      <c r="P3627" s="33"/>
      <c r="Q3627" s="33"/>
      <c r="R3627" s="33"/>
      <c r="S3627" s="33"/>
      <c r="T3627" s="33"/>
      <c r="U3627" s="33"/>
      <c r="V3627" s="33"/>
      <c r="W3627" s="33"/>
      <c r="X3627" s="33"/>
      <c r="Y3627" s="33"/>
      <c r="Z3627" s="33"/>
      <c r="AA3627" s="33"/>
      <c r="AB3627" s="33"/>
    </row>
    <row r="3628" spans="1:28" x14ac:dyDescent="0.15">
      <c r="A3628" s="46" t="s">
        <v>7307</v>
      </c>
      <c r="B3628" s="52" t="s">
        <v>7361</v>
      </c>
      <c r="C3628" s="53" t="s">
        <v>7308</v>
      </c>
      <c r="D3628" s="54" t="s">
        <v>11065</v>
      </c>
      <c r="E3628" s="50">
        <f t="shared" si="123"/>
        <v>49.643835619999997</v>
      </c>
      <c r="F3628" s="51">
        <f t="shared" si="123"/>
        <v>4.6296606699999998</v>
      </c>
      <c r="H3628" s="33"/>
      <c r="I3628" s="33"/>
      <c r="J3628" s="33"/>
      <c r="K3628" s="33"/>
      <c r="L3628" s="33"/>
      <c r="M3628" s="33"/>
      <c r="N3628" s="33"/>
      <c r="O3628" s="33"/>
      <c r="P3628" s="33"/>
      <c r="Q3628" s="33"/>
      <c r="R3628" s="33"/>
      <c r="S3628" s="33"/>
      <c r="T3628" s="33"/>
      <c r="U3628" s="33"/>
      <c r="V3628" s="33"/>
      <c r="W3628" s="33"/>
      <c r="X3628" s="33"/>
      <c r="Y3628" s="33"/>
      <c r="Z3628" s="33"/>
      <c r="AA3628" s="33"/>
      <c r="AB3628" s="33"/>
    </row>
    <row r="3629" spans="1:28" x14ac:dyDescent="0.15">
      <c r="A3629" s="46" t="s">
        <v>7309</v>
      </c>
      <c r="B3629" s="52" t="s">
        <v>7361</v>
      </c>
      <c r="C3629" s="53" t="s">
        <v>7310</v>
      </c>
      <c r="D3629" s="54" t="s">
        <v>11066</v>
      </c>
      <c r="E3629" s="50">
        <f t="shared" si="123"/>
        <v>49.657534249999998</v>
      </c>
      <c r="F3629" s="51">
        <f t="shared" si="123"/>
        <v>4.6296653699999997</v>
      </c>
      <c r="H3629" s="33"/>
      <c r="I3629" s="33"/>
      <c r="J3629" s="33"/>
      <c r="K3629" s="33"/>
      <c r="L3629" s="33"/>
      <c r="M3629" s="33"/>
      <c r="N3629" s="33"/>
      <c r="O3629" s="33"/>
      <c r="P3629" s="33"/>
      <c r="Q3629" s="33"/>
      <c r="R3629" s="33"/>
      <c r="S3629" s="33"/>
      <c r="T3629" s="33"/>
      <c r="U3629" s="33"/>
      <c r="V3629" s="33"/>
      <c r="W3629" s="33"/>
      <c r="X3629" s="33"/>
      <c r="Y3629" s="33"/>
      <c r="Z3629" s="33"/>
      <c r="AA3629" s="33"/>
      <c r="AB3629" s="33"/>
    </row>
    <row r="3630" spans="1:28" x14ac:dyDescent="0.15">
      <c r="A3630" s="46" t="s">
        <v>7311</v>
      </c>
      <c r="B3630" s="52" t="s">
        <v>7361</v>
      </c>
      <c r="C3630" s="53" t="s">
        <v>7312</v>
      </c>
      <c r="D3630" s="54" t="s">
        <v>11067</v>
      </c>
      <c r="E3630" s="50">
        <f t="shared" si="123"/>
        <v>49.671232879999998</v>
      </c>
      <c r="F3630" s="51">
        <f t="shared" si="123"/>
        <v>4.6296703600000004</v>
      </c>
      <c r="H3630" s="33"/>
      <c r="I3630" s="33"/>
      <c r="J3630" s="33"/>
      <c r="K3630" s="33"/>
      <c r="L3630" s="33"/>
      <c r="M3630" s="33"/>
      <c r="N3630" s="33"/>
      <c r="O3630" s="33"/>
      <c r="P3630" s="33"/>
      <c r="Q3630" s="33"/>
      <c r="R3630" s="33"/>
      <c r="S3630" s="33"/>
      <c r="T3630" s="33"/>
      <c r="U3630" s="33"/>
      <c r="V3630" s="33"/>
      <c r="W3630" s="33"/>
      <c r="X3630" s="33"/>
      <c r="Y3630" s="33"/>
      <c r="Z3630" s="33"/>
      <c r="AA3630" s="33"/>
      <c r="AB3630" s="33"/>
    </row>
    <row r="3631" spans="1:28" x14ac:dyDescent="0.15">
      <c r="A3631" s="46" t="s">
        <v>7313</v>
      </c>
      <c r="B3631" s="52" t="s">
        <v>7361</v>
      </c>
      <c r="C3631" s="53" t="s">
        <v>7314</v>
      </c>
      <c r="D3631" s="54" t="s">
        <v>11068</v>
      </c>
      <c r="E3631" s="50">
        <f t="shared" si="123"/>
        <v>49.684931509999998</v>
      </c>
      <c r="F3631" s="51">
        <f t="shared" si="123"/>
        <v>4.6296756200000004</v>
      </c>
      <c r="H3631" s="33"/>
      <c r="I3631" s="33"/>
      <c r="J3631" s="33"/>
      <c r="K3631" s="33"/>
      <c r="L3631" s="33"/>
      <c r="M3631" s="33"/>
      <c r="N3631" s="33"/>
      <c r="O3631" s="33"/>
      <c r="P3631" s="33"/>
      <c r="Q3631" s="33"/>
      <c r="R3631" s="33"/>
      <c r="S3631" s="33"/>
      <c r="T3631" s="33"/>
      <c r="U3631" s="33"/>
      <c r="V3631" s="33"/>
      <c r="W3631" s="33"/>
      <c r="X3631" s="33"/>
      <c r="Y3631" s="33"/>
      <c r="Z3631" s="33"/>
      <c r="AA3631" s="33"/>
      <c r="AB3631" s="33"/>
    </row>
    <row r="3632" spans="1:28" x14ac:dyDescent="0.15">
      <c r="A3632" s="46" t="s">
        <v>7315</v>
      </c>
      <c r="B3632" s="52" t="s">
        <v>7361</v>
      </c>
      <c r="C3632" s="53" t="s">
        <v>7316</v>
      </c>
      <c r="D3632" s="54" t="s">
        <v>11069</v>
      </c>
      <c r="E3632" s="50">
        <f t="shared" ref="E3632:F3653" si="124">VALUE(C3632)</f>
        <v>49.698630139999999</v>
      </c>
      <c r="F3632" s="51">
        <f t="shared" si="124"/>
        <v>4.6296811199999999</v>
      </c>
      <c r="H3632" s="33"/>
      <c r="I3632" s="33"/>
      <c r="J3632" s="33"/>
      <c r="K3632" s="33"/>
      <c r="L3632" s="33"/>
      <c r="M3632" s="33"/>
      <c r="N3632" s="33"/>
      <c r="O3632" s="33"/>
      <c r="P3632" s="33"/>
      <c r="Q3632" s="33"/>
      <c r="R3632" s="33"/>
      <c r="S3632" s="33"/>
      <c r="T3632" s="33"/>
      <c r="U3632" s="33"/>
      <c r="V3632" s="33"/>
      <c r="W3632" s="33"/>
      <c r="X3632" s="33"/>
      <c r="Y3632" s="33"/>
      <c r="Z3632" s="33"/>
      <c r="AA3632" s="33"/>
      <c r="AB3632" s="33"/>
    </row>
    <row r="3633" spans="1:28" x14ac:dyDescent="0.15">
      <c r="A3633" s="46" t="s">
        <v>7317</v>
      </c>
      <c r="B3633" s="52" t="s">
        <v>7361</v>
      </c>
      <c r="C3633" s="53" t="s">
        <v>7318</v>
      </c>
      <c r="D3633" s="54" t="s">
        <v>11070</v>
      </c>
      <c r="E3633" s="50">
        <f t="shared" si="124"/>
        <v>49.712328769999999</v>
      </c>
      <c r="F3633" s="51">
        <f t="shared" si="124"/>
        <v>4.6296868499999997</v>
      </c>
      <c r="H3633" s="33"/>
      <c r="I3633" s="33"/>
      <c r="J3633" s="33"/>
      <c r="K3633" s="33"/>
      <c r="L3633" s="33"/>
      <c r="M3633" s="33"/>
      <c r="N3633" s="33"/>
      <c r="O3633" s="33"/>
      <c r="P3633" s="33"/>
      <c r="Q3633" s="33"/>
      <c r="R3633" s="33"/>
      <c r="S3633" s="33"/>
      <c r="T3633" s="33"/>
      <c r="U3633" s="33"/>
      <c r="V3633" s="33"/>
      <c r="W3633" s="33"/>
      <c r="X3633" s="33"/>
      <c r="Y3633" s="33"/>
      <c r="Z3633" s="33"/>
      <c r="AA3633" s="33"/>
      <c r="AB3633" s="33"/>
    </row>
    <row r="3634" spans="1:28" x14ac:dyDescent="0.15">
      <c r="A3634" s="46" t="s">
        <v>7319</v>
      </c>
      <c r="B3634" s="52" t="s">
        <v>7361</v>
      </c>
      <c r="C3634" s="53" t="s">
        <v>7320</v>
      </c>
      <c r="D3634" s="54" t="s">
        <v>11071</v>
      </c>
      <c r="E3634" s="50">
        <f t="shared" si="124"/>
        <v>49.7260274</v>
      </c>
      <c r="F3634" s="51">
        <f t="shared" si="124"/>
        <v>4.6296927800000001</v>
      </c>
      <c r="H3634" s="33"/>
      <c r="I3634" s="33"/>
      <c r="J3634" s="33"/>
      <c r="K3634" s="33"/>
      <c r="L3634" s="33"/>
      <c r="M3634" s="33"/>
      <c r="N3634" s="33"/>
      <c r="O3634" s="33"/>
      <c r="P3634" s="33"/>
      <c r="Q3634" s="33"/>
      <c r="R3634" s="33"/>
      <c r="S3634" s="33"/>
      <c r="T3634" s="33"/>
      <c r="U3634" s="33"/>
      <c r="V3634" s="33"/>
      <c r="W3634" s="33"/>
      <c r="X3634" s="33"/>
      <c r="Y3634" s="33"/>
      <c r="Z3634" s="33"/>
      <c r="AA3634" s="33"/>
      <c r="AB3634" s="33"/>
    </row>
    <row r="3635" spans="1:28" x14ac:dyDescent="0.15">
      <c r="A3635" s="46" t="s">
        <v>7321</v>
      </c>
      <c r="B3635" s="52" t="s">
        <v>7361</v>
      </c>
      <c r="C3635" s="53" t="s">
        <v>7322</v>
      </c>
      <c r="D3635" s="54" t="s">
        <v>11072</v>
      </c>
      <c r="E3635" s="50">
        <f t="shared" si="124"/>
        <v>49.73972603</v>
      </c>
      <c r="F3635" s="51">
        <f t="shared" si="124"/>
        <v>4.6296988800000003</v>
      </c>
      <c r="H3635" s="33"/>
      <c r="I3635" s="33"/>
      <c r="J3635" s="33"/>
      <c r="K3635" s="33"/>
      <c r="L3635" s="33"/>
      <c r="M3635" s="33"/>
      <c r="N3635" s="33"/>
      <c r="O3635" s="33"/>
      <c r="P3635" s="33"/>
      <c r="Q3635" s="33"/>
      <c r="R3635" s="33"/>
      <c r="S3635" s="33"/>
      <c r="T3635" s="33"/>
      <c r="U3635" s="33"/>
      <c r="V3635" s="33"/>
      <c r="W3635" s="33"/>
      <c r="X3635" s="33"/>
      <c r="Y3635" s="33"/>
      <c r="Z3635" s="33"/>
      <c r="AA3635" s="33"/>
      <c r="AB3635" s="33"/>
    </row>
    <row r="3636" spans="1:28" x14ac:dyDescent="0.15">
      <c r="A3636" s="46" t="s">
        <v>7323</v>
      </c>
      <c r="B3636" s="52" t="s">
        <v>7361</v>
      </c>
      <c r="C3636" s="53" t="s">
        <v>7324</v>
      </c>
      <c r="D3636" s="54" t="s">
        <v>11073</v>
      </c>
      <c r="E3636" s="50">
        <f t="shared" si="124"/>
        <v>49.75342466</v>
      </c>
      <c r="F3636" s="51">
        <f t="shared" si="124"/>
        <v>4.6297051400000004</v>
      </c>
      <c r="H3636" s="33"/>
      <c r="I3636" s="33"/>
      <c r="J3636" s="33"/>
      <c r="K3636" s="33"/>
      <c r="L3636" s="33"/>
      <c r="M3636" s="33"/>
      <c r="N3636" s="33"/>
      <c r="O3636" s="33"/>
      <c r="P3636" s="33"/>
      <c r="Q3636" s="33"/>
      <c r="R3636" s="33"/>
      <c r="S3636" s="33"/>
      <c r="T3636" s="33"/>
      <c r="U3636" s="33"/>
      <c r="V3636" s="33"/>
      <c r="W3636" s="33"/>
      <c r="X3636" s="33"/>
      <c r="Y3636" s="33"/>
      <c r="Z3636" s="33"/>
      <c r="AA3636" s="33"/>
      <c r="AB3636" s="33"/>
    </row>
    <row r="3637" spans="1:28" x14ac:dyDescent="0.15">
      <c r="A3637" s="46" t="s">
        <v>7325</v>
      </c>
      <c r="B3637" s="52" t="s">
        <v>7361</v>
      </c>
      <c r="C3637" s="53" t="s">
        <v>7326</v>
      </c>
      <c r="D3637" s="54" t="s">
        <v>11074</v>
      </c>
      <c r="E3637" s="50">
        <f t="shared" si="124"/>
        <v>49.767123290000001</v>
      </c>
      <c r="F3637" s="51">
        <f t="shared" si="124"/>
        <v>4.6297115299999998</v>
      </c>
      <c r="H3637" s="33"/>
      <c r="I3637" s="33"/>
      <c r="J3637" s="33"/>
      <c r="K3637" s="33"/>
      <c r="L3637" s="33"/>
      <c r="M3637" s="33"/>
      <c r="N3637" s="33"/>
      <c r="O3637" s="33"/>
      <c r="P3637" s="33"/>
      <c r="Q3637" s="33"/>
      <c r="R3637" s="33"/>
      <c r="S3637" s="33"/>
      <c r="T3637" s="33"/>
      <c r="U3637" s="33"/>
      <c r="V3637" s="33"/>
      <c r="W3637" s="33"/>
      <c r="X3637" s="33"/>
      <c r="Y3637" s="33"/>
      <c r="Z3637" s="33"/>
      <c r="AA3637" s="33"/>
      <c r="AB3637" s="33"/>
    </row>
    <row r="3638" spans="1:28" x14ac:dyDescent="0.15">
      <c r="A3638" s="46" t="s">
        <v>7327</v>
      </c>
      <c r="B3638" s="52" t="s">
        <v>7361</v>
      </c>
      <c r="C3638" s="53" t="s">
        <v>7328</v>
      </c>
      <c r="D3638" s="54" t="s">
        <v>11075</v>
      </c>
      <c r="E3638" s="50">
        <f t="shared" si="124"/>
        <v>49.780821920000001</v>
      </c>
      <c r="F3638" s="51">
        <f t="shared" si="124"/>
        <v>4.6297180400000002</v>
      </c>
      <c r="H3638" s="33"/>
      <c r="I3638" s="33"/>
      <c r="J3638" s="33"/>
      <c r="K3638" s="33"/>
      <c r="L3638" s="33"/>
      <c r="M3638" s="33"/>
      <c r="N3638" s="33"/>
      <c r="O3638" s="33"/>
      <c r="P3638" s="33"/>
      <c r="Q3638" s="33"/>
      <c r="R3638" s="33"/>
      <c r="S3638" s="33"/>
      <c r="T3638" s="33"/>
      <c r="U3638" s="33"/>
      <c r="V3638" s="33"/>
      <c r="W3638" s="33"/>
      <c r="X3638" s="33"/>
      <c r="Y3638" s="33"/>
      <c r="Z3638" s="33"/>
      <c r="AA3638" s="33"/>
      <c r="AB3638" s="33"/>
    </row>
    <row r="3639" spans="1:28" x14ac:dyDescent="0.15">
      <c r="A3639" s="46" t="s">
        <v>7329</v>
      </c>
      <c r="B3639" s="52" t="s">
        <v>7361</v>
      </c>
      <c r="C3639" s="53" t="s">
        <v>7330</v>
      </c>
      <c r="D3639" s="54" t="s">
        <v>11076</v>
      </c>
      <c r="E3639" s="50">
        <f t="shared" si="124"/>
        <v>49.794520550000001</v>
      </c>
      <c r="F3639" s="51">
        <f t="shared" si="124"/>
        <v>4.6297246300000001</v>
      </c>
      <c r="H3639" s="33"/>
      <c r="I3639" s="33"/>
      <c r="J3639" s="33"/>
      <c r="K3639" s="33"/>
      <c r="L3639" s="33"/>
      <c r="M3639" s="33"/>
      <c r="N3639" s="33"/>
      <c r="O3639" s="33"/>
      <c r="P3639" s="33"/>
      <c r="Q3639" s="33"/>
      <c r="R3639" s="33"/>
      <c r="S3639" s="33"/>
      <c r="T3639" s="33"/>
      <c r="U3639" s="33"/>
      <c r="V3639" s="33"/>
      <c r="W3639" s="33"/>
      <c r="X3639" s="33"/>
      <c r="Y3639" s="33"/>
      <c r="Z3639" s="33"/>
      <c r="AA3639" s="33"/>
      <c r="AB3639" s="33"/>
    </row>
    <row r="3640" spans="1:28" x14ac:dyDescent="0.15">
      <c r="A3640" s="46" t="s">
        <v>7331</v>
      </c>
      <c r="B3640" s="52" t="s">
        <v>7361</v>
      </c>
      <c r="C3640" s="53" t="s">
        <v>7332</v>
      </c>
      <c r="D3640" s="54" t="s">
        <v>11077</v>
      </c>
      <c r="E3640" s="50">
        <f t="shared" si="124"/>
        <v>49.808219180000002</v>
      </c>
      <c r="F3640" s="51">
        <f t="shared" si="124"/>
        <v>4.6297312799999997</v>
      </c>
      <c r="H3640" s="33"/>
      <c r="I3640" s="33"/>
      <c r="J3640" s="33"/>
      <c r="K3640" s="33"/>
      <c r="L3640" s="33"/>
      <c r="M3640" s="33"/>
      <c r="N3640" s="33"/>
      <c r="O3640" s="33"/>
      <c r="P3640" s="33"/>
      <c r="Q3640" s="33"/>
      <c r="R3640" s="33"/>
      <c r="S3640" s="33"/>
      <c r="T3640" s="33"/>
      <c r="U3640" s="33"/>
      <c r="V3640" s="33"/>
      <c r="W3640" s="33"/>
      <c r="X3640" s="33"/>
      <c r="Y3640" s="33"/>
      <c r="Z3640" s="33"/>
      <c r="AA3640" s="33"/>
      <c r="AB3640" s="33"/>
    </row>
    <row r="3641" spans="1:28" x14ac:dyDescent="0.15">
      <c r="A3641" s="46" t="s">
        <v>7333</v>
      </c>
      <c r="B3641" s="52" t="s">
        <v>7361</v>
      </c>
      <c r="C3641" s="53" t="s">
        <v>7334</v>
      </c>
      <c r="D3641" s="54" t="s">
        <v>11078</v>
      </c>
      <c r="E3641" s="50">
        <f t="shared" si="124"/>
        <v>49.821917810000002</v>
      </c>
      <c r="F3641" s="51">
        <f t="shared" si="124"/>
        <v>4.6297379699999999</v>
      </c>
      <c r="H3641" s="33"/>
      <c r="I3641" s="33"/>
      <c r="J3641" s="33"/>
      <c r="K3641" s="33"/>
      <c r="L3641" s="33"/>
      <c r="M3641" s="33"/>
      <c r="N3641" s="33"/>
      <c r="O3641" s="33"/>
      <c r="P3641" s="33"/>
      <c r="Q3641" s="33"/>
      <c r="R3641" s="33"/>
      <c r="S3641" s="33"/>
      <c r="T3641" s="33"/>
      <c r="U3641" s="33"/>
      <c r="V3641" s="33"/>
      <c r="W3641" s="33"/>
      <c r="X3641" s="33"/>
      <c r="Y3641" s="33"/>
      <c r="Z3641" s="33"/>
      <c r="AA3641" s="33"/>
      <c r="AB3641" s="33"/>
    </row>
    <row r="3642" spans="1:28" x14ac:dyDescent="0.15">
      <c r="A3642" s="46" t="s">
        <v>7335</v>
      </c>
      <c r="B3642" s="52" t="s">
        <v>7361</v>
      </c>
      <c r="C3642" s="53" t="s">
        <v>7336</v>
      </c>
      <c r="D3642" s="54" t="s">
        <v>11079</v>
      </c>
      <c r="E3642" s="50">
        <f t="shared" si="124"/>
        <v>49.835616440000003</v>
      </c>
      <c r="F3642" s="51">
        <f t="shared" si="124"/>
        <v>4.6297446899999999</v>
      </c>
      <c r="H3642" s="33"/>
      <c r="I3642" s="33"/>
      <c r="J3642" s="33"/>
      <c r="K3642" s="33"/>
      <c r="L3642" s="33"/>
      <c r="M3642" s="33"/>
      <c r="N3642" s="33"/>
      <c r="O3642" s="33"/>
      <c r="P3642" s="33"/>
      <c r="Q3642" s="33"/>
      <c r="R3642" s="33"/>
      <c r="S3642" s="33"/>
      <c r="T3642" s="33"/>
      <c r="U3642" s="33"/>
      <c r="V3642" s="33"/>
      <c r="W3642" s="33"/>
      <c r="X3642" s="33"/>
      <c r="Y3642" s="33"/>
      <c r="Z3642" s="33"/>
      <c r="AA3642" s="33"/>
      <c r="AB3642" s="33"/>
    </row>
    <row r="3643" spans="1:28" x14ac:dyDescent="0.15">
      <c r="A3643" s="46" t="s">
        <v>7337</v>
      </c>
      <c r="B3643" s="52" t="s">
        <v>7361</v>
      </c>
      <c r="C3643" s="53" t="s">
        <v>7338</v>
      </c>
      <c r="D3643" s="54" t="s">
        <v>11080</v>
      </c>
      <c r="E3643" s="50">
        <f t="shared" si="124"/>
        <v>49.849315070000003</v>
      </c>
      <c r="F3643" s="51">
        <f t="shared" si="124"/>
        <v>4.6297514</v>
      </c>
      <c r="H3643" s="33"/>
      <c r="I3643" s="33"/>
      <c r="J3643" s="33"/>
      <c r="K3643" s="33"/>
      <c r="L3643" s="33"/>
      <c r="M3643" s="33"/>
      <c r="N3643" s="33"/>
      <c r="O3643" s="33"/>
      <c r="P3643" s="33"/>
      <c r="Q3643" s="33"/>
      <c r="R3643" s="33"/>
      <c r="S3643" s="33"/>
      <c r="T3643" s="33"/>
      <c r="U3643" s="33"/>
      <c r="V3643" s="33"/>
      <c r="W3643" s="33"/>
      <c r="X3643" s="33"/>
      <c r="Y3643" s="33"/>
      <c r="Z3643" s="33"/>
      <c r="AA3643" s="33"/>
      <c r="AB3643" s="33"/>
    </row>
    <row r="3644" spans="1:28" x14ac:dyDescent="0.15">
      <c r="A3644" s="46" t="s">
        <v>7339</v>
      </c>
      <c r="B3644" s="52" t="s">
        <v>7361</v>
      </c>
      <c r="C3644" s="53" t="s">
        <v>7340</v>
      </c>
      <c r="D3644" s="54" t="s">
        <v>11081</v>
      </c>
      <c r="E3644" s="50">
        <f t="shared" si="124"/>
        <v>49.863013700000003</v>
      </c>
      <c r="F3644" s="51">
        <f t="shared" si="124"/>
        <v>4.6297580800000002</v>
      </c>
      <c r="H3644" s="33"/>
      <c r="I3644" s="33"/>
      <c r="J3644" s="33"/>
      <c r="K3644" s="33"/>
      <c r="L3644" s="33"/>
      <c r="M3644" s="33"/>
      <c r="N3644" s="33"/>
      <c r="O3644" s="33"/>
      <c r="P3644" s="33"/>
      <c r="Q3644" s="33"/>
      <c r="R3644" s="33"/>
      <c r="S3644" s="33"/>
      <c r="T3644" s="33"/>
      <c r="U3644" s="33"/>
      <c r="V3644" s="33"/>
      <c r="W3644" s="33"/>
      <c r="X3644" s="33"/>
      <c r="Y3644" s="33"/>
      <c r="Z3644" s="33"/>
      <c r="AA3644" s="33"/>
      <c r="AB3644" s="33"/>
    </row>
    <row r="3645" spans="1:28" x14ac:dyDescent="0.15">
      <c r="A3645" s="46" t="s">
        <v>7341</v>
      </c>
      <c r="B3645" s="52" t="s">
        <v>7361</v>
      </c>
      <c r="C3645" s="53" t="s">
        <v>7342</v>
      </c>
      <c r="D3645" s="54" t="s">
        <v>11082</v>
      </c>
      <c r="E3645" s="50">
        <f t="shared" si="124"/>
        <v>49.876712329999997</v>
      </c>
      <c r="F3645" s="51">
        <f t="shared" si="124"/>
        <v>4.6297647199999998</v>
      </c>
      <c r="H3645" s="33"/>
      <c r="I3645" s="33"/>
      <c r="J3645" s="33"/>
      <c r="K3645" s="33"/>
      <c r="L3645" s="33"/>
      <c r="M3645" s="33"/>
      <c r="N3645" s="33"/>
      <c r="O3645" s="33"/>
      <c r="P3645" s="33"/>
      <c r="Q3645" s="33"/>
      <c r="R3645" s="33"/>
      <c r="S3645" s="33"/>
      <c r="T3645" s="33"/>
      <c r="U3645" s="33"/>
      <c r="V3645" s="33"/>
      <c r="W3645" s="33"/>
      <c r="X3645" s="33"/>
      <c r="Y3645" s="33"/>
      <c r="Z3645" s="33"/>
      <c r="AA3645" s="33"/>
      <c r="AB3645" s="33"/>
    </row>
    <row r="3646" spans="1:28" x14ac:dyDescent="0.15">
      <c r="A3646" s="46" t="s">
        <v>7343</v>
      </c>
      <c r="B3646" s="52" t="s">
        <v>7361</v>
      </c>
      <c r="C3646" s="53" t="s">
        <v>7344</v>
      </c>
      <c r="D3646" s="54" t="s">
        <v>11083</v>
      </c>
      <c r="E3646" s="50">
        <f t="shared" si="124"/>
        <v>49.890410959999997</v>
      </c>
      <c r="F3646" s="51">
        <f t="shared" si="124"/>
        <v>4.6297712799999999</v>
      </c>
      <c r="H3646" s="33"/>
      <c r="I3646" s="33"/>
      <c r="J3646" s="33"/>
      <c r="K3646" s="33"/>
      <c r="L3646" s="33"/>
      <c r="M3646" s="33"/>
      <c r="N3646" s="33"/>
      <c r="O3646" s="33"/>
      <c r="P3646" s="33"/>
      <c r="Q3646" s="33"/>
      <c r="R3646" s="33"/>
      <c r="S3646" s="33"/>
      <c r="T3646" s="33"/>
      <c r="U3646" s="33"/>
      <c r="V3646" s="33"/>
      <c r="W3646" s="33"/>
      <c r="X3646" s="33"/>
      <c r="Y3646" s="33"/>
      <c r="Z3646" s="33"/>
      <c r="AA3646" s="33"/>
      <c r="AB3646" s="33"/>
    </row>
    <row r="3647" spans="1:28" x14ac:dyDescent="0.15">
      <c r="A3647" s="46" t="s">
        <v>7345</v>
      </c>
      <c r="B3647" s="52" t="s">
        <v>7361</v>
      </c>
      <c r="C3647" s="53" t="s">
        <v>7346</v>
      </c>
      <c r="D3647" s="54" t="s">
        <v>11084</v>
      </c>
      <c r="E3647" s="50">
        <f t="shared" si="124"/>
        <v>49.904109589999997</v>
      </c>
      <c r="F3647" s="51">
        <f t="shared" si="124"/>
        <v>4.6297777499999997</v>
      </c>
      <c r="H3647" s="33"/>
      <c r="I3647" s="33"/>
      <c r="J3647" s="33"/>
      <c r="K3647" s="33"/>
      <c r="L3647" s="33"/>
      <c r="M3647" s="33"/>
      <c r="N3647" s="33"/>
      <c r="O3647" s="33"/>
      <c r="P3647" s="33"/>
      <c r="Q3647" s="33"/>
      <c r="R3647" s="33"/>
      <c r="S3647" s="33"/>
      <c r="T3647" s="33"/>
      <c r="U3647" s="33"/>
      <c r="V3647" s="33"/>
      <c r="W3647" s="33"/>
      <c r="X3647" s="33"/>
      <c r="Y3647" s="33"/>
      <c r="Z3647" s="33"/>
      <c r="AA3647" s="33"/>
      <c r="AB3647" s="33"/>
    </row>
    <row r="3648" spans="1:28" x14ac:dyDescent="0.15">
      <c r="A3648" s="46" t="s">
        <v>7347</v>
      </c>
      <c r="B3648" s="52" t="s">
        <v>7361</v>
      </c>
      <c r="C3648" s="53" t="s">
        <v>7348</v>
      </c>
      <c r="D3648" s="54" t="s">
        <v>11085</v>
      </c>
      <c r="E3648" s="50">
        <f t="shared" si="124"/>
        <v>49.917808219999998</v>
      </c>
      <c r="F3648" s="51">
        <f t="shared" si="124"/>
        <v>4.6297841000000002</v>
      </c>
      <c r="H3648" s="33"/>
      <c r="I3648" s="33"/>
      <c r="J3648" s="33"/>
      <c r="K3648" s="33"/>
      <c r="L3648" s="33"/>
      <c r="M3648" s="33"/>
      <c r="N3648" s="33"/>
      <c r="O3648" s="33"/>
      <c r="P3648" s="33"/>
      <c r="Q3648" s="33"/>
      <c r="R3648" s="33"/>
      <c r="S3648" s="33"/>
      <c r="T3648" s="33"/>
      <c r="U3648" s="33"/>
      <c r="V3648" s="33"/>
      <c r="W3648" s="33"/>
      <c r="X3648" s="33"/>
      <c r="Y3648" s="33"/>
      <c r="Z3648" s="33"/>
      <c r="AA3648" s="33"/>
      <c r="AB3648" s="33"/>
    </row>
    <row r="3649" spans="1:28" x14ac:dyDescent="0.15">
      <c r="A3649" s="46" t="s">
        <v>7349</v>
      </c>
      <c r="B3649" s="52" t="s">
        <v>7361</v>
      </c>
      <c r="C3649" s="53" t="s">
        <v>7350</v>
      </c>
      <c r="D3649" s="54" t="s">
        <v>11086</v>
      </c>
      <c r="E3649" s="50">
        <f t="shared" si="124"/>
        <v>49.931506849999998</v>
      </c>
      <c r="F3649" s="51">
        <f t="shared" si="124"/>
        <v>4.6297903099999997</v>
      </c>
      <c r="H3649" s="33"/>
      <c r="I3649" s="33"/>
      <c r="J3649" s="33"/>
      <c r="K3649" s="33"/>
      <c r="L3649" s="33"/>
      <c r="M3649" s="33"/>
      <c r="N3649" s="33"/>
      <c r="O3649" s="33"/>
      <c r="P3649" s="33"/>
      <c r="Q3649" s="33"/>
      <c r="R3649" s="33"/>
      <c r="S3649" s="33"/>
      <c r="T3649" s="33"/>
      <c r="U3649" s="33"/>
      <c r="V3649" s="33"/>
      <c r="W3649" s="33"/>
      <c r="X3649" s="33"/>
      <c r="Y3649" s="33"/>
      <c r="Z3649" s="33"/>
      <c r="AA3649" s="33"/>
      <c r="AB3649" s="33"/>
    </row>
    <row r="3650" spans="1:28" x14ac:dyDescent="0.15">
      <c r="A3650" s="46" t="s">
        <v>7351</v>
      </c>
      <c r="B3650" s="52" t="s">
        <v>7361</v>
      </c>
      <c r="C3650" s="53" t="s">
        <v>7352</v>
      </c>
      <c r="D3650" s="54" t="s">
        <v>11087</v>
      </c>
      <c r="E3650" s="50">
        <f t="shared" si="124"/>
        <v>49.945205479999998</v>
      </c>
      <c r="F3650" s="51">
        <f t="shared" si="124"/>
        <v>4.6297963600000003</v>
      </c>
      <c r="H3650" s="33"/>
      <c r="I3650" s="33"/>
      <c r="J3650" s="33"/>
      <c r="K3650" s="33"/>
      <c r="L3650" s="33"/>
      <c r="M3650" s="33"/>
      <c r="N3650" s="33"/>
      <c r="O3650" s="33"/>
      <c r="P3650" s="33"/>
      <c r="Q3650" s="33"/>
      <c r="R3650" s="33"/>
      <c r="S3650" s="33"/>
      <c r="T3650" s="33"/>
      <c r="U3650" s="33"/>
      <c r="V3650" s="33"/>
      <c r="W3650" s="33"/>
      <c r="X3650" s="33"/>
      <c r="Y3650" s="33"/>
      <c r="Z3650" s="33"/>
      <c r="AA3650" s="33"/>
      <c r="AB3650" s="33"/>
    </row>
    <row r="3651" spans="1:28" x14ac:dyDescent="0.15">
      <c r="A3651" s="46" t="s">
        <v>7353</v>
      </c>
      <c r="B3651" s="52" t="s">
        <v>7361</v>
      </c>
      <c r="C3651" s="53" t="s">
        <v>7354</v>
      </c>
      <c r="D3651" s="54" t="s">
        <v>11088</v>
      </c>
      <c r="E3651" s="50">
        <f t="shared" si="124"/>
        <v>49.958904109999999</v>
      </c>
      <c r="F3651" s="51">
        <f t="shared" si="124"/>
        <v>4.6298022200000002</v>
      </c>
      <c r="H3651" s="33"/>
      <c r="I3651" s="33"/>
      <c r="J3651" s="33"/>
      <c r="K3651" s="33"/>
      <c r="L3651" s="33"/>
      <c r="M3651" s="33"/>
      <c r="N3651" s="33"/>
      <c r="O3651" s="33"/>
      <c r="P3651" s="33"/>
      <c r="Q3651" s="33"/>
      <c r="R3651" s="33"/>
      <c r="S3651" s="33"/>
      <c r="T3651" s="33"/>
      <c r="U3651" s="33"/>
      <c r="V3651" s="33"/>
      <c r="W3651" s="33"/>
      <c r="X3651" s="33"/>
      <c r="Y3651" s="33"/>
      <c r="Z3651" s="33"/>
      <c r="AA3651" s="33"/>
      <c r="AB3651" s="33"/>
    </row>
    <row r="3652" spans="1:28" x14ac:dyDescent="0.15">
      <c r="A3652" s="46" t="s">
        <v>7355</v>
      </c>
      <c r="B3652" s="52" t="s">
        <v>7361</v>
      </c>
      <c r="C3652" s="53" t="s">
        <v>7356</v>
      </c>
      <c r="D3652" s="54" t="s">
        <v>11089</v>
      </c>
      <c r="E3652" s="50">
        <f t="shared" si="124"/>
        <v>49.972602739999999</v>
      </c>
      <c r="F3652" s="51">
        <f t="shared" si="124"/>
        <v>4.6298078699999996</v>
      </c>
      <c r="H3652" s="33"/>
      <c r="I3652" s="33"/>
      <c r="J3652" s="33"/>
      <c r="K3652" s="33"/>
      <c r="L3652" s="33"/>
      <c r="M3652" s="33"/>
      <c r="N3652" s="33"/>
      <c r="O3652" s="33"/>
      <c r="P3652" s="33"/>
      <c r="Q3652" s="33"/>
      <c r="R3652" s="33"/>
      <c r="S3652" s="33"/>
      <c r="T3652" s="33"/>
      <c r="U3652" s="33"/>
      <c r="V3652" s="33"/>
      <c r="W3652" s="33"/>
      <c r="X3652" s="33"/>
      <c r="Y3652" s="33"/>
      <c r="Z3652" s="33"/>
      <c r="AA3652" s="33"/>
      <c r="AB3652" s="33"/>
    </row>
    <row r="3653" spans="1:28" x14ac:dyDescent="0.15">
      <c r="A3653" s="46" t="s">
        <v>7357</v>
      </c>
      <c r="B3653" s="52" t="s">
        <v>7361</v>
      </c>
      <c r="C3653" s="53" t="s">
        <v>7358</v>
      </c>
      <c r="D3653" s="54" t="s">
        <v>11090</v>
      </c>
      <c r="E3653" s="50">
        <f t="shared" si="124"/>
        <v>49.98630137</v>
      </c>
      <c r="F3653" s="51">
        <f t="shared" si="124"/>
        <v>4.6298133000000004</v>
      </c>
      <c r="H3653" s="33"/>
      <c r="I3653" s="33"/>
      <c r="J3653" s="33"/>
      <c r="K3653" s="33"/>
      <c r="L3653" s="33"/>
      <c r="M3653" s="33"/>
      <c r="N3653" s="33"/>
      <c r="O3653" s="33"/>
      <c r="P3653" s="33"/>
      <c r="Q3653" s="33"/>
      <c r="R3653" s="33"/>
      <c r="S3653" s="33"/>
      <c r="T3653" s="33"/>
      <c r="U3653" s="33"/>
      <c r="V3653" s="33"/>
      <c r="W3653" s="33"/>
      <c r="X3653" s="33"/>
      <c r="Y3653" s="33"/>
      <c r="Z3653" s="33"/>
      <c r="AA3653" s="33"/>
      <c r="AB3653" s="33"/>
    </row>
    <row r="3654" spans="1:28" x14ac:dyDescent="0.15">
      <c r="A3654" s="41" t="s">
        <v>7359</v>
      </c>
      <c r="B3654" s="55" t="s">
        <v>7361</v>
      </c>
      <c r="C3654" s="56" t="s">
        <v>7360</v>
      </c>
      <c r="D3654" s="57" t="s">
        <v>11091</v>
      </c>
      <c r="E3654" s="58">
        <f>VALUE(C3654)</f>
        <v>50</v>
      </c>
      <c r="F3654" s="59">
        <f>VALUE(D3654)</f>
        <v>4.62981847</v>
      </c>
      <c r="H3654" s="33"/>
      <c r="I3654" s="33"/>
      <c r="J3654" s="33"/>
      <c r="K3654" s="33"/>
      <c r="L3654" s="33"/>
      <c r="M3654" s="33"/>
      <c r="N3654" s="33"/>
      <c r="O3654" s="33"/>
      <c r="P3654" s="33"/>
      <c r="Q3654" s="33"/>
      <c r="R3654" s="33"/>
      <c r="S3654" s="33"/>
      <c r="T3654" s="33"/>
      <c r="U3654" s="33"/>
      <c r="V3654" s="33"/>
      <c r="W3654" s="33"/>
      <c r="X3654" s="33"/>
      <c r="Y3654" s="33"/>
      <c r="Z3654" s="33"/>
      <c r="AA3654" s="33"/>
      <c r="AB3654" s="33"/>
    </row>
  </sheetData>
  <phoneticPr fontId="2" type="noConversion"/>
  <pageMargins left="0.70763888888888904" right="0.70763888888888904" top="0.74791666666666701" bottom="0.74791666666666701" header="0.31388888888888899" footer="0.31388888888888899"/>
  <pageSetup paperSize="9" scale="65" fitToHeight="5" orientation="landscape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57"/>
    <pageSetUpPr fitToPage="1"/>
  </sheetPr>
  <dimension ref="A1:X69"/>
  <sheetViews>
    <sheetView showGridLines="0" workbookViewId="0">
      <selection activeCell="D2" sqref="D2"/>
    </sheetView>
  </sheetViews>
  <sheetFormatPr defaultColWidth="9" defaultRowHeight="13.5" outlineLevelCol="1" x14ac:dyDescent="0.15"/>
  <cols>
    <col min="1" max="1" width="9" style="33"/>
    <col min="2" max="2" width="16.375" style="60" customWidth="1" outlineLevel="1"/>
    <col min="3" max="3" width="16.375" style="60" customWidth="1"/>
    <col min="4" max="4" width="6.125" style="33" customWidth="1"/>
    <col min="5" max="5" width="10.875" style="33" customWidth="1"/>
    <col min="6" max="6" width="18.625" style="33" customWidth="1" outlineLevel="1"/>
    <col min="7" max="15" width="10.75" style="33" customWidth="1" outlineLevel="1"/>
    <col min="16" max="18" width="13.625" style="34" customWidth="1"/>
    <col min="19" max="19" width="9" style="34"/>
    <col min="20" max="20" width="10.875" style="34" customWidth="1"/>
    <col min="21" max="16384" width="9" style="34"/>
  </cols>
  <sheetData>
    <row r="1" spans="1:24" x14ac:dyDescent="0.15">
      <c r="A1" s="32" t="s">
        <v>7362</v>
      </c>
      <c r="E1" s="32" t="s">
        <v>7363</v>
      </c>
    </row>
    <row r="2" spans="1:24" x14ac:dyDescent="0.15">
      <c r="A2" s="32"/>
    </row>
    <row r="3" spans="1:24" x14ac:dyDescent="0.15">
      <c r="A3" s="35"/>
      <c r="B3" s="61"/>
      <c r="C3" s="62"/>
      <c r="E3" s="35"/>
      <c r="F3" s="63"/>
      <c r="G3" s="64" t="s">
        <v>7364</v>
      </c>
      <c r="H3" s="65"/>
      <c r="I3" s="66"/>
      <c r="J3" s="64" t="s">
        <v>7365</v>
      </c>
      <c r="K3" s="65"/>
      <c r="L3" s="66"/>
      <c r="M3" s="64" t="s">
        <v>7366</v>
      </c>
      <c r="N3" s="65"/>
      <c r="O3" s="65"/>
      <c r="P3" s="67" t="s">
        <v>7367</v>
      </c>
      <c r="Q3" s="68"/>
      <c r="R3" s="69"/>
    </row>
    <row r="4" spans="1:24" x14ac:dyDescent="0.15">
      <c r="A4" s="41" t="s">
        <v>7368</v>
      </c>
      <c r="B4" s="70" t="s">
        <v>7369</v>
      </c>
      <c r="C4" s="71" t="s">
        <v>7370</v>
      </c>
      <c r="E4" s="41" t="s">
        <v>7368</v>
      </c>
      <c r="F4" s="72" t="s">
        <v>7369</v>
      </c>
      <c r="G4" s="70" t="s">
        <v>7371</v>
      </c>
      <c r="H4" s="73" t="s">
        <v>7372</v>
      </c>
      <c r="I4" s="74" t="s">
        <v>7373</v>
      </c>
      <c r="J4" s="70" t="s">
        <v>7371</v>
      </c>
      <c r="K4" s="73" t="s">
        <v>7372</v>
      </c>
      <c r="L4" s="74" t="s">
        <v>7373</v>
      </c>
      <c r="M4" s="70" t="s">
        <v>7371</v>
      </c>
      <c r="N4" s="73" t="s">
        <v>7372</v>
      </c>
      <c r="O4" s="73" t="s">
        <v>7373</v>
      </c>
      <c r="P4" s="75" t="s">
        <v>7374</v>
      </c>
      <c r="Q4" s="75" t="s">
        <v>7375</v>
      </c>
      <c r="R4" s="76" t="s">
        <v>7376</v>
      </c>
      <c r="T4" s="34" t="s">
        <v>7377</v>
      </c>
      <c r="U4" s="34" t="s">
        <v>7378</v>
      </c>
      <c r="V4" s="34" t="s">
        <v>7379</v>
      </c>
      <c r="X4" s="77" t="s">
        <v>7380</v>
      </c>
    </row>
    <row r="5" spans="1:24" x14ac:dyDescent="0.15">
      <c r="A5" s="46">
        <v>0</v>
      </c>
      <c r="B5" s="78">
        <f>VLOOKUP($A5,中债登下载数据!$E$4:$F$3654,2,FALSE)/100</f>
        <v>2.53780007E-2</v>
      </c>
      <c r="C5" s="79">
        <f>B5</f>
        <v>2.53780007E-2</v>
      </c>
      <c r="E5" s="46">
        <v>0</v>
      </c>
      <c r="F5" s="80">
        <f>VLOOKUP($A5,[1]中债登下载数据!$L$4:$M$3654,2,FALSE)/100</f>
        <v>2.1456550800000002E-2</v>
      </c>
      <c r="G5" s="78">
        <f t="shared" ref="G5" si="0">F5+Spread_High/10000</f>
        <v>2.8456550800000001E-2</v>
      </c>
      <c r="H5" s="81">
        <f t="shared" ref="H5" si="1">F5+Spread_Mid/10000</f>
        <v>2.5956550800000002E-2</v>
      </c>
      <c r="I5" s="82">
        <f t="shared" ref="I5" si="2">F5+Spread_Low/10000</f>
        <v>2.4456550800000001E-2</v>
      </c>
      <c r="J5" s="78">
        <f>G5</f>
        <v>2.8456550800000001E-2</v>
      </c>
      <c r="K5" s="81">
        <f t="shared" ref="K5" si="3">H5</f>
        <v>2.5956550800000002E-2</v>
      </c>
      <c r="L5" s="82">
        <f>I5</f>
        <v>2.4456550800000001E-2</v>
      </c>
      <c r="M5" s="78">
        <f t="shared" ref="M5" si="4">IF($E5&lt;Start_Year+1,J5,IF($E5&gt;=End_Year,UFR,INDEX(J$6:J$45,Start_Year)+(UFR-INDEX(J$6:J$45,Start_Year))*($E5-Start_Year)/(End_Year-Start_Year)))</f>
        <v>2.8456550800000001E-2</v>
      </c>
      <c r="N5" s="81">
        <f t="shared" ref="N5" si="5">IF($E5&lt;Start_Year+1,K5,IF($E5&gt;=End_Year,UFR,INDEX(K$6:K$45,Start_Year)+(UFR-INDEX(K$6:K$45,Start_Year))*($E5-Start_Year)/(End_Year-Start_Year)))</f>
        <v>2.5956550800000002E-2</v>
      </c>
      <c r="O5" s="81">
        <f t="shared" ref="O5" si="6">IF($E5&lt;Start_Year+1,L5,IF($E5&gt;=End_Year,UFR,INDEX(L$6:L$45,Start_Year)+(UFR-INDEX(L$6:L$45,Start_Year))*($E5-Start_Year)/(End_Year-Start_Year)))</f>
        <v>2.4456550800000001E-2</v>
      </c>
      <c r="P5" s="83">
        <f t="shared" ref="P5" si="7">ROUND(IF($E5&lt;Start_Year+1,J5,IF($E5&gt;=End_Year,UFR,M5*($E5-Start_Year)/(End_Year-Start_Year)+J5*(End_Year-$E5)/(End_Year-Start_Year))),4)</f>
        <v>2.8500000000000001E-2</v>
      </c>
      <c r="Q5" s="83">
        <f t="shared" ref="Q5" si="8">ROUND(IF($E5&lt;Start_Year+1,K5,IF($E5&gt;=End_Year,UFR,N5*($E5-Start_Year)/(End_Year-Start_Year)+K5*(End_Year-$E5)/(End_Year-Start_Year))),4)</f>
        <v>2.5999999999999999E-2</v>
      </c>
      <c r="R5" s="84">
        <f t="shared" ref="R5" si="9">ROUND(IF($E5&lt;Start_Year+1,L5,IF($E5&gt;=End_Year,UFR,O5*($E5-Start_Year)/(End_Year-Start_Year)+L5*(End_Year-$E5)/(End_Year-Start_Year))),4)</f>
        <v>2.4500000000000001E-2</v>
      </c>
    </row>
    <row r="6" spans="1:24" x14ac:dyDescent="0.15">
      <c r="A6" s="46">
        <v>1</v>
      </c>
      <c r="B6" s="78">
        <f>VLOOKUP($A6,中债登下载数据!$E$4:$F$3654,2,FALSE)/100</f>
        <v>3.7908999900000004E-2</v>
      </c>
      <c r="C6" s="85">
        <f>ROUND((1+B6)^$A6/((1+B5)^$A5)-1,4)</f>
        <v>3.7900000000000003E-2</v>
      </c>
      <c r="D6" s="86"/>
      <c r="E6" s="46">
        <v>1</v>
      </c>
      <c r="F6" s="80">
        <f>VLOOKUP($A6,[1]中债登下载数据!$L$4:$M$3654,2,FALSE)/100</f>
        <v>3.1657967099999997E-2</v>
      </c>
      <c r="G6" s="78">
        <f t="shared" ref="G6" si="10">F6+Spread_High/10000</f>
        <v>3.8657967099999996E-2</v>
      </c>
      <c r="H6" s="81">
        <f t="shared" ref="H6" si="11">F6+Spread_Mid/10000</f>
        <v>3.6157967099999994E-2</v>
      </c>
      <c r="I6" s="82">
        <f t="shared" ref="I6" si="12">F6+Spread_Low/10000</f>
        <v>3.4657967099999999E-2</v>
      </c>
      <c r="J6" s="78">
        <f>ROUND((1+G6)^$A6/((1+G5)^$A5)-1,4)</f>
        <v>3.8699999999999998E-2</v>
      </c>
      <c r="K6" s="81">
        <f>ROUND((1+H6)^$A6/((1+H5)^$A5)-1,4)</f>
        <v>3.6200000000000003E-2</v>
      </c>
      <c r="L6" s="82">
        <f>ROUND((1+I6)^$A6/((1+I5)^$A5)-1,4)</f>
        <v>3.4700000000000002E-2</v>
      </c>
      <c r="M6" s="78">
        <f t="shared" ref="M6" si="13">IF($E6&lt;Start_Year+1,J6,IF($E6&gt;=End_Year,UFR,INDEX(J$6:J$45,Start_Year)+(UFR-INDEX(J$6:J$45,Start_Year))*($E6-Start_Year)/(End_Year-Start_Year)))</f>
        <v>3.8699999999999998E-2</v>
      </c>
      <c r="N6" s="81">
        <f t="shared" ref="N6" si="14">IF($E6&lt;Start_Year+1,K6,IF($E6&gt;=End_Year,UFR,INDEX(K$6:K$45,Start_Year)+(UFR-INDEX(K$6:K$45,Start_Year))*($E6-Start_Year)/(End_Year-Start_Year)))</f>
        <v>3.6200000000000003E-2</v>
      </c>
      <c r="O6" s="81">
        <f t="shared" ref="O6" si="15">IF($E6&lt;Start_Year+1,L6,IF($E6&gt;=End_Year,UFR,INDEX(L$6:L$45,Start_Year)+(UFR-INDEX(L$6:L$45,Start_Year))*($E6-Start_Year)/(End_Year-Start_Year)))</f>
        <v>3.4700000000000002E-2</v>
      </c>
      <c r="P6" s="83">
        <f t="shared" ref="P6" si="16">ROUND(IF($E6&lt;Start_Year+1,J6,IF($E6&gt;=End_Year,UFR,M6*($E6-Start_Year)/(End_Year-Start_Year)+J6*(End_Year-$E6)/(End_Year-Start_Year))),4)</f>
        <v>3.8699999999999998E-2</v>
      </c>
      <c r="Q6" s="83">
        <f t="shared" ref="Q6" si="17">ROUND(IF($E6&lt;Start_Year+1,K6,IF($E6&gt;=End_Year,UFR,N6*($E6-Start_Year)/(End_Year-Start_Year)+K6*(End_Year-$E6)/(End_Year-Start_Year))),4)</f>
        <v>3.6200000000000003E-2</v>
      </c>
      <c r="R6" s="84">
        <f t="shared" ref="R6" si="18">ROUND(IF($E6&lt;Start_Year+1,L6,IF($E6&gt;=End_Year,UFR,O6*($E6-Start_Year)/(End_Year-Start_Year)+L6*(End_Year-$E6)/(End_Year-Start_Year))),4)</f>
        <v>3.4700000000000002E-2</v>
      </c>
      <c r="S6" s="87"/>
      <c r="T6" s="34">
        <v>1</v>
      </c>
      <c r="U6" s="88">
        <v>0.82</v>
      </c>
      <c r="V6" s="88">
        <v>-0.12</v>
      </c>
      <c r="X6" s="89">
        <f>B6*(1+U6)</f>
        <v>6.8994379817999996E-2</v>
      </c>
    </row>
    <row r="7" spans="1:24" x14ac:dyDescent="0.15">
      <c r="A7" s="46">
        <f t="shared" ref="A7:A54" si="19">A6+1</f>
        <v>2</v>
      </c>
      <c r="B7" s="78">
        <f>VLOOKUP($A7,中债登下载数据!$E$4:$F$3654,2,FALSE)/100</f>
        <v>3.8213803999999997E-2</v>
      </c>
      <c r="C7" s="85">
        <f t="shared" ref="C7:C55" si="20">ROUND((1+B7)^$A7/((1+B6)^$A6)-1,4)</f>
        <v>3.85E-2</v>
      </c>
      <c r="D7" s="86"/>
      <c r="E7" s="46">
        <f t="shared" ref="E7:E55" si="21">E6+1</f>
        <v>2</v>
      </c>
      <c r="F7" s="80">
        <f>VLOOKUP($A7,[1]中债登下载数据!$L$4:$M$3654,2,FALSE)/100</f>
        <v>3.3485719500000004E-2</v>
      </c>
      <c r="G7" s="78">
        <f t="shared" ref="G7:G36" si="22">F7+Spread_High/10000</f>
        <v>4.0485719500000003E-2</v>
      </c>
      <c r="H7" s="81">
        <f t="shared" ref="H7:H36" si="23">F7+Spread_Mid/10000</f>
        <v>3.7985719500000001E-2</v>
      </c>
      <c r="I7" s="82">
        <f t="shared" ref="I7:I36" si="24">F7+Spread_Low/10000</f>
        <v>3.6485719500000006E-2</v>
      </c>
      <c r="J7" s="78">
        <f t="shared" ref="J7:L22" si="25">ROUND((1+G7)^$A7/((1+G6)^$A6)-1,4)</f>
        <v>4.2299999999999997E-2</v>
      </c>
      <c r="K7" s="81">
        <f t="shared" si="25"/>
        <v>3.9800000000000002E-2</v>
      </c>
      <c r="L7" s="82">
        <f t="shared" si="25"/>
        <v>3.8300000000000001E-2</v>
      </c>
      <c r="M7" s="78">
        <f t="shared" ref="M7:M36" si="26">IF($E7&lt;Start_Year+1,J7,IF($E7&gt;=End_Year,UFR,INDEX(J$6:J$45,Start_Year)+(UFR-INDEX(J$6:J$45,Start_Year))*($E7-Start_Year)/(End_Year-Start_Year)))</f>
        <v>4.2299999999999997E-2</v>
      </c>
      <c r="N7" s="81">
        <f t="shared" ref="N7:N36" si="27">IF($E7&lt;Start_Year+1,K7,IF($E7&gt;=End_Year,UFR,INDEX(K$6:K$45,Start_Year)+(UFR-INDEX(K$6:K$45,Start_Year))*($E7-Start_Year)/(End_Year-Start_Year)))</f>
        <v>3.9800000000000002E-2</v>
      </c>
      <c r="O7" s="81">
        <f t="shared" ref="O7:O36" si="28">IF($E7&lt;Start_Year+1,L7,IF($E7&gt;=End_Year,UFR,INDEX(L$6:L$45,Start_Year)+(UFR-INDEX(L$6:L$45,Start_Year))*($E7-Start_Year)/(End_Year-Start_Year)))</f>
        <v>3.8300000000000001E-2</v>
      </c>
      <c r="P7" s="83">
        <f t="shared" ref="P7:P36" si="29">ROUND(IF($E7&lt;Start_Year+1,J7,IF($E7&gt;=End_Year,UFR,M7*($E7-Start_Year)/(End_Year-Start_Year)+J7*(End_Year-$E7)/(End_Year-Start_Year))),4)</f>
        <v>4.2299999999999997E-2</v>
      </c>
      <c r="Q7" s="83">
        <f t="shared" ref="Q7:Q36" si="30">ROUND(IF($E7&lt;Start_Year+1,K7,IF($E7&gt;=End_Year,UFR,N7*($E7-Start_Year)/(End_Year-Start_Year)+K7*(End_Year-$E7)/(End_Year-Start_Year))),4)</f>
        <v>3.9800000000000002E-2</v>
      </c>
      <c r="R7" s="84">
        <f t="shared" ref="R7:R36" si="31">ROUND(IF($E7&lt;Start_Year+1,L7,IF($E7&gt;=End_Year,UFR,O7*($E7-Start_Year)/(End_Year-Start_Year)+L7*(End_Year-$E7)/(End_Year-Start_Year))),4)</f>
        <v>3.8300000000000001E-2</v>
      </c>
      <c r="S7" s="87"/>
      <c r="T7" s="90">
        <v>2</v>
      </c>
      <c r="U7" s="87">
        <v>0.56999999999999995</v>
      </c>
      <c r="V7" s="88">
        <v>-0.11</v>
      </c>
      <c r="X7" s="89">
        <f t="shared" ref="X7:X55" si="32">B7*(1+U7)</f>
        <v>5.9995672279999988E-2</v>
      </c>
    </row>
    <row r="8" spans="1:24" x14ac:dyDescent="0.15">
      <c r="A8" s="46">
        <f t="shared" si="19"/>
        <v>3</v>
      </c>
      <c r="B8" s="78">
        <f>VLOOKUP($A8,中债登下载数据!$E$4:$F$3654,2,FALSE)/100</f>
        <v>3.8162358200000003E-2</v>
      </c>
      <c r="C8" s="85">
        <f t="shared" si="20"/>
        <v>3.8100000000000002E-2</v>
      </c>
      <c r="D8" s="86"/>
      <c r="E8" s="46">
        <f t="shared" si="21"/>
        <v>3</v>
      </c>
      <c r="F8" s="80">
        <f>VLOOKUP($A8,[1]中债登下载数据!$L$4:$M$3654,2,FALSE)/100</f>
        <v>3.4359837500000004E-2</v>
      </c>
      <c r="G8" s="78">
        <f t="shared" si="22"/>
        <v>4.1359837500000003E-2</v>
      </c>
      <c r="H8" s="81">
        <f t="shared" si="23"/>
        <v>3.8859837500000001E-2</v>
      </c>
      <c r="I8" s="82">
        <f t="shared" si="24"/>
        <v>3.7359837500000007E-2</v>
      </c>
      <c r="J8" s="78">
        <f t="shared" si="25"/>
        <v>4.3099999999999999E-2</v>
      </c>
      <c r="K8" s="81">
        <f t="shared" si="25"/>
        <v>4.0599999999999997E-2</v>
      </c>
      <c r="L8" s="82">
        <f>ROUND((1+I8)^$A8/((1+I7)^$A7)-1,4)</f>
        <v>3.9100000000000003E-2</v>
      </c>
      <c r="M8" s="78">
        <f t="shared" si="26"/>
        <v>4.3099999999999999E-2</v>
      </c>
      <c r="N8" s="81">
        <f t="shared" si="27"/>
        <v>4.0599999999999997E-2</v>
      </c>
      <c r="O8" s="81">
        <f t="shared" si="28"/>
        <v>3.9100000000000003E-2</v>
      </c>
      <c r="P8" s="83">
        <f t="shared" si="29"/>
        <v>4.3099999999999999E-2</v>
      </c>
      <c r="Q8" s="83">
        <f t="shared" si="30"/>
        <v>4.0599999999999997E-2</v>
      </c>
      <c r="R8" s="84">
        <f t="shared" si="31"/>
        <v>3.9100000000000003E-2</v>
      </c>
      <c r="S8" s="87"/>
      <c r="T8" s="90">
        <v>3</v>
      </c>
      <c r="U8" s="87">
        <v>0.41</v>
      </c>
      <c r="V8" s="88">
        <v>-0.1</v>
      </c>
      <c r="X8" s="89">
        <f t="shared" si="32"/>
        <v>5.3808925062000003E-2</v>
      </c>
    </row>
    <row r="9" spans="1:24" x14ac:dyDescent="0.15">
      <c r="A9" s="46">
        <f t="shared" si="19"/>
        <v>4</v>
      </c>
      <c r="B9" s="78">
        <f>VLOOKUP($A9,中债登下载数据!$E$4:$F$3654,2,FALSE)/100</f>
        <v>3.8422090499999999E-2</v>
      </c>
      <c r="C9" s="85">
        <f t="shared" si="20"/>
        <v>3.9199999999999999E-2</v>
      </c>
      <c r="D9" s="86"/>
      <c r="E9" s="46">
        <f t="shared" si="21"/>
        <v>4</v>
      </c>
      <c r="F9" s="80">
        <f>VLOOKUP($A9,[1]中债登下载数据!$L$4:$M$3654,2,FALSE)/100</f>
        <v>3.5537328299999997E-2</v>
      </c>
      <c r="G9" s="78">
        <f t="shared" si="22"/>
        <v>4.2537328299999996E-2</v>
      </c>
      <c r="H9" s="81">
        <f t="shared" si="23"/>
        <v>4.0037328299999994E-2</v>
      </c>
      <c r="I9" s="82">
        <f t="shared" si="24"/>
        <v>3.85373283E-2</v>
      </c>
      <c r="J9" s="78">
        <f t="shared" si="25"/>
        <v>4.6100000000000002E-2</v>
      </c>
      <c r="K9" s="81">
        <f t="shared" si="25"/>
        <v>4.36E-2</v>
      </c>
      <c r="L9" s="82">
        <f t="shared" si="25"/>
        <v>4.2099999999999999E-2</v>
      </c>
      <c r="M9" s="78">
        <f t="shared" si="26"/>
        <v>4.6100000000000002E-2</v>
      </c>
      <c r="N9" s="81">
        <f t="shared" si="27"/>
        <v>4.36E-2</v>
      </c>
      <c r="O9" s="81">
        <f t="shared" si="28"/>
        <v>4.2099999999999999E-2</v>
      </c>
      <c r="P9" s="83">
        <f t="shared" si="29"/>
        <v>4.6100000000000002E-2</v>
      </c>
      <c r="Q9" s="83">
        <f t="shared" si="30"/>
        <v>4.36E-2</v>
      </c>
      <c r="R9" s="84">
        <f t="shared" si="31"/>
        <v>4.2099999999999999E-2</v>
      </c>
      <c r="S9" s="87"/>
      <c r="T9" s="90">
        <v>4</v>
      </c>
      <c r="U9" s="87">
        <v>0.33</v>
      </c>
      <c r="V9" s="88">
        <v>-0.09</v>
      </c>
      <c r="X9" s="89">
        <f t="shared" si="32"/>
        <v>5.1101380365000004E-2</v>
      </c>
    </row>
    <row r="10" spans="1:24" x14ac:dyDescent="0.15">
      <c r="A10" s="46">
        <f t="shared" si="19"/>
        <v>5</v>
      </c>
      <c r="B10" s="78">
        <f>VLOOKUP($A10,中债登下载数据!$E$4:$F$3654,2,FALSE)/100</f>
        <v>3.8858304099999998E-2</v>
      </c>
      <c r="C10" s="85">
        <f t="shared" si="20"/>
        <v>4.0599999999999997E-2</v>
      </c>
      <c r="D10" s="86"/>
      <c r="E10" s="46">
        <f t="shared" si="21"/>
        <v>5</v>
      </c>
      <c r="F10" s="80">
        <f>VLOOKUP($A10,[1]中债登下载数据!$L$4:$M$3654,2,FALSE)/100</f>
        <v>3.5971736499999997E-2</v>
      </c>
      <c r="G10" s="78">
        <f t="shared" si="22"/>
        <v>4.2971736499999996E-2</v>
      </c>
      <c r="H10" s="81">
        <f t="shared" si="23"/>
        <v>4.0471736499999994E-2</v>
      </c>
      <c r="I10" s="82">
        <f t="shared" si="24"/>
        <v>3.89717365E-2</v>
      </c>
      <c r="J10" s="78">
        <f t="shared" si="25"/>
        <v>4.4699999999999997E-2</v>
      </c>
      <c r="K10" s="81">
        <f t="shared" si="25"/>
        <v>4.2200000000000001E-2</v>
      </c>
      <c r="L10" s="82">
        <f t="shared" si="25"/>
        <v>4.07E-2</v>
      </c>
      <c r="M10" s="78">
        <f t="shared" si="26"/>
        <v>4.4699999999999997E-2</v>
      </c>
      <c r="N10" s="81">
        <f t="shared" si="27"/>
        <v>4.2200000000000001E-2</v>
      </c>
      <c r="O10" s="81">
        <f t="shared" si="28"/>
        <v>4.07E-2</v>
      </c>
      <c r="P10" s="83">
        <f t="shared" si="29"/>
        <v>4.4699999999999997E-2</v>
      </c>
      <c r="Q10" s="83">
        <f t="shared" si="30"/>
        <v>4.2200000000000001E-2</v>
      </c>
      <c r="R10" s="84">
        <f t="shared" si="31"/>
        <v>4.07E-2</v>
      </c>
      <c r="S10" s="87"/>
      <c r="T10" s="90">
        <v>5</v>
      </c>
      <c r="U10" s="87">
        <v>0.3</v>
      </c>
      <c r="V10" s="88">
        <v>-0.08</v>
      </c>
      <c r="X10" s="89">
        <f t="shared" si="32"/>
        <v>5.0515795330000002E-2</v>
      </c>
    </row>
    <row r="11" spans="1:24" x14ac:dyDescent="0.15">
      <c r="A11" s="46">
        <f t="shared" si="19"/>
        <v>6</v>
      </c>
      <c r="B11" s="78">
        <f>VLOOKUP($A11,中债登下载数据!$E$4:$F$3654,2,FALSE)/100</f>
        <v>3.9252302499999996E-2</v>
      </c>
      <c r="C11" s="85">
        <f t="shared" si="20"/>
        <v>4.1200000000000001E-2</v>
      </c>
      <c r="D11" s="86"/>
      <c r="E11" s="46">
        <f t="shared" si="21"/>
        <v>6</v>
      </c>
      <c r="F11" s="80">
        <f>VLOOKUP($A11,[1]中债登下载数据!$L$4:$M$3654,2,FALSE)/100</f>
        <v>3.7624674100000005E-2</v>
      </c>
      <c r="G11" s="78">
        <f t="shared" si="22"/>
        <v>4.4624674100000004E-2</v>
      </c>
      <c r="H11" s="81">
        <f t="shared" si="23"/>
        <v>4.2124674100000002E-2</v>
      </c>
      <c r="I11" s="82">
        <f t="shared" si="24"/>
        <v>4.0624674100000008E-2</v>
      </c>
      <c r="J11" s="78">
        <f t="shared" si="25"/>
        <v>5.2900000000000003E-2</v>
      </c>
      <c r="K11" s="81">
        <f t="shared" si="25"/>
        <v>5.04E-2</v>
      </c>
      <c r="L11" s="82">
        <f t="shared" si="25"/>
        <v>4.8899999999999999E-2</v>
      </c>
      <c r="M11" s="78">
        <f t="shared" si="26"/>
        <v>5.2900000000000003E-2</v>
      </c>
      <c r="N11" s="81">
        <f t="shared" si="27"/>
        <v>5.04E-2</v>
      </c>
      <c r="O11" s="81">
        <f t="shared" si="28"/>
        <v>4.8899999999999999E-2</v>
      </c>
      <c r="P11" s="83">
        <f t="shared" si="29"/>
        <v>5.2900000000000003E-2</v>
      </c>
      <c r="Q11" s="83">
        <f t="shared" si="30"/>
        <v>5.04E-2</v>
      </c>
      <c r="R11" s="84">
        <f t="shared" si="31"/>
        <v>4.8899999999999999E-2</v>
      </c>
      <c r="S11" s="87"/>
      <c r="T11" s="90">
        <v>6</v>
      </c>
      <c r="U11" s="87">
        <v>0.27</v>
      </c>
      <c r="V11" s="88">
        <v>-7.0000000000000007E-2</v>
      </c>
      <c r="X11" s="89">
        <f t="shared" si="32"/>
        <v>4.9850424174999998E-2</v>
      </c>
    </row>
    <row r="12" spans="1:24" x14ac:dyDescent="0.15">
      <c r="A12" s="46">
        <f t="shared" si="19"/>
        <v>7</v>
      </c>
      <c r="B12" s="78">
        <f>VLOOKUP($A12,中债登下载数据!$E$4:$F$3654,2,FALSE)/100</f>
        <v>3.9467379099999998E-2</v>
      </c>
      <c r="C12" s="85">
        <f t="shared" si="20"/>
        <v>4.0800000000000003E-2</v>
      </c>
      <c r="D12" s="86"/>
      <c r="E12" s="46">
        <f t="shared" si="21"/>
        <v>7</v>
      </c>
      <c r="F12" s="80">
        <f>VLOOKUP($A12,[1]中债登下载数据!$L$4:$M$3654,2,FALSE)/100</f>
        <v>3.7907608199999998E-2</v>
      </c>
      <c r="G12" s="78">
        <f t="shared" si="22"/>
        <v>4.4907608199999997E-2</v>
      </c>
      <c r="H12" s="81">
        <f t="shared" si="23"/>
        <v>4.2407608199999995E-2</v>
      </c>
      <c r="I12" s="82">
        <f t="shared" si="24"/>
        <v>4.0907608200000001E-2</v>
      </c>
      <c r="J12" s="78">
        <f t="shared" si="25"/>
        <v>4.6600000000000003E-2</v>
      </c>
      <c r="K12" s="81">
        <f t="shared" si="25"/>
        <v>4.41E-2</v>
      </c>
      <c r="L12" s="82">
        <f t="shared" si="25"/>
        <v>4.2599999999999999E-2</v>
      </c>
      <c r="M12" s="78">
        <f t="shared" si="26"/>
        <v>4.6600000000000003E-2</v>
      </c>
      <c r="N12" s="81">
        <f t="shared" si="27"/>
        <v>4.41E-2</v>
      </c>
      <c r="O12" s="81">
        <f t="shared" si="28"/>
        <v>4.2599999999999999E-2</v>
      </c>
      <c r="P12" s="83">
        <f t="shared" si="29"/>
        <v>4.6600000000000003E-2</v>
      </c>
      <c r="Q12" s="83">
        <f t="shared" si="30"/>
        <v>4.41E-2</v>
      </c>
      <c r="R12" s="84">
        <f t="shared" si="31"/>
        <v>4.2599999999999999E-2</v>
      </c>
      <c r="S12" s="87"/>
      <c r="T12" s="90">
        <v>7</v>
      </c>
      <c r="U12" s="87">
        <v>0.23</v>
      </c>
      <c r="V12" s="88">
        <v>-7.0000000000000007E-2</v>
      </c>
      <c r="X12" s="89">
        <f t="shared" si="32"/>
        <v>4.8544876293E-2</v>
      </c>
    </row>
    <row r="13" spans="1:24" x14ac:dyDescent="0.15">
      <c r="A13" s="46">
        <f t="shared" si="19"/>
        <v>8</v>
      </c>
      <c r="B13" s="78">
        <f>VLOOKUP($A13,中债登下载数据!$E$4:$F$3654,2,FALSE)/100</f>
        <v>3.9397829299999999E-2</v>
      </c>
      <c r="C13" s="85">
        <f t="shared" si="20"/>
        <v>3.8899999999999997E-2</v>
      </c>
      <c r="D13" s="86"/>
      <c r="E13" s="46">
        <f t="shared" si="21"/>
        <v>8</v>
      </c>
      <c r="F13" s="80">
        <f>VLOOKUP($A13,[1]中债登下载数据!$L$4:$M$3654,2,FALSE)/100</f>
        <v>3.8543488899999999E-2</v>
      </c>
      <c r="G13" s="78">
        <f t="shared" si="22"/>
        <v>4.5543488899999998E-2</v>
      </c>
      <c r="H13" s="81">
        <f t="shared" si="23"/>
        <v>4.3043488899999996E-2</v>
      </c>
      <c r="I13" s="82">
        <f t="shared" si="24"/>
        <v>4.1543488900000002E-2</v>
      </c>
      <c r="J13" s="78">
        <f t="shared" si="25"/>
        <v>0.05</v>
      </c>
      <c r="K13" s="81">
        <f t="shared" si="25"/>
        <v>4.7500000000000001E-2</v>
      </c>
      <c r="L13" s="82">
        <f t="shared" si="25"/>
        <v>4.5999999999999999E-2</v>
      </c>
      <c r="M13" s="78">
        <f t="shared" si="26"/>
        <v>0.05</v>
      </c>
      <c r="N13" s="81">
        <f t="shared" si="27"/>
        <v>4.7500000000000001E-2</v>
      </c>
      <c r="O13" s="81">
        <f t="shared" si="28"/>
        <v>4.5999999999999999E-2</v>
      </c>
      <c r="P13" s="83">
        <f t="shared" si="29"/>
        <v>0.05</v>
      </c>
      <c r="Q13" s="83">
        <f t="shared" si="30"/>
        <v>4.7500000000000001E-2</v>
      </c>
      <c r="R13" s="84">
        <f t="shared" si="31"/>
        <v>4.5999999999999999E-2</v>
      </c>
      <c r="S13" s="87"/>
      <c r="T13" s="90">
        <v>8</v>
      </c>
      <c r="U13" s="87">
        <v>0.21</v>
      </c>
      <c r="V13" s="88">
        <v>-0.06</v>
      </c>
      <c r="X13" s="89">
        <f t="shared" si="32"/>
        <v>4.7671373452999995E-2</v>
      </c>
    </row>
    <row r="14" spans="1:24" x14ac:dyDescent="0.15">
      <c r="A14" s="46">
        <f t="shared" si="19"/>
        <v>9</v>
      </c>
      <c r="B14" s="78">
        <f>VLOOKUP($A14,中债登下载数据!$E$4:$F$3654,2,FALSE)/100</f>
        <v>3.9279883699999997E-2</v>
      </c>
      <c r="C14" s="85">
        <f t="shared" si="20"/>
        <v>3.8300000000000001E-2</v>
      </c>
      <c r="D14" s="86"/>
      <c r="E14" s="46">
        <f t="shared" si="21"/>
        <v>9</v>
      </c>
      <c r="F14" s="80">
        <f>VLOOKUP($A14,[1]中债登下载数据!$L$4:$M$3654,2,FALSE)/100</f>
        <v>3.8766956300000002E-2</v>
      </c>
      <c r="G14" s="78">
        <f t="shared" si="22"/>
        <v>4.5766956300000002E-2</v>
      </c>
      <c r="H14" s="81">
        <f t="shared" si="23"/>
        <v>4.3266956299999999E-2</v>
      </c>
      <c r="I14" s="82">
        <f t="shared" si="24"/>
        <v>4.1766956300000005E-2</v>
      </c>
      <c r="J14" s="78">
        <f t="shared" si="25"/>
        <v>4.7600000000000003E-2</v>
      </c>
      <c r="K14" s="81">
        <f t="shared" si="25"/>
        <v>4.5100000000000001E-2</v>
      </c>
      <c r="L14" s="82">
        <f t="shared" si="25"/>
        <v>4.36E-2</v>
      </c>
      <c r="M14" s="78">
        <f t="shared" si="26"/>
        <v>4.7600000000000003E-2</v>
      </c>
      <c r="N14" s="81">
        <f t="shared" si="27"/>
        <v>4.5100000000000001E-2</v>
      </c>
      <c r="O14" s="81">
        <f t="shared" si="28"/>
        <v>4.36E-2</v>
      </c>
      <c r="P14" s="83">
        <f t="shared" si="29"/>
        <v>4.7600000000000003E-2</v>
      </c>
      <c r="Q14" s="83">
        <f t="shared" si="30"/>
        <v>4.5100000000000001E-2</v>
      </c>
      <c r="R14" s="84">
        <f t="shared" si="31"/>
        <v>4.36E-2</v>
      </c>
      <c r="S14" s="87"/>
      <c r="T14" s="90">
        <v>9</v>
      </c>
      <c r="U14" s="87">
        <v>0.17</v>
      </c>
      <c r="V14" s="88">
        <v>-0.06</v>
      </c>
      <c r="X14" s="89">
        <f t="shared" si="32"/>
        <v>4.5957463928999992E-2</v>
      </c>
    </row>
    <row r="15" spans="1:24" x14ac:dyDescent="0.15">
      <c r="A15" s="46">
        <f t="shared" si="19"/>
        <v>10</v>
      </c>
      <c r="B15" s="78">
        <f>VLOOKUP($A15,中债登下载数据!$E$4:$F$3654,2,FALSE)/100</f>
        <v>3.9215049000000002E-2</v>
      </c>
      <c r="C15" s="85">
        <f t="shared" si="20"/>
        <v>3.8600000000000002E-2</v>
      </c>
      <c r="D15" s="86"/>
      <c r="E15" s="46">
        <f t="shared" si="21"/>
        <v>10</v>
      </c>
      <c r="F15" s="80">
        <f>VLOOKUP($A15,[1]中债登下载数据!$L$4:$M$3654,2,FALSE)/100</f>
        <v>3.8792383999999999E-2</v>
      </c>
      <c r="G15" s="78">
        <f t="shared" si="22"/>
        <v>4.5792383999999998E-2</v>
      </c>
      <c r="H15" s="81">
        <f t="shared" si="23"/>
        <v>4.3292383999999996E-2</v>
      </c>
      <c r="I15" s="82">
        <f t="shared" si="24"/>
        <v>4.1792384000000002E-2</v>
      </c>
      <c r="J15" s="78">
        <f t="shared" si="25"/>
        <v>4.5999999999999999E-2</v>
      </c>
      <c r="K15" s="81">
        <f t="shared" si="25"/>
        <v>4.3499999999999997E-2</v>
      </c>
      <c r="L15" s="82">
        <f t="shared" si="25"/>
        <v>4.2000000000000003E-2</v>
      </c>
      <c r="M15" s="78">
        <f t="shared" si="26"/>
        <v>4.5999999999999999E-2</v>
      </c>
      <c r="N15" s="81">
        <f t="shared" si="27"/>
        <v>4.3499999999999997E-2</v>
      </c>
      <c r="O15" s="81">
        <f t="shared" si="28"/>
        <v>4.2000000000000003E-2</v>
      </c>
      <c r="P15" s="83">
        <f t="shared" si="29"/>
        <v>4.5999999999999999E-2</v>
      </c>
      <c r="Q15" s="83">
        <f t="shared" si="30"/>
        <v>4.3499999999999997E-2</v>
      </c>
      <c r="R15" s="84">
        <f t="shared" si="31"/>
        <v>4.2000000000000003E-2</v>
      </c>
      <c r="S15" s="87"/>
      <c r="T15" s="90">
        <v>10</v>
      </c>
      <c r="U15" s="87">
        <v>0.14000000000000001</v>
      </c>
      <c r="V15" s="88">
        <v>-0.06</v>
      </c>
      <c r="X15" s="89">
        <f t="shared" si="32"/>
        <v>4.4705155860000005E-2</v>
      </c>
    </row>
    <row r="16" spans="1:24" x14ac:dyDescent="0.15">
      <c r="A16" s="46">
        <f t="shared" si="19"/>
        <v>11</v>
      </c>
      <c r="B16" s="78">
        <f>VLOOKUP($A16,中债登下载数据!$E$4:$F$3654,2,FALSE)/100</f>
        <v>3.95523765E-2</v>
      </c>
      <c r="C16" s="85">
        <f t="shared" si="20"/>
        <v>4.2900000000000001E-2</v>
      </c>
      <c r="D16" s="86"/>
      <c r="E16" s="46">
        <f t="shared" si="21"/>
        <v>11</v>
      </c>
      <c r="F16" s="80">
        <f>VLOOKUP($A16,[1]中债登下载数据!$L$4:$M$3654,2,FALSE)/100</f>
        <v>3.9125474200000003E-2</v>
      </c>
      <c r="G16" s="78">
        <f t="shared" si="22"/>
        <v>4.6125474200000002E-2</v>
      </c>
      <c r="H16" s="81">
        <f t="shared" si="23"/>
        <v>4.36254742E-2</v>
      </c>
      <c r="I16" s="82">
        <f t="shared" si="24"/>
        <v>4.2125474200000006E-2</v>
      </c>
      <c r="J16" s="78">
        <f t="shared" si="25"/>
        <v>4.9500000000000002E-2</v>
      </c>
      <c r="K16" s="81">
        <f t="shared" si="25"/>
        <v>4.7E-2</v>
      </c>
      <c r="L16" s="82">
        <f t="shared" si="25"/>
        <v>4.5499999999999999E-2</v>
      </c>
      <c r="M16" s="78">
        <f t="shared" si="26"/>
        <v>4.9500000000000002E-2</v>
      </c>
      <c r="N16" s="81">
        <f t="shared" si="27"/>
        <v>4.7E-2</v>
      </c>
      <c r="O16" s="81">
        <f t="shared" si="28"/>
        <v>4.5499999999999999E-2</v>
      </c>
      <c r="P16" s="83">
        <f t="shared" si="29"/>
        <v>4.9500000000000002E-2</v>
      </c>
      <c r="Q16" s="83">
        <f t="shared" si="30"/>
        <v>4.7E-2</v>
      </c>
      <c r="R16" s="84">
        <f t="shared" si="31"/>
        <v>4.5499999999999999E-2</v>
      </c>
      <c r="S16" s="87"/>
      <c r="T16" s="90">
        <v>11</v>
      </c>
      <c r="U16" s="87">
        <v>0.13</v>
      </c>
      <c r="V16" s="88">
        <v>-0.06</v>
      </c>
      <c r="X16" s="89">
        <f t="shared" si="32"/>
        <v>4.4694185444999993E-2</v>
      </c>
    </row>
    <row r="17" spans="1:24" x14ac:dyDescent="0.15">
      <c r="A17" s="46">
        <f t="shared" si="19"/>
        <v>12</v>
      </c>
      <c r="B17" s="78">
        <f>VLOOKUP($A17,中债登下载数据!$E$4:$F$3654,2,FALSE)/100</f>
        <v>4.0393734200000003E-2</v>
      </c>
      <c r="C17" s="85">
        <f t="shared" si="20"/>
        <v>4.9700000000000001E-2</v>
      </c>
      <c r="D17" s="86"/>
      <c r="E17" s="46">
        <f t="shared" si="21"/>
        <v>12</v>
      </c>
      <c r="F17" s="80">
        <f>VLOOKUP($A17,[1]中债登下载数据!$L$4:$M$3654,2,FALSE)/100</f>
        <v>3.9693027800000003E-2</v>
      </c>
      <c r="G17" s="78">
        <f t="shared" si="22"/>
        <v>4.6693027800000002E-2</v>
      </c>
      <c r="H17" s="81">
        <f t="shared" si="23"/>
        <v>4.41930278E-2</v>
      </c>
      <c r="I17" s="82">
        <f t="shared" si="24"/>
        <v>4.2693027800000005E-2</v>
      </c>
      <c r="J17" s="78">
        <f t="shared" si="25"/>
        <v>5.2999999999999999E-2</v>
      </c>
      <c r="K17" s="81">
        <f t="shared" si="25"/>
        <v>5.0500000000000003E-2</v>
      </c>
      <c r="L17" s="82">
        <f t="shared" si="25"/>
        <v>4.9000000000000002E-2</v>
      </c>
      <c r="M17" s="78">
        <f t="shared" si="26"/>
        <v>5.2999999999999999E-2</v>
      </c>
      <c r="N17" s="81">
        <f t="shared" si="27"/>
        <v>5.0500000000000003E-2</v>
      </c>
      <c r="O17" s="81">
        <f t="shared" si="28"/>
        <v>4.9000000000000002E-2</v>
      </c>
      <c r="P17" s="83">
        <f t="shared" si="29"/>
        <v>5.2999999999999999E-2</v>
      </c>
      <c r="Q17" s="83">
        <f t="shared" si="30"/>
        <v>5.0500000000000003E-2</v>
      </c>
      <c r="R17" s="84">
        <f t="shared" si="31"/>
        <v>4.9000000000000002E-2</v>
      </c>
      <c r="S17" s="87"/>
      <c r="T17" s="90">
        <v>12</v>
      </c>
      <c r="U17" s="87">
        <v>0.11</v>
      </c>
      <c r="V17" s="88">
        <v>-0.05</v>
      </c>
      <c r="X17" s="89">
        <f t="shared" si="32"/>
        <v>4.4837044962000007E-2</v>
      </c>
    </row>
    <row r="18" spans="1:24" x14ac:dyDescent="0.15">
      <c r="A18" s="46">
        <f t="shared" si="19"/>
        <v>13</v>
      </c>
      <c r="B18" s="78">
        <f>VLOOKUP($A18,中债登下载数据!$E$4:$F$3654,2,FALSE)/100</f>
        <v>4.1462970799999999E-2</v>
      </c>
      <c r="C18" s="85">
        <f t="shared" si="20"/>
        <v>5.4399999999999997E-2</v>
      </c>
      <c r="D18" s="86"/>
      <c r="E18" s="46">
        <f t="shared" si="21"/>
        <v>13</v>
      </c>
      <c r="F18" s="80">
        <f>VLOOKUP($A18,[1]中债登下载数据!$L$4:$M$3654,2,FALSE)/100</f>
        <v>4.0402830799999997E-2</v>
      </c>
      <c r="G18" s="78">
        <f t="shared" si="22"/>
        <v>4.7402830799999997E-2</v>
      </c>
      <c r="H18" s="81">
        <f t="shared" si="23"/>
        <v>4.4902830799999995E-2</v>
      </c>
      <c r="I18" s="82">
        <f t="shared" si="24"/>
        <v>4.34028308E-2</v>
      </c>
      <c r="J18" s="78">
        <f t="shared" si="25"/>
        <v>5.6000000000000001E-2</v>
      </c>
      <c r="K18" s="81">
        <f t="shared" si="25"/>
        <v>5.3499999999999999E-2</v>
      </c>
      <c r="L18" s="82">
        <f t="shared" si="25"/>
        <v>5.1999999999999998E-2</v>
      </c>
      <c r="M18" s="78">
        <f t="shared" si="26"/>
        <v>5.6000000000000001E-2</v>
      </c>
      <c r="N18" s="81">
        <f t="shared" si="27"/>
        <v>5.3499999999999999E-2</v>
      </c>
      <c r="O18" s="81">
        <f t="shared" si="28"/>
        <v>5.1999999999999998E-2</v>
      </c>
      <c r="P18" s="83">
        <f t="shared" si="29"/>
        <v>5.6000000000000001E-2</v>
      </c>
      <c r="Q18" s="83">
        <f t="shared" si="30"/>
        <v>5.3499999999999999E-2</v>
      </c>
      <c r="R18" s="84">
        <f t="shared" si="31"/>
        <v>5.1999999999999998E-2</v>
      </c>
      <c r="S18" s="87"/>
      <c r="T18" s="90">
        <v>13</v>
      </c>
      <c r="U18" s="87">
        <v>0.09</v>
      </c>
      <c r="V18" s="88">
        <v>-0.05</v>
      </c>
      <c r="X18" s="89">
        <f t="shared" si="32"/>
        <v>4.5194638172E-2</v>
      </c>
    </row>
    <row r="19" spans="1:24" x14ac:dyDescent="0.15">
      <c r="A19" s="46">
        <f t="shared" si="19"/>
        <v>14</v>
      </c>
      <c r="B19" s="78">
        <f>VLOOKUP($A19,中债登下载数据!$E$4:$F$3654,2,FALSE)/100</f>
        <v>4.2460915500000002E-2</v>
      </c>
      <c r="C19" s="85">
        <f t="shared" si="20"/>
        <v>5.5500000000000001E-2</v>
      </c>
      <c r="D19" s="86"/>
      <c r="E19" s="46">
        <f t="shared" si="21"/>
        <v>14</v>
      </c>
      <c r="F19" s="80">
        <f>VLOOKUP($A19,[1]中债登下载数据!$L$4:$M$3654,2,FALSE)/100</f>
        <v>4.1157113100000003E-2</v>
      </c>
      <c r="G19" s="78">
        <f t="shared" si="22"/>
        <v>4.8157113100000003E-2</v>
      </c>
      <c r="H19" s="81">
        <f t="shared" si="23"/>
        <v>4.5657113100000001E-2</v>
      </c>
      <c r="I19" s="82">
        <f t="shared" si="24"/>
        <v>4.4157113100000006E-2</v>
      </c>
      <c r="J19" s="78">
        <f t="shared" si="25"/>
        <v>5.8000000000000003E-2</v>
      </c>
      <c r="K19" s="81">
        <f t="shared" si="25"/>
        <v>5.5500000000000001E-2</v>
      </c>
      <c r="L19" s="82">
        <f t="shared" si="25"/>
        <v>5.3999999999999999E-2</v>
      </c>
      <c r="M19" s="78">
        <f t="shared" si="26"/>
        <v>5.8000000000000003E-2</v>
      </c>
      <c r="N19" s="81">
        <f t="shared" si="27"/>
        <v>5.5500000000000001E-2</v>
      </c>
      <c r="O19" s="81">
        <f t="shared" si="28"/>
        <v>5.3999999999999999E-2</v>
      </c>
      <c r="P19" s="83">
        <f t="shared" si="29"/>
        <v>5.8000000000000003E-2</v>
      </c>
      <c r="Q19" s="83">
        <f t="shared" si="30"/>
        <v>5.5500000000000001E-2</v>
      </c>
      <c r="R19" s="84">
        <f t="shared" si="31"/>
        <v>5.3999999999999999E-2</v>
      </c>
      <c r="S19" s="87"/>
      <c r="T19" s="90">
        <v>14</v>
      </c>
      <c r="U19" s="87">
        <v>7.0000000000000007E-2</v>
      </c>
      <c r="V19" s="88">
        <v>-0.04</v>
      </c>
      <c r="X19" s="89">
        <f t="shared" si="32"/>
        <v>4.5433179585000004E-2</v>
      </c>
    </row>
    <row r="20" spans="1:24" x14ac:dyDescent="0.15">
      <c r="A20" s="46">
        <f t="shared" si="19"/>
        <v>15</v>
      </c>
      <c r="B20" s="78">
        <f>VLOOKUP($A20,中债登下载数据!$E$4:$F$3654,2,FALSE)/100</f>
        <v>4.30577974E-2</v>
      </c>
      <c r="C20" s="85">
        <f t="shared" si="20"/>
        <v>5.1499999999999997E-2</v>
      </c>
      <c r="D20" s="86"/>
      <c r="E20" s="46">
        <f t="shared" si="21"/>
        <v>15</v>
      </c>
      <c r="F20" s="80">
        <f>VLOOKUP($A20,[1]中债登下载数据!$L$4:$M$3654,2,FALSE)/100</f>
        <v>4.1849692200000004E-2</v>
      </c>
      <c r="G20" s="78">
        <f t="shared" si="22"/>
        <v>4.8849692200000003E-2</v>
      </c>
      <c r="H20" s="81">
        <f t="shared" si="23"/>
        <v>4.6349692200000001E-2</v>
      </c>
      <c r="I20" s="82">
        <f t="shared" si="24"/>
        <v>4.4849692200000006E-2</v>
      </c>
      <c r="J20" s="78">
        <f t="shared" si="25"/>
        <v>5.8599999999999999E-2</v>
      </c>
      <c r="K20" s="81">
        <f t="shared" si="25"/>
        <v>5.6099999999999997E-2</v>
      </c>
      <c r="L20" s="82">
        <f t="shared" si="25"/>
        <v>5.4600000000000003E-2</v>
      </c>
      <c r="M20" s="78">
        <f t="shared" si="26"/>
        <v>5.8599999999999999E-2</v>
      </c>
      <c r="N20" s="81">
        <f t="shared" si="27"/>
        <v>5.6099999999999997E-2</v>
      </c>
      <c r="O20" s="81">
        <f t="shared" si="28"/>
        <v>5.4600000000000003E-2</v>
      </c>
      <c r="P20" s="83">
        <f t="shared" si="29"/>
        <v>5.8599999999999999E-2</v>
      </c>
      <c r="Q20" s="83">
        <f t="shared" si="30"/>
        <v>5.6099999999999997E-2</v>
      </c>
      <c r="R20" s="84">
        <f t="shared" si="31"/>
        <v>5.4600000000000003E-2</v>
      </c>
      <c r="S20" s="87"/>
      <c r="T20" s="90">
        <v>15</v>
      </c>
      <c r="U20" s="87">
        <v>0.05</v>
      </c>
      <c r="V20" s="88">
        <v>-0.04</v>
      </c>
      <c r="X20" s="89">
        <f t="shared" si="32"/>
        <v>4.5210687270000001E-2</v>
      </c>
    </row>
    <row r="21" spans="1:24" x14ac:dyDescent="0.15">
      <c r="A21" s="46">
        <f t="shared" si="19"/>
        <v>16</v>
      </c>
      <c r="B21" s="78">
        <f>VLOOKUP($A21,中债登下载数据!$E$4:$F$3654,2,FALSE)/100</f>
        <v>4.32714581E-2</v>
      </c>
      <c r="C21" s="85">
        <f t="shared" si="20"/>
        <v>4.65E-2</v>
      </c>
      <c r="D21" s="86"/>
      <c r="E21" s="46">
        <f t="shared" si="21"/>
        <v>16</v>
      </c>
      <c r="F21" s="80">
        <f>VLOOKUP($A21,[1]中债登下载数据!$L$4:$M$3654,2,FALSE)/100</f>
        <v>4.2500319099999996E-2</v>
      </c>
      <c r="G21" s="78">
        <f t="shared" si="22"/>
        <v>4.9500319099999995E-2</v>
      </c>
      <c r="H21" s="81">
        <f t="shared" si="23"/>
        <v>4.7000319099999993E-2</v>
      </c>
      <c r="I21" s="82">
        <f t="shared" si="24"/>
        <v>4.5500319099999999E-2</v>
      </c>
      <c r="J21" s="78">
        <f t="shared" si="25"/>
        <v>5.9299999999999999E-2</v>
      </c>
      <c r="K21" s="81">
        <f t="shared" si="25"/>
        <v>5.6800000000000003E-2</v>
      </c>
      <c r="L21" s="82">
        <f t="shared" si="25"/>
        <v>5.5300000000000002E-2</v>
      </c>
      <c r="M21" s="78">
        <f t="shared" si="26"/>
        <v>5.9299999999999999E-2</v>
      </c>
      <c r="N21" s="81">
        <f t="shared" si="27"/>
        <v>5.6800000000000003E-2</v>
      </c>
      <c r="O21" s="81">
        <f t="shared" si="28"/>
        <v>5.5300000000000002E-2</v>
      </c>
      <c r="P21" s="83">
        <f t="shared" si="29"/>
        <v>5.9299999999999999E-2</v>
      </c>
      <c r="Q21" s="83">
        <f t="shared" si="30"/>
        <v>5.6800000000000003E-2</v>
      </c>
      <c r="R21" s="84">
        <f t="shared" si="31"/>
        <v>5.5300000000000002E-2</v>
      </c>
      <c r="S21" s="87"/>
      <c r="T21" s="90">
        <v>16</v>
      </c>
      <c r="U21" s="87">
        <v>0.05</v>
      </c>
      <c r="V21" s="88">
        <v>-0.04</v>
      </c>
      <c r="X21" s="89">
        <f t="shared" si="32"/>
        <v>4.5435031005000001E-2</v>
      </c>
    </row>
    <row r="22" spans="1:24" x14ac:dyDescent="0.15">
      <c r="A22" s="46">
        <f t="shared" si="19"/>
        <v>17</v>
      </c>
      <c r="B22" s="78">
        <f>VLOOKUP($A22,中债登下载数据!$E$4:$F$3654,2,FALSE)/100</f>
        <v>4.3376625100000003E-2</v>
      </c>
      <c r="C22" s="85">
        <f t="shared" si="20"/>
        <v>4.5100000000000001E-2</v>
      </c>
      <c r="D22" s="86"/>
      <c r="E22" s="46">
        <f t="shared" si="21"/>
        <v>17</v>
      </c>
      <c r="F22" s="80">
        <f>VLOOKUP($A22,[1]中债登下载数据!$L$4:$M$3654,2,FALSE)/100</f>
        <v>4.3183309999999996E-2</v>
      </c>
      <c r="G22" s="78">
        <f t="shared" si="22"/>
        <v>5.0183309999999995E-2</v>
      </c>
      <c r="H22" s="81">
        <f t="shared" si="23"/>
        <v>4.7683309999999993E-2</v>
      </c>
      <c r="I22" s="82">
        <f t="shared" si="24"/>
        <v>4.6183309999999998E-2</v>
      </c>
      <c r="J22" s="78">
        <f t="shared" si="25"/>
        <v>6.1199999999999997E-2</v>
      </c>
      <c r="K22" s="81">
        <f t="shared" si="25"/>
        <v>5.8700000000000002E-2</v>
      </c>
      <c r="L22" s="82">
        <f t="shared" si="25"/>
        <v>5.7200000000000001E-2</v>
      </c>
      <c r="M22" s="78">
        <f t="shared" si="26"/>
        <v>6.1199999999999997E-2</v>
      </c>
      <c r="N22" s="81">
        <f t="shared" si="27"/>
        <v>5.8700000000000002E-2</v>
      </c>
      <c r="O22" s="81">
        <f t="shared" si="28"/>
        <v>5.7200000000000001E-2</v>
      </c>
      <c r="P22" s="83">
        <f t="shared" si="29"/>
        <v>6.1199999999999997E-2</v>
      </c>
      <c r="Q22" s="83">
        <f t="shared" si="30"/>
        <v>5.8700000000000002E-2</v>
      </c>
      <c r="R22" s="84">
        <f t="shared" si="31"/>
        <v>5.7200000000000001E-2</v>
      </c>
      <c r="S22" s="87"/>
      <c r="T22" s="90">
        <v>17</v>
      </c>
      <c r="U22" s="87">
        <v>0.05</v>
      </c>
      <c r="V22" s="88">
        <v>-0.04</v>
      </c>
      <c r="X22" s="89">
        <f t="shared" si="32"/>
        <v>4.5545456355000007E-2</v>
      </c>
    </row>
    <row r="23" spans="1:24" x14ac:dyDescent="0.15">
      <c r="A23" s="46">
        <f t="shared" si="19"/>
        <v>18</v>
      </c>
      <c r="B23" s="78">
        <f>VLOOKUP($A23,中债登下载数据!$E$4:$F$3654,2,FALSE)/100</f>
        <v>4.3407788700000005E-2</v>
      </c>
      <c r="C23" s="85">
        <f t="shared" si="20"/>
        <v>4.3900000000000002E-2</v>
      </c>
      <c r="D23" s="86"/>
      <c r="E23" s="46">
        <f t="shared" si="21"/>
        <v>18</v>
      </c>
      <c r="F23" s="80">
        <f>VLOOKUP($A23,[1]中债登下载数据!$L$4:$M$3654,2,FALSE)/100</f>
        <v>4.3863756300000001E-2</v>
      </c>
      <c r="G23" s="78">
        <f t="shared" si="22"/>
        <v>5.08637563E-2</v>
      </c>
      <c r="H23" s="81">
        <f t="shared" si="23"/>
        <v>4.8363756299999998E-2</v>
      </c>
      <c r="I23" s="82">
        <f t="shared" si="24"/>
        <v>4.6863756300000003E-2</v>
      </c>
      <c r="J23" s="78">
        <f t="shared" ref="J23:L38" si="33">ROUND((1+G23)^$A23/((1+G22)^$A22)-1,4)</f>
        <v>6.25E-2</v>
      </c>
      <c r="K23" s="81">
        <f t="shared" si="33"/>
        <v>0.06</v>
      </c>
      <c r="L23" s="82">
        <f t="shared" si="33"/>
        <v>5.8500000000000003E-2</v>
      </c>
      <c r="M23" s="78">
        <f t="shared" si="26"/>
        <v>6.25E-2</v>
      </c>
      <c r="N23" s="81">
        <f t="shared" si="27"/>
        <v>0.06</v>
      </c>
      <c r="O23" s="81">
        <f t="shared" si="28"/>
        <v>5.8500000000000003E-2</v>
      </c>
      <c r="P23" s="83">
        <f t="shared" si="29"/>
        <v>6.25E-2</v>
      </c>
      <c r="Q23" s="83">
        <f t="shared" si="30"/>
        <v>0.06</v>
      </c>
      <c r="R23" s="84">
        <f t="shared" si="31"/>
        <v>5.8500000000000003E-2</v>
      </c>
      <c r="S23" s="87"/>
      <c r="T23" s="90">
        <v>18</v>
      </c>
      <c r="U23" s="87">
        <v>0.05</v>
      </c>
      <c r="V23" s="88">
        <v>-0.04</v>
      </c>
      <c r="X23" s="89">
        <f t="shared" si="32"/>
        <v>4.5578178135000008E-2</v>
      </c>
    </row>
    <row r="24" spans="1:24" x14ac:dyDescent="0.15">
      <c r="A24" s="46">
        <f t="shared" si="19"/>
        <v>19</v>
      </c>
      <c r="B24" s="78">
        <f>VLOOKUP($A24,中债登下载数据!$E$4:$F$3654,2,FALSE)/100</f>
        <v>4.3401673499999995E-2</v>
      </c>
      <c r="C24" s="85">
        <f t="shared" si="20"/>
        <v>4.3299999999999998E-2</v>
      </c>
      <c r="D24" s="86"/>
      <c r="E24" s="46">
        <f t="shared" si="21"/>
        <v>19</v>
      </c>
      <c r="F24" s="80">
        <f>VLOOKUP($A24,[1]中债登下载数据!$L$4:$M$3654,2,FALSE)/100</f>
        <v>4.4503068700000002E-2</v>
      </c>
      <c r="G24" s="78">
        <f t="shared" si="22"/>
        <v>5.1503068700000001E-2</v>
      </c>
      <c r="H24" s="81">
        <f t="shared" si="23"/>
        <v>4.9003068699999999E-2</v>
      </c>
      <c r="I24" s="82">
        <f t="shared" si="24"/>
        <v>4.7503068700000005E-2</v>
      </c>
      <c r="J24" s="78">
        <f t="shared" si="33"/>
        <v>6.3100000000000003E-2</v>
      </c>
      <c r="K24" s="81">
        <f t="shared" si="33"/>
        <v>6.0600000000000001E-2</v>
      </c>
      <c r="L24" s="82">
        <f t="shared" si="33"/>
        <v>5.91E-2</v>
      </c>
      <c r="M24" s="78">
        <f t="shared" si="26"/>
        <v>6.3100000000000003E-2</v>
      </c>
      <c r="N24" s="81">
        <f t="shared" si="27"/>
        <v>6.0600000000000001E-2</v>
      </c>
      <c r="O24" s="81">
        <f t="shared" si="28"/>
        <v>5.91E-2</v>
      </c>
      <c r="P24" s="83">
        <f t="shared" si="29"/>
        <v>6.3100000000000003E-2</v>
      </c>
      <c r="Q24" s="83">
        <f t="shared" si="30"/>
        <v>6.0600000000000001E-2</v>
      </c>
      <c r="R24" s="84">
        <f t="shared" si="31"/>
        <v>5.91E-2</v>
      </c>
      <c r="S24" s="87"/>
      <c r="T24" s="90">
        <v>19</v>
      </c>
      <c r="U24" s="87">
        <v>0.04</v>
      </c>
      <c r="V24" s="88">
        <v>-0.04</v>
      </c>
      <c r="X24" s="89">
        <f t="shared" si="32"/>
        <v>4.5137740439999997E-2</v>
      </c>
    </row>
    <row r="25" spans="1:24" x14ac:dyDescent="0.15">
      <c r="A25" s="46">
        <f t="shared" si="19"/>
        <v>20</v>
      </c>
      <c r="B25" s="78">
        <f>VLOOKUP($A25,中债登下载数据!$E$4:$F$3654,2,FALSE)/100</f>
        <v>4.3397160000000004E-2</v>
      </c>
      <c r="C25" s="85">
        <f t="shared" si="20"/>
        <v>4.3299999999999998E-2</v>
      </c>
      <c r="D25" s="86"/>
      <c r="E25" s="46">
        <f t="shared" si="21"/>
        <v>20</v>
      </c>
      <c r="F25" s="80">
        <f>VLOOKUP($A25,[1]中债登下载数据!$L$4:$M$3654,2,FALSE)/100</f>
        <v>4.5059853099999998E-2</v>
      </c>
      <c r="G25" s="78">
        <f t="shared" si="22"/>
        <v>5.2059853099999998E-2</v>
      </c>
      <c r="H25" s="81">
        <f t="shared" si="23"/>
        <v>4.9559853099999995E-2</v>
      </c>
      <c r="I25" s="82">
        <f t="shared" si="24"/>
        <v>4.8059853100000001E-2</v>
      </c>
      <c r="J25" s="78">
        <f t="shared" si="33"/>
        <v>6.2700000000000006E-2</v>
      </c>
      <c r="K25" s="81">
        <f t="shared" si="33"/>
        <v>6.0199999999999997E-2</v>
      </c>
      <c r="L25" s="82">
        <f t="shared" si="33"/>
        <v>5.8700000000000002E-2</v>
      </c>
      <c r="M25" s="78">
        <f t="shared" si="26"/>
        <v>6.2700000000000006E-2</v>
      </c>
      <c r="N25" s="81">
        <f t="shared" si="27"/>
        <v>6.0199999999999997E-2</v>
      </c>
      <c r="O25" s="81">
        <f t="shared" si="28"/>
        <v>5.8700000000000002E-2</v>
      </c>
      <c r="P25" s="83">
        <f t="shared" si="29"/>
        <v>6.2700000000000006E-2</v>
      </c>
      <c r="Q25" s="83">
        <f t="shared" si="30"/>
        <v>6.0199999999999997E-2</v>
      </c>
      <c r="R25" s="84">
        <f t="shared" si="31"/>
        <v>5.8700000000000002E-2</v>
      </c>
      <c r="S25" s="87"/>
      <c r="T25" s="90">
        <v>20</v>
      </c>
      <c r="U25" s="87">
        <v>0.04</v>
      </c>
      <c r="V25" s="88">
        <v>-0.03</v>
      </c>
      <c r="X25" s="89">
        <f t="shared" si="32"/>
        <v>4.5133046400000008E-2</v>
      </c>
    </row>
    <row r="26" spans="1:24" x14ac:dyDescent="0.15">
      <c r="A26" s="46">
        <f t="shared" si="19"/>
        <v>21</v>
      </c>
      <c r="B26" s="78">
        <f>VLOOKUP($A26,中债登下载数据!$E$4:$F$3654,2,FALSE)/100</f>
        <v>4.3452280400000001E-2</v>
      </c>
      <c r="C26" s="85">
        <f t="shared" si="20"/>
        <v>4.4600000000000001E-2</v>
      </c>
      <c r="D26" s="86"/>
      <c r="E26" s="46">
        <f t="shared" si="21"/>
        <v>21</v>
      </c>
      <c r="F26" s="80">
        <f>VLOOKUP($A26,[1]中债登下载数据!$L$4:$M$3654,2,FALSE)/100</f>
        <v>4.55025441E-2</v>
      </c>
      <c r="G26" s="78">
        <f t="shared" si="22"/>
        <v>5.25025441E-2</v>
      </c>
      <c r="H26" s="81">
        <f t="shared" si="23"/>
        <v>5.0002544099999997E-2</v>
      </c>
      <c r="I26" s="82">
        <f t="shared" si="24"/>
        <v>4.8502544100000003E-2</v>
      </c>
      <c r="J26" s="78">
        <f t="shared" si="33"/>
        <v>6.1400000000000003E-2</v>
      </c>
      <c r="K26" s="81">
        <f t="shared" si="33"/>
        <v>5.8900000000000001E-2</v>
      </c>
      <c r="L26" s="82">
        <f t="shared" si="33"/>
        <v>5.74E-2</v>
      </c>
      <c r="M26" s="78">
        <f t="shared" si="26"/>
        <v>6.1815000000000009E-2</v>
      </c>
      <c r="N26" s="81">
        <f t="shared" si="27"/>
        <v>5.944E-2</v>
      </c>
      <c r="O26" s="81">
        <f t="shared" si="28"/>
        <v>5.8015000000000004E-2</v>
      </c>
      <c r="P26" s="83">
        <f t="shared" si="29"/>
        <v>6.1400000000000003E-2</v>
      </c>
      <c r="Q26" s="83">
        <f t="shared" si="30"/>
        <v>5.8900000000000001E-2</v>
      </c>
      <c r="R26" s="84">
        <f t="shared" si="31"/>
        <v>5.74E-2</v>
      </c>
      <c r="S26" s="87"/>
      <c r="T26" s="90">
        <v>21</v>
      </c>
      <c r="U26" s="87">
        <v>0.04</v>
      </c>
      <c r="V26" s="88">
        <v>-0.03</v>
      </c>
      <c r="X26" s="89">
        <f t="shared" si="32"/>
        <v>4.5190371616000001E-2</v>
      </c>
    </row>
    <row r="27" spans="1:24" x14ac:dyDescent="0.15">
      <c r="A27" s="46">
        <f t="shared" si="19"/>
        <v>22</v>
      </c>
      <c r="B27" s="78">
        <f>VLOOKUP($A27,中债登下载数据!$E$4:$F$3654,2,FALSE)/100</f>
        <v>4.3589387600000001E-2</v>
      </c>
      <c r="C27" s="85">
        <f t="shared" si="20"/>
        <v>4.65E-2</v>
      </c>
      <c r="D27" s="86"/>
      <c r="E27" s="46">
        <f t="shared" si="21"/>
        <v>22</v>
      </c>
      <c r="F27" s="80">
        <f>VLOOKUP($A27,[1]中债登下载数据!$L$4:$M$3654,2,FALSE)/100</f>
        <v>4.5836873299999997E-2</v>
      </c>
      <c r="G27" s="78">
        <f t="shared" si="22"/>
        <v>5.2836873299999997E-2</v>
      </c>
      <c r="H27" s="81">
        <f t="shared" si="23"/>
        <v>5.0336873299999994E-2</v>
      </c>
      <c r="I27" s="82">
        <f t="shared" si="24"/>
        <v>4.88368733E-2</v>
      </c>
      <c r="J27" s="78">
        <f t="shared" si="33"/>
        <v>5.9900000000000002E-2</v>
      </c>
      <c r="K27" s="81">
        <f t="shared" si="33"/>
        <v>5.74E-2</v>
      </c>
      <c r="L27" s="82">
        <f t="shared" si="33"/>
        <v>5.5899999999999998E-2</v>
      </c>
      <c r="M27" s="78">
        <f t="shared" si="26"/>
        <v>6.0930000000000005E-2</v>
      </c>
      <c r="N27" s="81">
        <f t="shared" si="27"/>
        <v>5.8679999999999996E-2</v>
      </c>
      <c r="O27" s="81">
        <f t="shared" si="28"/>
        <v>5.7329999999999999E-2</v>
      </c>
      <c r="P27" s="83">
        <f t="shared" si="29"/>
        <v>0.06</v>
      </c>
      <c r="Q27" s="83">
        <f t="shared" si="30"/>
        <v>5.7500000000000002E-2</v>
      </c>
      <c r="R27" s="84">
        <f t="shared" si="31"/>
        <v>5.6000000000000001E-2</v>
      </c>
      <c r="S27" s="87"/>
      <c r="T27" s="90">
        <v>22</v>
      </c>
      <c r="U27" s="87">
        <v>0.04</v>
      </c>
      <c r="V27" s="88">
        <v>-0.03</v>
      </c>
      <c r="X27" s="89">
        <f t="shared" si="32"/>
        <v>4.5332963104E-2</v>
      </c>
    </row>
    <row r="28" spans="1:24" x14ac:dyDescent="0.15">
      <c r="A28" s="46">
        <f t="shared" si="19"/>
        <v>23</v>
      </c>
      <c r="B28" s="78">
        <f>VLOOKUP($A28,中债登下载数据!$E$4:$F$3654,2,FALSE)/100</f>
        <v>4.3795189200000001E-2</v>
      </c>
      <c r="C28" s="85">
        <f t="shared" si="20"/>
        <v>4.8300000000000003E-2</v>
      </c>
      <c r="D28" s="86"/>
      <c r="E28" s="46">
        <f t="shared" si="21"/>
        <v>23</v>
      </c>
      <c r="F28" s="80">
        <f>VLOOKUP($A28,[1]中债登下载数据!$L$4:$M$3654,2,FALSE)/100</f>
        <v>4.6077179700000005E-2</v>
      </c>
      <c r="G28" s="78">
        <f t="shared" si="22"/>
        <v>5.3077179700000005E-2</v>
      </c>
      <c r="H28" s="81">
        <f t="shared" si="23"/>
        <v>5.0577179700000002E-2</v>
      </c>
      <c r="I28" s="82">
        <f t="shared" si="24"/>
        <v>4.9077179700000008E-2</v>
      </c>
      <c r="J28" s="78">
        <f t="shared" si="33"/>
        <v>5.8400000000000001E-2</v>
      </c>
      <c r="K28" s="81">
        <f t="shared" si="33"/>
        <v>5.5899999999999998E-2</v>
      </c>
      <c r="L28" s="82">
        <f t="shared" si="33"/>
        <v>5.4399999999999997E-2</v>
      </c>
      <c r="M28" s="78">
        <f t="shared" si="26"/>
        <v>6.0045000000000001E-2</v>
      </c>
      <c r="N28" s="81">
        <f t="shared" si="27"/>
        <v>5.7919999999999999E-2</v>
      </c>
      <c r="O28" s="81">
        <f t="shared" si="28"/>
        <v>5.6645000000000001E-2</v>
      </c>
      <c r="P28" s="83">
        <f t="shared" si="29"/>
        <v>5.8599999999999999E-2</v>
      </c>
      <c r="Q28" s="83">
        <f t="shared" si="30"/>
        <v>5.62E-2</v>
      </c>
      <c r="R28" s="84">
        <f t="shared" si="31"/>
        <v>5.4699999999999999E-2</v>
      </c>
      <c r="S28" s="87"/>
      <c r="T28" s="90">
        <v>23</v>
      </c>
      <c r="U28" s="87">
        <v>0.04</v>
      </c>
      <c r="V28" s="88">
        <v>-0.03</v>
      </c>
      <c r="X28" s="89">
        <f t="shared" si="32"/>
        <v>4.5546996768000003E-2</v>
      </c>
    </row>
    <row r="29" spans="1:24" x14ac:dyDescent="0.15">
      <c r="A29" s="46">
        <f t="shared" si="19"/>
        <v>24</v>
      </c>
      <c r="B29" s="78">
        <f>VLOOKUP($A29,中债登下载数据!$E$4:$F$3654,2,FALSE)/100</f>
        <v>4.4055927500000001E-2</v>
      </c>
      <c r="C29" s="85">
        <f t="shared" si="20"/>
        <v>5.0099999999999999E-2</v>
      </c>
      <c r="D29" s="86"/>
      <c r="E29" s="46">
        <f t="shared" si="21"/>
        <v>24</v>
      </c>
      <c r="F29" s="80">
        <f>VLOOKUP($A29,[1]中债登下载数据!$L$4:$M$3654,2,FALSE)/100</f>
        <v>4.6239528200000005E-2</v>
      </c>
      <c r="G29" s="78">
        <f t="shared" si="22"/>
        <v>5.3239528200000004E-2</v>
      </c>
      <c r="H29" s="81">
        <f t="shared" si="23"/>
        <v>5.0739528200000002E-2</v>
      </c>
      <c r="I29" s="82">
        <f t="shared" si="24"/>
        <v>4.9239528200000007E-2</v>
      </c>
      <c r="J29" s="78">
        <f t="shared" si="33"/>
        <v>5.7000000000000002E-2</v>
      </c>
      <c r="K29" s="81">
        <f t="shared" si="33"/>
        <v>5.45E-2</v>
      </c>
      <c r="L29" s="82">
        <f t="shared" si="33"/>
        <v>5.2999999999999999E-2</v>
      </c>
      <c r="M29" s="78">
        <f t="shared" si="26"/>
        <v>5.9160000000000004E-2</v>
      </c>
      <c r="N29" s="81">
        <f t="shared" si="27"/>
        <v>5.7159999999999996E-2</v>
      </c>
      <c r="O29" s="81">
        <f t="shared" si="28"/>
        <v>5.5960000000000003E-2</v>
      </c>
      <c r="P29" s="83">
        <f t="shared" si="29"/>
        <v>5.74E-2</v>
      </c>
      <c r="Q29" s="83">
        <f t="shared" si="30"/>
        <v>5.5E-2</v>
      </c>
      <c r="R29" s="84">
        <f t="shared" si="31"/>
        <v>5.3600000000000002E-2</v>
      </c>
      <c r="S29" s="87"/>
      <c r="T29" s="90">
        <v>24</v>
      </c>
      <c r="U29" s="87">
        <v>0.04</v>
      </c>
      <c r="V29" s="88">
        <v>-0.03</v>
      </c>
      <c r="X29" s="89">
        <f t="shared" si="32"/>
        <v>4.5818164600000003E-2</v>
      </c>
    </row>
    <row r="30" spans="1:24" x14ac:dyDescent="0.15">
      <c r="A30" s="46">
        <f t="shared" si="19"/>
        <v>25</v>
      </c>
      <c r="B30" s="78">
        <f>VLOOKUP($A30,中债登下载数据!$E$4:$F$3654,2,FALSE)/100</f>
        <v>4.4357073800000001E-2</v>
      </c>
      <c r="C30" s="85">
        <f t="shared" si="20"/>
        <v>5.16E-2</v>
      </c>
      <c r="D30" s="86"/>
      <c r="E30" s="46">
        <f t="shared" si="21"/>
        <v>25</v>
      </c>
      <c r="F30" s="80">
        <f>VLOOKUP($A30,[1]中债登下载数据!$L$4:$M$3654,2,FALSE)/100</f>
        <v>4.6341650999999998E-2</v>
      </c>
      <c r="G30" s="78">
        <f t="shared" si="22"/>
        <v>5.3341650999999997E-2</v>
      </c>
      <c r="H30" s="81">
        <f t="shared" si="23"/>
        <v>5.0841650999999995E-2</v>
      </c>
      <c r="I30" s="82">
        <f t="shared" si="24"/>
        <v>4.9341651E-2</v>
      </c>
      <c r="J30" s="78">
        <f t="shared" si="33"/>
        <v>5.5800000000000002E-2</v>
      </c>
      <c r="K30" s="81">
        <f t="shared" si="33"/>
        <v>5.33E-2</v>
      </c>
      <c r="L30" s="82">
        <f t="shared" si="33"/>
        <v>5.1799999999999999E-2</v>
      </c>
      <c r="M30" s="78">
        <f t="shared" si="26"/>
        <v>5.8275000000000007E-2</v>
      </c>
      <c r="N30" s="81">
        <f t="shared" si="27"/>
        <v>5.6399999999999999E-2</v>
      </c>
      <c r="O30" s="81">
        <f t="shared" si="28"/>
        <v>5.5275000000000005E-2</v>
      </c>
      <c r="P30" s="83">
        <f t="shared" si="29"/>
        <v>5.6399999999999999E-2</v>
      </c>
      <c r="Q30" s="83">
        <f t="shared" si="30"/>
        <v>5.4100000000000002E-2</v>
      </c>
      <c r="R30" s="84">
        <f t="shared" si="31"/>
        <v>5.2699999999999997E-2</v>
      </c>
      <c r="S30" s="87"/>
      <c r="T30" s="90">
        <v>25</v>
      </c>
      <c r="U30" s="87">
        <v>0.04</v>
      </c>
      <c r="V30" s="88">
        <v>-0.03</v>
      </c>
      <c r="X30" s="89">
        <f t="shared" si="32"/>
        <v>4.6131356752000002E-2</v>
      </c>
    </row>
    <row r="31" spans="1:24" x14ac:dyDescent="0.15">
      <c r="A31" s="46">
        <f t="shared" si="19"/>
        <v>26</v>
      </c>
      <c r="B31" s="78">
        <f>VLOOKUP($A31,中债登下载数据!$E$4:$F$3654,2,FALSE)/100</f>
        <v>4.4683022000000003E-2</v>
      </c>
      <c r="C31" s="85">
        <f t="shared" si="20"/>
        <v>5.2900000000000003E-2</v>
      </c>
      <c r="D31" s="86"/>
      <c r="E31" s="46">
        <f t="shared" si="21"/>
        <v>26</v>
      </c>
      <c r="F31" s="80">
        <f>VLOOKUP($A31,[1]中债登下载数据!$L$4:$M$3654,2,FALSE)/100</f>
        <v>4.6402733799999998E-2</v>
      </c>
      <c r="G31" s="78">
        <f t="shared" si="22"/>
        <v>5.3402733799999998E-2</v>
      </c>
      <c r="H31" s="81">
        <f t="shared" si="23"/>
        <v>5.0902733799999995E-2</v>
      </c>
      <c r="I31" s="82">
        <f t="shared" si="24"/>
        <v>4.9402733800000001E-2</v>
      </c>
      <c r="J31" s="78">
        <f t="shared" si="33"/>
        <v>5.4899999999999997E-2</v>
      </c>
      <c r="K31" s="81">
        <f t="shared" si="33"/>
        <v>5.2400000000000002E-2</v>
      </c>
      <c r="L31" s="82">
        <f t="shared" si="33"/>
        <v>5.0900000000000001E-2</v>
      </c>
      <c r="M31" s="78">
        <f t="shared" si="26"/>
        <v>5.7390000000000004E-2</v>
      </c>
      <c r="N31" s="81">
        <f t="shared" si="27"/>
        <v>5.5639999999999995E-2</v>
      </c>
      <c r="O31" s="81">
        <f t="shared" si="28"/>
        <v>5.459E-2</v>
      </c>
      <c r="P31" s="83">
        <f t="shared" si="29"/>
        <v>5.5599999999999997E-2</v>
      </c>
      <c r="Q31" s="83">
        <f t="shared" si="30"/>
        <v>5.3400000000000003E-2</v>
      </c>
      <c r="R31" s="84">
        <f t="shared" si="31"/>
        <v>5.1999999999999998E-2</v>
      </c>
      <c r="S31" s="87"/>
      <c r="T31" s="90">
        <v>26</v>
      </c>
      <c r="U31" s="87">
        <v>0.04</v>
      </c>
      <c r="V31" s="88">
        <v>-0.03</v>
      </c>
      <c r="X31" s="89">
        <f t="shared" si="32"/>
        <v>4.6470342880000001E-2</v>
      </c>
    </row>
    <row r="32" spans="1:24" x14ac:dyDescent="0.15">
      <c r="A32" s="46">
        <f t="shared" si="19"/>
        <v>27</v>
      </c>
      <c r="B32" s="78">
        <f>VLOOKUP($A32,中债登下载数据!$E$4:$F$3654,2,FALSE)/100</f>
        <v>4.5016788799999999E-2</v>
      </c>
      <c r="C32" s="85">
        <f t="shared" si="20"/>
        <v>5.3699999999999998E-2</v>
      </c>
      <c r="D32" s="86"/>
      <c r="E32" s="46">
        <f t="shared" si="21"/>
        <v>27</v>
      </c>
      <c r="F32" s="80">
        <f>VLOOKUP($A32,[1]中债登下载数据!$L$4:$M$3654,2,FALSE)/100</f>
        <v>4.6443342499999998E-2</v>
      </c>
      <c r="G32" s="78">
        <f t="shared" si="22"/>
        <v>5.3443342499999998E-2</v>
      </c>
      <c r="H32" s="81">
        <f t="shared" si="23"/>
        <v>5.0943342499999995E-2</v>
      </c>
      <c r="I32" s="82">
        <f t="shared" si="24"/>
        <v>4.9443342500000001E-2</v>
      </c>
      <c r="J32" s="78">
        <f t="shared" si="33"/>
        <v>5.45E-2</v>
      </c>
      <c r="K32" s="81">
        <f t="shared" si="33"/>
        <v>5.1999999999999998E-2</v>
      </c>
      <c r="L32" s="82">
        <f t="shared" si="33"/>
        <v>5.0500000000000003E-2</v>
      </c>
      <c r="M32" s="78">
        <f t="shared" si="26"/>
        <v>5.6505E-2</v>
      </c>
      <c r="N32" s="81">
        <f t="shared" si="27"/>
        <v>5.4879999999999998E-2</v>
      </c>
      <c r="O32" s="81">
        <f t="shared" si="28"/>
        <v>5.3905000000000002E-2</v>
      </c>
      <c r="P32" s="83">
        <f t="shared" si="29"/>
        <v>5.5199999999999999E-2</v>
      </c>
      <c r="Q32" s="83">
        <f t="shared" si="30"/>
        <v>5.2999999999999999E-2</v>
      </c>
      <c r="R32" s="84">
        <f t="shared" si="31"/>
        <v>5.1700000000000003E-2</v>
      </c>
      <c r="S32" s="87"/>
      <c r="T32" s="90">
        <v>27</v>
      </c>
      <c r="U32" s="87">
        <v>0.04</v>
      </c>
      <c r="V32" s="88">
        <v>-0.03</v>
      </c>
      <c r="X32" s="89">
        <f t="shared" si="32"/>
        <v>4.6817460352000004E-2</v>
      </c>
    </row>
    <row r="33" spans="1:24" x14ac:dyDescent="0.15">
      <c r="A33" s="46">
        <f t="shared" si="19"/>
        <v>28</v>
      </c>
      <c r="B33" s="78">
        <f>VLOOKUP($A33,中债登下载数据!$E$4:$F$3654,2,FALSE)/100</f>
        <v>4.53397366E-2</v>
      </c>
      <c r="C33" s="85">
        <f t="shared" si="20"/>
        <v>5.4100000000000002E-2</v>
      </c>
      <c r="D33" s="86"/>
      <c r="E33" s="46">
        <f t="shared" si="21"/>
        <v>28</v>
      </c>
      <c r="F33" s="80">
        <f>VLOOKUP($A33,[1]中债登下载数据!$L$4:$M$3654,2,FALSE)/100</f>
        <v>4.6485640100000003E-2</v>
      </c>
      <c r="G33" s="78">
        <f t="shared" si="22"/>
        <v>5.3485640100000002E-2</v>
      </c>
      <c r="H33" s="81">
        <f t="shared" si="23"/>
        <v>5.09856401E-2</v>
      </c>
      <c r="I33" s="82">
        <f t="shared" si="24"/>
        <v>4.9485640100000006E-2</v>
      </c>
      <c r="J33" s="78">
        <f t="shared" si="33"/>
        <v>5.4600000000000003E-2</v>
      </c>
      <c r="K33" s="81">
        <f t="shared" si="33"/>
        <v>5.21E-2</v>
      </c>
      <c r="L33" s="82">
        <f t="shared" si="33"/>
        <v>5.0599999999999999E-2</v>
      </c>
      <c r="M33" s="78">
        <f t="shared" si="26"/>
        <v>5.5620000000000003E-2</v>
      </c>
      <c r="N33" s="81">
        <f t="shared" si="27"/>
        <v>5.4119999999999994E-2</v>
      </c>
      <c r="O33" s="81">
        <f t="shared" si="28"/>
        <v>5.3220000000000003E-2</v>
      </c>
      <c r="P33" s="83">
        <f t="shared" si="29"/>
        <v>5.5E-2</v>
      </c>
      <c r="Q33" s="83">
        <f t="shared" si="30"/>
        <v>5.2900000000000003E-2</v>
      </c>
      <c r="R33" s="84">
        <f t="shared" si="31"/>
        <v>5.16E-2</v>
      </c>
      <c r="S33" s="87"/>
      <c r="T33" s="90">
        <v>28</v>
      </c>
      <c r="U33" s="87">
        <v>0.04</v>
      </c>
      <c r="V33" s="88">
        <v>-0.03</v>
      </c>
      <c r="X33" s="89">
        <f t="shared" si="32"/>
        <v>4.7153326064000002E-2</v>
      </c>
    </row>
    <row r="34" spans="1:24" x14ac:dyDescent="0.15">
      <c r="A34" s="46">
        <f t="shared" si="19"/>
        <v>29</v>
      </c>
      <c r="B34" s="78">
        <f>VLOOKUP($A34,中债登下载数据!$E$4:$F$3654,2,FALSE)/100</f>
        <v>4.5631349600000003E-2</v>
      </c>
      <c r="C34" s="85">
        <f t="shared" si="20"/>
        <v>5.3800000000000001E-2</v>
      </c>
      <c r="D34" s="86"/>
      <c r="E34" s="46">
        <f t="shared" si="21"/>
        <v>29</v>
      </c>
      <c r="F34" s="80">
        <f>VLOOKUP($A34,[1]中债登下载数据!$L$4:$M$3654,2,FALSE)/100</f>
        <v>4.6553250500000004E-2</v>
      </c>
      <c r="G34" s="78">
        <f t="shared" si="22"/>
        <v>5.3553250500000003E-2</v>
      </c>
      <c r="H34" s="81">
        <f t="shared" si="23"/>
        <v>5.1053250500000001E-2</v>
      </c>
      <c r="I34" s="82">
        <f t="shared" si="24"/>
        <v>4.9553250500000007E-2</v>
      </c>
      <c r="J34" s="78">
        <f t="shared" si="33"/>
        <v>5.5399999999999998E-2</v>
      </c>
      <c r="K34" s="81">
        <f t="shared" si="33"/>
        <v>5.2900000000000003E-2</v>
      </c>
      <c r="L34" s="82">
        <f t="shared" si="33"/>
        <v>5.1400000000000001E-2</v>
      </c>
      <c r="M34" s="78">
        <f t="shared" si="26"/>
        <v>5.4735000000000006E-2</v>
      </c>
      <c r="N34" s="81">
        <f t="shared" si="27"/>
        <v>5.3359999999999998E-2</v>
      </c>
      <c r="O34" s="81">
        <f t="shared" si="28"/>
        <v>5.2534999999999998E-2</v>
      </c>
      <c r="P34" s="83">
        <f t="shared" si="29"/>
        <v>5.5100000000000003E-2</v>
      </c>
      <c r="Q34" s="83">
        <f t="shared" si="30"/>
        <v>5.3100000000000001E-2</v>
      </c>
      <c r="R34" s="84">
        <f t="shared" si="31"/>
        <v>5.1900000000000002E-2</v>
      </c>
      <c r="S34" s="87"/>
      <c r="T34" s="90">
        <v>29</v>
      </c>
      <c r="U34" s="87">
        <v>0.04</v>
      </c>
      <c r="V34" s="88">
        <v>-0.03</v>
      </c>
      <c r="X34" s="89">
        <f t="shared" si="32"/>
        <v>4.7456603584000001E-2</v>
      </c>
    </row>
    <row r="35" spans="1:24" x14ac:dyDescent="0.15">
      <c r="A35" s="46">
        <f t="shared" si="19"/>
        <v>30</v>
      </c>
      <c r="B35" s="78">
        <f>VLOOKUP($A35,中债登下载数据!$E$4:$F$3654,2,FALSE)/100</f>
        <v>4.5869106399999998E-2</v>
      </c>
      <c r="C35" s="85">
        <f t="shared" si="20"/>
        <v>5.28E-2</v>
      </c>
      <c r="D35" s="86"/>
      <c r="E35" s="46">
        <f t="shared" si="21"/>
        <v>30</v>
      </c>
      <c r="F35" s="80">
        <f>VLOOKUP($A35,[1]中债登下载数据!$L$4:$M$3654,2,FALSE)/100</f>
        <v>4.6669761300000001E-2</v>
      </c>
      <c r="G35" s="78">
        <f t="shared" si="22"/>
        <v>5.36697613E-2</v>
      </c>
      <c r="H35" s="81">
        <f t="shared" si="23"/>
        <v>5.1169761299999998E-2</v>
      </c>
      <c r="I35" s="82">
        <f t="shared" si="24"/>
        <v>4.9669761300000004E-2</v>
      </c>
      <c r="J35" s="78">
        <f t="shared" si="33"/>
        <v>5.7099999999999998E-2</v>
      </c>
      <c r="K35" s="81">
        <f t="shared" si="33"/>
        <v>5.4600000000000003E-2</v>
      </c>
      <c r="L35" s="82">
        <f t="shared" si="33"/>
        <v>5.3100000000000001E-2</v>
      </c>
      <c r="M35" s="78">
        <f t="shared" si="26"/>
        <v>5.3850000000000002E-2</v>
      </c>
      <c r="N35" s="81">
        <f t="shared" si="27"/>
        <v>5.2600000000000001E-2</v>
      </c>
      <c r="O35" s="81">
        <f t="shared" si="28"/>
        <v>5.185E-2</v>
      </c>
      <c r="P35" s="83">
        <f t="shared" si="29"/>
        <v>5.5500000000000001E-2</v>
      </c>
      <c r="Q35" s="83">
        <f t="shared" si="30"/>
        <v>5.3600000000000002E-2</v>
      </c>
      <c r="R35" s="84">
        <f t="shared" si="31"/>
        <v>5.2499999999999998E-2</v>
      </c>
      <c r="S35" s="87"/>
      <c r="T35" s="90">
        <v>30</v>
      </c>
      <c r="U35" s="87">
        <v>0.04</v>
      </c>
      <c r="V35" s="88">
        <v>-0.03</v>
      </c>
      <c r="X35" s="89">
        <f t="shared" si="32"/>
        <v>4.7703870656E-2</v>
      </c>
    </row>
    <row r="36" spans="1:24" x14ac:dyDescent="0.15">
      <c r="A36" s="46">
        <f t="shared" si="19"/>
        <v>31</v>
      </c>
      <c r="B36" s="78">
        <f>VLOOKUP($A36,中债登下载数据!$E$4:$F$3654,2,FALSE)/100</f>
        <v>4.6044921499999995E-2</v>
      </c>
      <c r="C36" s="85">
        <f t="shared" si="20"/>
        <v>5.1299999999999998E-2</v>
      </c>
      <c r="D36" s="86"/>
      <c r="E36" s="46">
        <f t="shared" si="21"/>
        <v>31</v>
      </c>
      <c r="F36" s="80">
        <f>VLOOKUP($A36,[1]中债登下载数据!$L$4:$M$3654,2,FALSE)/100</f>
        <v>4.6813542999999999E-2</v>
      </c>
      <c r="G36" s="78">
        <f t="shared" si="22"/>
        <v>5.3813542999999998E-2</v>
      </c>
      <c r="H36" s="81">
        <f t="shared" si="23"/>
        <v>5.1313542999999996E-2</v>
      </c>
      <c r="I36" s="82">
        <f t="shared" si="24"/>
        <v>4.9813543000000002E-2</v>
      </c>
      <c r="J36" s="78">
        <f t="shared" si="33"/>
        <v>5.8099999999999999E-2</v>
      </c>
      <c r="K36" s="81">
        <f t="shared" si="33"/>
        <v>5.5599999999999997E-2</v>
      </c>
      <c r="L36" s="82">
        <f t="shared" si="33"/>
        <v>5.4100000000000002E-2</v>
      </c>
      <c r="M36" s="78">
        <f t="shared" si="26"/>
        <v>5.2964999999999998E-2</v>
      </c>
      <c r="N36" s="81">
        <f t="shared" si="27"/>
        <v>5.1839999999999997E-2</v>
      </c>
      <c r="O36" s="81">
        <f t="shared" si="28"/>
        <v>5.1165000000000002E-2</v>
      </c>
      <c r="P36" s="83">
        <f t="shared" si="29"/>
        <v>5.5300000000000002E-2</v>
      </c>
      <c r="Q36" s="83">
        <f t="shared" si="30"/>
        <v>5.3499999999999999E-2</v>
      </c>
      <c r="R36" s="84">
        <f t="shared" si="31"/>
        <v>5.2499999999999998E-2</v>
      </c>
      <c r="S36" s="87"/>
      <c r="T36" s="90">
        <v>31</v>
      </c>
      <c r="U36" s="87">
        <v>0.04</v>
      </c>
      <c r="V36" s="88">
        <v>-0.03</v>
      </c>
      <c r="X36" s="89">
        <f t="shared" si="32"/>
        <v>4.7886718359999997E-2</v>
      </c>
    </row>
    <row r="37" spans="1:24" x14ac:dyDescent="0.15">
      <c r="A37" s="46">
        <f t="shared" si="19"/>
        <v>32</v>
      </c>
      <c r="B37" s="78">
        <f>VLOOKUP($A37,中债登下载数据!$E$4:$F$3654,2,FALSE)/100</f>
        <v>4.6170869500000003E-2</v>
      </c>
      <c r="C37" s="85">
        <f t="shared" si="20"/>
        <v>5.0099999999999999E-2</v>
      </c>
      <c r="D37" s="86"/>
      <c r="E37" s="46">
        <f t="shared" si="21"/>
        <v>32</v>
      </c>
      <c r="F37" s="80">
        <f>VLOOKUP($A37,[1]中债登下载数据!$L$4:$M$3654,2,FALSE)/100</f>
        <v>4.6948873100000003E-2</v>
      </c>
      <c r="G37" s="78">
        <f t="shared" ref="G37" si="34">F37+Spread_High/10000</f>
        <v>5.3948873100000003E-2</v>
      </c>
      <c r="H37" s="81">
        <f t="shared" ref="H37" si="35">F37+Spread_Mid/10000</f>
        <v>5.14488731E-2</v>
      </c>
      <c r="I37" s="82">
        <f t="shared" ref="I37" si="36">F37+Spread_Low/10000</f>
        <v>4.9948873100000006E-2</v>
      </c>
      <c r="J37" s="78">
        <f t="shared" si="33"/>
        <v>5.8200000000000002E-2</v>
      </c>
      <c r="K37" s="81">
        <f t="shared" si="33"/>
        <v>5.57E-2</v>
      </c>
      <c r="L37" s="82">
        <f t="shared" si="33"/>
        <v>5.4199999999999998E-2</v>
      </c>
      <c r="M37" s="78">
        <f t="shared" ref="M37" si="37">IF($E37&lt;Start_Year+1,J37,IF($E37&gt;=End_Year,UFR,INDEX(J$6:J$45,Start_Year)+(UFR-INDEX(J$6:J$45,Start_Year))*($E37-Start_Year)/(End_Year-Start_Year)))</f>
        <v>5.2080000000000001E-2</v>
      </c>
      <c r="N37" s="81">
        <f t="shared" ref="N37" si="38">IF($E37&lt;Start_Year+1,K37,IF($E37&gt;=End_Year,UFR,INDEX(K$6:K$45,Start_Year)+(UFR-INDEX(K$6:K$45,Start_Year))*($E37-Start_Year)/(End_Year-Start_Year)))</f>
        <v>5.108E-2</v>
      </c>
      <c r="O37" s="81">
        <f t="shared" ref="O37" si="39">IF($E37&lt;Start_Year+1,L37,IF($E37&gt;=End_Year,UFR,INDEX(L$6:L$45,Start_Year)+(UFR-INDEX(L$6:L$45,Start_Year))*($E37-Start_Year)/(End_Year-Start_Year)))</f>
        <v>5.0479999999999997E-2</v>
      </c>
      <c r="P37" s="83">
        <f t="shared" ref="P37" si="40">ROUND(IF($E37&lt;Start_Year+1,J37,IF($E37&gt;=End_Year,UFR,M37*($E37-Start_Year)/(End_Year-Start_Year)+J37*(End_Year-$E37)/(End_Year-Start_Year))),4)</f>
        <v>5.45E-2</v>
      </c>
      <c r="Q37" s="83">
        <f t="shared" ref="Q37" si="41">ROUND(IF($E37&lt;Start_Year+1,K37,IF($E37&gt;=End_Year,UFR,N37*($E37-Start_Year)/(End_Year-Start_Year)+K37*(End_Year-$E37)/(End_Year-Start_Year))),4)</f>
        <v>5.2900000000000003E-2</v>
      </c>
      <c r="R37" s="84">
        <f t="shared" ref="R37" si="42">ROUND(IF($E37&lt;Start_Year+1,L37,IF($E37&gt;=End_Year,UFR,O37*($E37-Start_Year)/(End_Year-Start_Year)+L37*(End_Year-$E37)/(End_Year-Start_Year))),4)</f>
        <v>5.1999999999999998E-2</v>
      </c>
      <c r="S37" s="87"/>
      <c r="T37" s="90">
        <v>32</v>
      </c>
      <c r="U37" s="87">
        <v>0.04</v>
      </c>
      <c r="V37" s="88">
        <v>-0.03</v>
      </c>
      <c r="X37" s="89">
        <f t="shared" si="32"/>
        <v>4.8017704280000004E-2</v>
      </c>
    </row>
    <row r="38" spans="1:24" x14ac:dyDescent="0.15">
      <c r="A38" s="46">
        <f t="shared" si="19"/>
        <v>33</v>
      </c>
      <c r="B38" s="78">
        <f>VLOOKUP($A38,中债登下载数据!$E$4:$F$3654,2,FALSE)/100</f>
        <v>4.6253646199999998E-2</v>
      </c>
      <c r="C38" s="85">
        <f t="shared" si="20"/>
        <v>4.8899999999999999E-2</v>
      </c>
      <c r="D38" s="86"/>
      <c r="E38" s="46">
        <f t="shared" si="21"/>
        <v>33</v>
      </c>
      <c r="F38" s="80">
        <f>VLOOKUP($A38,[1]中债登下载数据!$L$4:$M$3654,2,FALSE)/100</f>
        <v>4.7077698500000001E-2</v>
      </c>
      <c r="G38" s="78">
        <f t="shared" ref="G38" si="43">F38+Spread_High/10000</f>
        <v>5.40776985E-2</v>
      </c>
      <c r="H38" s="81">
        <f t="shared" ref="H38" si="44">F38+Spread_Mid/10000</f>
        <v>5.1577698499999998E-2</v>
      </c>
      <c r="I38" s="82">
        <f t="shared" ref="I38" si="45">F38+Spread_Low/10000</f>
        <v>5.0077698500000004E-2</v>
      </c>
      <c r="J38" s="78">
        <f t="shared" si="33"/>
        <v>5.8200000000000002E-2</v>
      </c>
      <c r="K38" s="81">
        <f t="shared" si="33"/>
        <v>5.57E-2</v>
      </c>
      <c r="L38" s="82">
        <f t="shared" si="33"/>
        <v>5.4199999999999998E-2</v>
      </c>
      <c r="M38" s="78">
        <f t="shared" ref="M38" si="46">IF($E38&lt;Start_Year+1,J38,IF($E38&gt;=End_Year,UFR,INDEX(J$6:J$45,Start_Year)+(UFR-INDEX(J$6:J$45,Start_Year))*($E38-Start_Year)/(End_Year-Start_Year)))</f>
        <v>5.1195000000000004E-2</v>
      </c>
      <c r="N38" s="81">
        <f t="shared" ref="N38" si="47">IF($E38&lt;Start_Year+1,K38,IF($E38&gt;=End_Year,UFR,INDEX(K$6:K$45,Start_Year)+(UFR-INDEX(K$6:K$45,Start_Year))*($E38-Start_Year)/(End_Year-Start_Year)))</f>
        <v>5.0319999999999997E-2</v>
      </c>
      <c r="O38" s="81">
        <f t="shared" ref="O38" si="48">IF($E38&lt;Start_Year+1,L38,IF($E38&gt;=End_Year,UFR,INDEX(L$6:L$45,Start_Year)+(UFR-INDEX(L$6:L$45,Start_Year))*($E38-Start_Year)/(End_Year-Start_Year)))</f>
        <v>4.9794999999999999E-2</v>
      </c>
      <c r="P38" s="83">
        <f t="shared" ref="P38" si="49">ROUND(IF($E38&lt;Start_Year+1,J38,IF($E38&gt;=End_Year,UFR,M38*($E38-Start_Year)/(End_Year-Start_Year)+J38*(End_Year-$E38)/(End_Year-Start_Year))),4)</f>
        <v>5.3600000000000002E-2</v>
      </c>
      <c r="Q38" s="83">
        <f t="shared" ref="Q38" si="50">ROUND(IF($E38&lt;Start_Year+1,K38,IF($E38&gt;=End_Year,UFR,N38*($E38-Start_Year)/(End_Year-Start_Year)+K38*(End_Year-$E38)/(End_Year-Start_Year))),4)</f>
        <v>5.2200000000000003E-2</v>
      </c>
      <c r="R38" s="84">
        <f t="shared" ref="R38" si="51">ROUND(IF($E38&lt;Start_Year+1,L38,IF($E38&gt;=End_Year,UFR,O38*($E38-Start_Year)/(End_Year-Start_Year)+L38*(End_Year-$E38)/(End_Year-Start_Year))),4)</f>
        <v>5.1299999999999998E-2</v>
      </c>
      <c r="S38" s="87"/>
      <c r="T38" s="90">
        <v>33</v>
      </c>
      <c r="U38" s="87">
        <v>0.04</v>
      </c>
      <c r="V38" s="88">
        <v>-0.03</v>
      </c>
      <c r="X38" s="89">
        <f t="shared" si="32"/>
        <v>4.8103792047999999E-2</v>
      </c>
    </row>
    <row r="39" spans="1:24" x14ac:dyDescent="0.15">
      <c r="A39" s="46">
        <f t="shared" si="19"/>
        <v>34</v>
      </c>
      <c r="B39" s="78">
        <f>VLOOKUP($A39,中债登下载数据!$E$4:$F$3654,2,FALSE)/100</f>
        <v>4.63006688E-2</v>
      </c>
      <c r="C39" s="85">
        <f t="shared" si="20"/>
        <v>4.7899999999999998E-2</v>
      </c>
      <c r="D39" s="86"/>
      <c r="E39" s="46">
        <f t="shared" si="21"/>
        <v>34</v>
      </c>
      <c r="F39" s="80">
        <f>VLOOKUP($A39,[1]中债登下载数据!$L$4:$M$3654,2,FALSE)/100</f>
        <v>4.7202272199999999E-2</v>
      </c>
      <c r="G39" s="78">
        <f t="shared" ref="G39:G55" si="52">F39+Spread_High/10000</f>
        <v>5.4202272199999998E-2</v>
      </c>
      <c r="H39" s="81">
        <f t="shared" ref="H39:H55" si="53">F39+Spread_Mid/10000</f>
        <v>5.1702272199999996E-2</v>
      </c>
      <c r="I39" s="82">
        <f t="shared" ref="I39:I55" si="54">F39+Spread_Low/10000</f>
        <v>5.0202272200000002E-2</v>
      </c>
      <c r="J39" s="78">
        <f t="shared" ref="J39:L54" si="55">ROUND((1+G39)^$A39/((1+G38)^$A38)-1,4)</f>
        <v>5.8299999999999998E-2</v>
      </c>
      <c r="K39" s="81">
        <f t="shared" si="55"/>
        <v>5.5800000000000002E-2</v>
      </c>
      <c r="L39" s="82">
        <f t="shared" si="55"/>
        <v>5.4300000000000001E-2</v>
      </c>
      <c r="M39" s="78">
        <f t="shared" ref="M39:M55" si="56">IF($E39&lt;Start_Year+1,J39,IF($E39&gt;=End_Year,UFR,INDEX(J$6:J$45,Start_Year)+(UFR-INDEX(J$6:J$45,Start_Year))*($E39-Start_Year)/(End_Year-Start_Year)))</f>
        <v>5.0310000000000001E-2</v>
      </c>
      <c r="N39" s="81">
        <f t="shared" ref="N39:N55" si="57">IF($E39&lt;Start_Year+1,K39,IF($E39&gt;=End_Year,UFR,INDEX(K$6:K$45,Start_Year)+(UFR-INDEX(K$6:K$45,Start_Year))*($E39-Start_Year)/(End_Year-Start_Year)))</f>
        <v>4.9559999999999993E-2</v>
      </c>
      <c r="O39" s="81">
        <f t="shared" ref="O39:O55" si="58">IF($E39&lt;Start_Year+1,L39,IF($E39&gt;=End_Year,UFR,INDEX(L$6:L$45,Start_Year)+(UFR-INDEX(L$6:L$45,Start_Year))*($E39-Start_Year)/(End_Year-Start_Year)))</f>
        <v>4.9110000000000001E-2</v>
      </c>
      <c r="P39" s="83">
        <f t="shared" ref="P39:P55" si="59">ROUND(IF($E39&lt;Start_Year+1,J39,IF($E39&gt;=End_Year,UFR,M39*($E39-Start_Year)/(End_Year-Start_Year)+J39*(End_Year-$E39)/(End_Year-Start_Year))),4)</f>
        <v>5.2699999999999997E-2</v>
      </c>
      <c r="Q39" s="83">
        <f t="shared" ref="Q39:Q55" si="60">ROUND(IF($E39&lt;Start_Year+1,K39,IF($E39&gt;=End_Year,UFR,N39*($E39-Start_Year)/(End_Year-Start_Year)+K39*(End_Year-$E39)/(End_Year-Start_Year))),4)</f>
        <v>5.1400000000000001E-2</v>
      </c>
      <c r="R39" s="84">
        <f t="shared" ref="R39:R55" si="61">ROUND(IF($E39&lt;Start_Year+1,L39,IF($E39&gt;=End_Year,UFR,O39*($E39-Start_Year)/(End_Year-Start_Year)+L39*(End_Year-$E39)/(End_Year-Start_Year))),4)</f>
        <v>5.0700000000000002E-2</v>
      </c>
      <c r="S39" s="87"/>
      <c r="T39" s="90">
        <v>34</v>
      </c>
      <c r="U39" s="87">
        <v>0.04</v>
      </c>
      <c r="V39" s="88">
        <v>-0.03</v>
      </c>
      <c r="X39" s="89">
        <f t="shared" si="32"/>
        <v>4.8152695552000004E-2</v>
      </c>
    </row>
    <row r="40" spans="1:24" x14ac:dyDescent="0.15">
      <c r="A40" s="46">
        <f t="shared" si="19"/>
        <v>35</v>
      </c>
      <c r="B40" s="78">
        <f>VLOOKUP($A40,中债登下载数据!$E$4:$F$3654,2,FALSE)/100</f>
        <v>4.6320066399999998E-2</v>
      </c>
      <c r="C40" s="85">
        <f t="shared" si="20"/>
        <v>4.7E-2</v>
      </c>
      <c r="D40" s="86"/>
      <c r="E40" s="46">
        <f t="shared" si="21"/>
        <v>35</v>
      </c>
      <c r="F40" s="80">
        <f>VLOOKUP($A40,[1]中债登下载数据!$L$4:$M$3654,2,FALSE)/100</f>
        <v>4.7325129800000004E-2</v>
      </c>
      <c r="G40" s="78">
        <f t="shared" si="52"/>
        <v>5.4325129800000004E-2</v>
      </c>
      <c r="H40" s="81">
        <f t="shared" si="53"/>
        <v>5.1825129800000001E-2</v>
      </c>
      <c r="I40" s="82">
        <f t="shared" si="54"/>
        <v>5.0325129800000007E-2</v>
      </c>
      <c r="J40" s="78">
        <f t="shared" si="55"/>
        <v>5.8500000000000003E-2</v>
      </c>
      <c r="K40" s="81">
        <f t="shared" si="55"/>
        <v>5.6000000000000001E-2</v>
      </c>
      <c r="L40" s="82">
        <f t="shared" si="55"/>
        <v>5.45E-2</v>
      </c>
      <c r="M40" s="78">
        <f t="shared" si="56"/>
        <v>4.9424999999999997E-2</v>
      </c>
      <c r="N40" s="81">
        <f t="shared" si="57"/>
        <v>4.8799999999999996E-2</v>
      </c>
      <c r="O40" s="81">
        <f t="shared" si="58"/>
        <v>4.8424999999999996E-2</v>
      </c>
      <c r="P40" s="83">
        <f t="shared" si="59"/>
        <v>5.1700000000000003E-2</v>
      </c>
      <c r="Q40" s="83">
        <f t="shared" si="60"/>
        <v>5.0599999999999999E-2</v>
      </c>
      <c r="R40" s="84">
        <f t="shared" si="61"/>
        <v>4.99E-2</v>
      </c>
      <c r="S40" s="87"/>
      <c r="T40" s="90">
        <v>35</v>
      </c>
      <c r="U40" s="87">
        <v>0.04</v>
      </c>
      <c r="V40" s="88">
        <v>-0.03</v>
      </c>
      <c r="X40" s="89">
        <f t="shared" si="32"/>
        <v>4.8172869056000003E-2</v>
      </c>
    </row>
    <row r="41" spans="1:24" x14ac:dyDescent="0.15">
      <c r="A41" s="46">
        <f t="shared" si="19"/>
        <v>36</v>
      </c>
      <c r="B41" s="78">
        <f>VLOOKUP($A41,中债登下载数据!$E$4:$F$3654,2,FALSE)/100</f>
        <v>4.6320670199999997E-2</v>
      </c>
      <c r="C41" s="85">
        <f t="shared" si="20"/>
        <v>4.6300000000000001E-2</v>
      </c>
      <c r="D41" s="86"/>
      <c r="E41" s="46">
        <f t="shared" si="21"/>
        <v>36</v>
      </c>
      <c r="F41" s="80">
        <f>VLOOKUP($A41,[1]中债登下载数据!$L$4:$M$3654,2,FALSE)/100</f>
        <v>4.7449065600000007E-2</v>
      </c>
      <c r="G41" s="78">
        <f t="shared" si="52"/>
        <v>5.4449065600000006E-2</v>
      </c>
      <c r="H41" s="81">
        <f t="shared" si="53"/>
        <v>5.1949065600000004E-2</v>
      </c>
      <c r="I41" s="82">
        <f t="shared" si="54"/>
        <v>5.0449065600000009E-2</v>
      </c>
      <c r="J41" s="78">
        <f t="shared" si="55"/>
        <v>5.8799999999999998E-2</v>
      </c>
      <c r="K41" s="81">
        <f t="shared" si="55"/>
        <v>5.6300000000000003E-2</v>
      </c>
      <c r="L41" s="82">
        <f t="shared" si="55"/>
        <v>5.4800000000000001E-2</v>
      </c>
      <c r="M41" s="78">
        <f t="shared" si="56"/>
        <v>4.854E-2</v>
      </c>
      <c r="N41" s="81">
        <f t="shared" si="57"/>
        <v>4.8039999999999999E-2</v>
      </c>
      <c r="O41" s="81">
        <f t="shared" si="58"/>
        <v>4.7739999999999998E-2</v>
      </c>
      <c r="P41" s="83">
        <f t="shared" si="59"/>
        <v>5.0599999999999999E-2</v>
      </c>
      <c r="Q41" s="83">
        <f t="shared" si="60"/>
        <v>4.9700000000000001E-2</v>
      </c>
      <c r="R41" s="84">
        <f t="shared" si="61"/>
        <v>4.9200000000000001E-2</v>
      </c>
      <c r="S41" s="87"/>
      <c r="T41" s="90">
        <v>36</v>
      </c>
      <c r="U41" s="87">
        <v>0.04</v>
      </c>
      <c r="V41" s="88">
        <v>-0.03</v>
      </c>
      <c r="X41" s="89">
        <f t="shared" si="32"/>
        <v>4.8173497007999999E-2</v>
      </c>
    </row>
    <row r="42" spans="1:24" x14ac:dyDescent="0.15">
      <c r="A42" s="46">
        <f t="shared" si="19"/>
        <v>37</v>
      </c>
      <c r="B42" s="78">
        <f>VLOOKUP($A42,中债登下载数据!$E$4:$F$3654,2,FALSE)/100</f>
        <v>4.6312011600000001E-2</v>
      </c>
      <c r="C42" s="85">
        <f t="shared" si="20"/>
        <v>4.5999999999999999E-2</v>
      </c>
      <c r="D42" s="86"/>
      <c r="E42" s="46">
        <f t="shared" si="21"/>
        <v>37</v>
      </c>
      <c r="F42" s="80">
        <f>VLOOKUP($A42,[1]中债登下载数据!$L$4:$M$3654,2,FALSE)/100</f>
        <v>4.7577113999999997E-2</v>
      </c>
      <c r="G42" s="78">
        <f t="shared" si="52"/>
        <v>5.4577113999999996E-2</v>
      </c>
      <c r="H42" s="81">
        <f t="shared" si="53"/>
        <v>5.2077113999999994E-2</v>
      </c>
      <c r="I42" s="82">
        <f t="shared" si="54"/>
        <v>5.0577113999999999E-2</v>
      </c>
      <c r="J42" s="78">
        <f t="shared" si="55"/>
        <v>5.9200000000000003E-2</v>
      </c>
      <c r="K42" s="81">
        <f t="shared" si="55"/>
        <v>5.67E-2</v>
      </c>
      <c r="L42" s="82">
        <f t="shared" si="55"/>
        <v>5.5199999999999999E-2</v>
      </c>
      <c r="M42" s="78">
        <f t="shared" si="56"/>
        <v>4.7655000000000003E-2</v>
      </c>
      <c r="N42" s="81">
        <f t="shared" si="57"/>
        <v>4.7280000000000003E-2</v>
      </c>
      <c r="O42" s="81">
        <f t="shared" si="58"/>
        <v>4.7055E-2</v>
      </c>
      <c r="P42" s="83">
        <f t="shared" si="59"/>
        <v>4.9399999999999999E-2</v>
      </c>
      <c r="Q42" s="83">
        <f t="shared" si="60"/>
        <v>4.87E-2</v>
      </c>
      <c r="R42" s="84">
        <f t="shared" si="61"/>
        <v>4.8300000000000003E-2</v>
      </c>
      <c r="S42" s="87"/>
      <c r="T42" s="90">
        <v>37</v>
      </c>
      <c r="U42" s="87">
        <v>0.04</v>
      </c>
      <c r="V42" s="88">
        <v>-0.03</v>
      </c>
      <c r="X42" s="89">
        <f t="shared" si="32"/>
        <v>4.8164492064000003E-2</v>
      </c>
    </row>
    <row r="43" spans="1:24" x14ac:dyDescent="0.15">
      <c r="A43" s="46">
        <f t="shared" si="19"/>
        <v>38</v>
      </c>
      <c r="B43" s="78">
        <f>VLOOKUP($A43,中债登下载数据!$E$4:$F$3654,2,FALSE)/100</f>
        <v>4.6304336800000005E-2</v>
      </c>
      <c r="C43" s="85">
        <f t="shared" si="20"/>
        <v>4.5999999999999999E-2</v>
      </c>
      <c r="D43" s="86"/>
      <c r="E43" s="46">
        <f t="shared" si="21"/>
        <v>38</v>
      </c>
      <c r="F43" s="80">
        <f>VLOOKUP($A43,[1]中债登下载数据!$L$4:$M$3654,2,FALSE)/100</f>
        <v>4.77125407E-2</v>
      </c>
      <c r="G43" s="78">
        <f t="shared" si="52"/>
        <v>5.4712540699999999E-2</v>
      </c>
      <c r="H43" s="81">
        <f t="shared" si="53"/>
        <v>5.2212540699999997E-2</v>
      </c>
      <c r="I43" s="82">
        <f t="shared" si="54"/>
        <v>5.0712540700000003E-2</v>
      </c>
      <c r="J43" s="78">
        <f t="shared" si="55"/>
        <v>5.9700000000000003E-2</v>
      </c>
      <c r="K43" s="81">
        <f t="shared" si="55"/>
        <v>5.7200000000000001E-2</v>
      </c>
      <c r="L43" s="82">
        <f t="shared" si="55"/>
        <v>5.57E-2</v>
      </c>
      <c r="M43" s="78">
        <f t="shared" si="56"/>
        <v>4.6769999999999999E-2</v>
      </c>
      <c r="N43" s="81">
        <f t="shared" si="57"/>
        <v>4.6519999999999999E-2</v>
      </c>
      <c r="O43" s="81">
        <f t="shared" si="58"/>
        <v>4.6369999999999995E-2</v>
      </c>
      <c r="P43" s="83">
        <f t="shared" si="59"/>
        <v>4.8099999999999997E-2</v>
      </c>
      <c r="Q43" s="83">
        <f t="shared" si="60"/>
        <v>4.7600000000000003E-2</v>
      </c>
      <c r="R43" s="84">
        <f t="shared" si="61"/>
        <v>4.7300000000000002E-2</v>
      </c>
      <c r="S43" s="87"/>
      <c r="T43" s="90">
        <v>38</v>
      </c>
      <c r="U43" s="87">
        <v>0.04</v>
      </c>
      <c r="V43" s="88">
        <v>-0.03</v>
      </c>
      <c r="X43" s="89">
        <f t="shared" si="32"/>
        <v>4.8156510272000005E-2</v>
      </c>
    </row>
    <row r="44" spans="1:24" x14ac:dyDescent="0.15">
      <c r="A44" s="46">
        <f t="shared" si="19"/>
        <v>39</v>
      </c>
      <c r="B44" s="78">
        <f>VLOOKUP($A44,中债登下载数据!$E$4:$F$3654,2,FALSE)/100</f>
        <v>4.6308651799999996E-2</v>
      </c>
      <c r="C44" s="85">
        <f t="shared" si="20"/>
        <v>4.65E-2</v>
      </c>
      <c r="D44" s="86"/>
      <c r="E44" s="46">
        <f t="shared" si="21"/>
        <v>39</v>
      </c>
      <c r="F44" s="80">
        <f>VLOOKUP($A44,[1]中债登下载数据!$L$4:$M$3654,2,FALSE)/100</f>
        <v>4.7858853799999997E-2</v>
      </c>
      <c r="G44" s="78">
        <f t="shared" si="52"/>
        <v>5.4858853799999996E-2</v>
      </c>
      <c r="H44" s="81">
        <f t="shared" si="53"/>
        <v>5.2358853799999994E-2</v>
      </c>
      <c r="I44" s="82">
        <f t="shared" si="54"/>
        <v>5.0858853799999999E-2</v>
      </c>
      <c r="J44" s="78">
        <f t="shared" si="55"/>
        <v>6.0400000000000002E-2</v>
      </c>
      <c r="K44" s="81">
        <f t="shared" si="55"/>
        <v>5.79E-2</v>
      </c>
      <c r="L44" s="82">
        <f t="shared" si="55"/>
        <v>5.6399999999999999E-2</v>
      </c>
      <c r="M44" s="78">
        <f t="shared" si="56"/>
        <v>4.5884999999999995E-2</v>
      </c>
      <c r="N44" s="81">
        <f t="shared" si="57"/>
        <v>4.5759999999999995E-2</v>
      </c>
      <c r="O44" s="81">
        <f t="shared" si="58"/>
        <v>4.5684999999999996E-2</v>
      </c>
      <c r="P44" s="83">
        <f t="shared" si="59"/>
        <v>4.6600000000000003E-2</v>
      </c>
      <c r="Q44" s="83">
        <f t="shared" si="60"/>
        <v>4.6399999999999997E-2</v>
      </c>
      <c r="R44" s="84">
        <f t="shared" si="61"/>
        <v>4.6199999999999998E-2</v>
      </c>
      <c r="S44" s="87"/>
      <c r="T44" s="90">
        <v>39</v>
      </c>
      <c r="U44" s="87">
        <v>0.04</v>
      </c>
      <c r="V44" s="88">
        <v>-0.03</v>
      </c>
      <c r="X44" s="89">
        <f t="shared" si="32"/>
        <v>4.8160997871999997E-2</v>
      </c>
    </row>
    <row r="45" spans="1:24" x14ac:dyDescent="0.15">
      <c r="A45" s="46">
        <f t="shared" si="19"/>
        <v>40</v>
      </c>
      <c r="B45" s="78">
        <f>VLOOKUP($A45,中债登下载数据!$E$4:$F$3654,2,FALSE)/100</f>
        <v>4.6336812199999994E-2</v>
      </c>
      <c r="C45" s="85">
        <f t="shared" si="20"/>
        <v>4.7399999999999998E-2</v>
      </c>
      <c r="D45" s="86"/>
      <c r="E45" s="46">
        <f t="shared" si="21"/>
        <v>40</v>
      </c>
      <c r="F45" s="80">
        <f>VLOOKUP($A45,[1]中债登下载数据!$L$4:$M$3654,2,FALSE)/100</f>
        <v>4.8019845999999998E-2</v>
      </c>
      <c r="G45" s="78">
        <f t="shared" si="52"/>
        <v>5.5019845999999997E-2</v>
      </c>
      <c r="H45" s="81">
        <f t="shared" si="53"/>
        <v>5.2519845999999995E-2</v>
      </c>
      <c r="I45" s="82">
        <f t="shared" si="54"/>
        <v>5.1019846000000001E-2</v>
      </c>
      <c r="J45" s="78">
        <f t="shared" si="55"/>
        <v>6.13E-2</v>
      </c>
      <c r="K45" s="81">
        <f t="shared" si="55"/>
        <v>5.8799999999999998E-2</v>
      </c>
      <c r="L45" s="82">
        <f t="shared" si="55"/>
        <v>5.7299999999999997E-2</v>
      </c>
      <c r="M45" s="78">
        <f t="shared" si="56"/>
        <v>4.4999999999999998E-2</v>
      </c>
      <c r="N45" s="81">
        <f t="shared" si="57"/>
        <v>4.4999999999999998E-2</v>
      </c>
      <c r="O45" s="81">
        <f t="shared" si="58"/>
        <v>4.4999999999999998E-2</v>
      </c>
      <c r="P45" s="83">
        <f t="shared" si="59"/>
        <v>4.4999999999999998E-2</v>
      </c>
      <c r="Q45" s="83">
        <f t="shared" si="60"/>
        <v>4.4999999999999998E-2</v>
      </c>
      <c r="R45" s="84">
        <f t="shared" si="61"/>
        <v>4.4999999999999998E-2</v>
      </c>
      <c r="S45" s="87"/>
      <c r="T45" s="90">
        <v>40</v>
      </c>
      <c r="U45" s="87">
        <v>0.04</v>
      </c>
      <c r="V45" s="88">
        <v>-0.03</v>
      </c>
      <c r="X45" s="89">
        <f t="shared" si="32"/>
        <v>4.8190284687999997E-2</v>
      </c>
    </row>
    <row r="46" spans="1:24" x14ac:dyDescent="0.15">
      <c r="A46" s="46">
        <f t="shared" si="19"/>
        <v>41</v>
      </c>
      <c r="B46" s="78">
        <f>VLOOKUP($A46,中债登下载数据!$E$4:$F$3654,2,FALSE)/100</f>
        <v>4.6371863900000004E-2</v>
      </c>
      <c r="C46" s="85">
        <f t="shared" si="20"/>
        <v>4.7800000000000002E-2</v>
      </c>
      <c r="D46" s="86"/>
      <c r="E46" s="46">
        <f t="shared" si="21"/>
        <v>41</v>
      </c>
      <c r="F46" s="80">
        <f>VLOOKUP($A46,[1]中债登下载数据!$L$4:$M$3654,2,FALSE)/100</f>
        <v>4.8183722600000006E-2</v>
      </c>
      <c r="G46" s="78">
        <f t="shared" si="52"/>
        <v>5.5183722600000006E-2</v>
      </c>
      <c r="H46" s="81">
        <f t="shared" si="53"/>
        <v>5.2683722600000003E-2</v>
      </c>
      <c r="I46" s="82">
        <f t="shared" si="54"/>
        <v>5.1183722600000009E-2</v>
      </c>
      <c r="J46" s="78">
        <f t="shared" si="55"/>
        <v>6.1800000000000001E-2</v>
      </c>
      <c r="K46" s="81">
        <f t="shared" si="55"/>
        <v>5.9299999999999999E-2</v>
      </c>
      <c r="L46" s="82">
        <f t="shared" si="55"/>
        <v>5.7799999999999997E-2</v>
      </c>
      <c r="M46" s="78">
        <f t="shared" si="56"/>
        <v>4.4999999999999998E-2</v>
      </c>
      <c r="N46" s="81">
        <f t="shared" si="57"/>
        <v>4.4999999999999998E-2</v>
      </c>
      <c r="O46" s="81">
        <f t="shared" si="58"/>
        <v>4.4999999999999998E-2</v>
      </c>
      <c r="P46" s="83">
        <f t="shared" si="59"/>
        <v>4.4999999999999998E-2</v>
      </c>
      <c r="Q46" s="83">
        <f t="shared" si="60"/>
        <v>4.4999999999999998E-2</v>
      </c>
      <c r="R46" s="84">
        <f t="shared" si="61"/>
        <v>4.4999999999999998E-2</v>
      </c>
      <c r="S46" s="87"/>
      <c r="T46" s="90">
        <v>41</v>
      </c>
      <c r="U46" s="87">
        <v>0.04</v>
      </c>
      <c r="V46" s="88">
        <v>0</v>
      </c>
      <c r="X46" s="89">
        <f t="shared" si="32"/>
        <v>4.8226738456000007E-2</v>
      </c>
    </row>
    <row r="47" spans="1:24" x14ac:dyDescent="0.15">
      <c r="A47" s="46">
        <f t="shared" si="19"/>
        <v>42</v>
      </c>
      <c r="B47" s="78">
        <f>VLOOKUP($A47,中债登下载数据!$E$4:$F$3654,2,FALSE)/100</f>
        <v>4.6390007900000002E-2</v>
      </c>
      <c r="C47" s="85">
        <f t="shared" si="20"/>
        <v>4.7100000000000003E-2</v>
      </c>
      <c r="D47" s="86"/>
      <c r="E47" s="46">
        <f t="shared" si="21"/>
        <v>42</v>
      </c>
      <c r="F47" s="80">
        <f>VLOOKUP($A47,[1]中债登下载数据!$L$4:$M$3654,2,FALSE)/100</f>
        <v>4.8337294899999994E-2</v>
      </c>
      <c r="G47" s="78">
        <f t="shared" si="52"/>
        <v>5.5337294899999993E-2</v>
      </c>
      <c r="H47" s="81">
        <f t="shared" si="53"/>
        <v>5.2837294899999991E-2</v>
      </c>
      <c r="I47" s="82">
        <f t="shared" si="54"/>
        <v>5.1337294899999997E-2</v>
      </c>
      <c r="J47" s="78">
        <f t="shared" si="55"/>
        <v>6.1699999999999998E-2</v>
      </c>
      <c r="K47" s="81">
        <f t="shared" si="55"/>
        <v>5.9200000000000003E-2</v>
      </c>
      <c r="L47" s="82">
        <f t="shared" si="55"/>
        <v>5.7700000000000001E-2</v>
      </c>
      <c r="M47" s="78">
        <f t="shared" si="56"/>
        <v>4.4999999999999998E-2</v>
      </c>
      <c r="N47" s="81">
        <f t="shared" si="57"/>
        <v>4.4999999999999998E-2</v>
      </c>
      <c r="O47" s="81">
        <f t="shared" si="58"/>
        <v>4.4999999999999998E-2</v>
      </c>
      <c r="P47" s="83">
        <f t="shared" si="59"/>
        <v>4.4999999999999998E-2</v>
      </c>
      <c r="Q47" s="83">
        <f t="shared" si="60"/>
        <v>4.4999999999999998E-2</v>
      </c>
      <c r="R47" s="84">
        <f t="shared" si="61"/>
        <v>4.4999999999999998E-2</v>
      </c>
      <c r="S47" s="87"/>
      <c r="T47" s="90">
        <v>42</v>
      </c>
      <c r="U47" s="87">
        <v>0.04</v>
      </c>
      <c r="V47" s="88">
        <v>0</v>
      </c>
      <c r="X47" s="89">
        <f t="shared" si="32"/>
        <v>4.8245608216000005E-2</v>
      </c>
    </row>
    <row r="48" spans="1:24" x14ac:dyDescent="0.15">
      <c r="A48" s="46">
        <f t="shared" si="19"/>
        <v>43</v>
      </c>
      <c r="B48" s="78">
        <f>VLOOKUP($A48,中债登下载数据!$E$4:$F$3654,2,FALSE)/100</f>
        <v>4.6393888000000001E-2</v>
      </c>
      <c r="C48" s="85">
        <f t="shared" si="20"/>
        <v>4.6600000000000003E-2</v>
      </c>
      <c r="D48" s="86"/>
      <c r="E48" s="46">
        <f t="shared" si="21"/>
        <v>43</v>
      </c>
      <c r="F48" s="80">
        <f>VLOOKUP($A48,[1]中债登下载数据!$L$4:$M$3654,2,FALSE)/100</f>
        <v>4.8482898099999998E-2</v>
      </c>
      <c r="G48" s="78">
        <f t="shared" si="52"/>
        <v>5.5482898099999997E-2</v>
      </c>
      <c r="H48" s="81">
        <f t="shared" si="53"/>
        <v>5.2982898099999995E-2</v>
      </c>
      <c r="I48" s="82">
        <f t="shared" si="54"/>
        <v>5.14828981E-2</v>
      </c>
      <c r="J48" s="78">
        <f t="shared" si="55"/>
        <v>6.1600000000000002E-2</v>
      </c>
      <c r="K48" s="81">
        <f t="shared" si="55"/>
        <v>5.91E-2</v>
      </c>
      <c r="L48" s="82">
        <f t="shared" si="55"/>
        <v>5.7599999999999998E-2</v>
      </c>
      <c r="M48" s="78">
        <f t="shared" si="56"/>
        <v>4.4999999999999998E-2</v>
      </c>
      <c r="N48" s="81">
        <f t="shared" si="57"/>
        <v>4.4999999999999998E-2</v>
      </c>
      <c r="O48" s="81">
        <f t="shared" si="58"/>
        <v>4.4999999999999998E-2</v>
      </c>
      <c r="P48" s="83">
        <f t="shared" si="59"/>
        <v>4.4999999999999998E-2</v>
      </c>
      <c r="Q48" s="83">
        <f t="shared" si="60"/>
        <v>4.4999999999999998E-2</v>
      </c>
      <c r="R48" s="84">
        <f t="shared" si="61"/>
        <v>4.4999999999999998E-2</v>
      </c>
      <c r="S48" s="87"/>
      <c r="T48" s="90">
        <v>43</v>
      </c>
      <c r="U48" s="87">
        <v>0.04</v>
      </c>
      <c r="V48" s="88">
        <v>0</v>
      </c>
      <c r="X48" s="89">
        <f t="shared" si="32"/>
        <v>4.8249643520000003E-2</v>
      </c>
    </row>
    <row r="49" spans="1:24" x14ac:dyDescent="0.15">
      <c r="A49" s="46">
        <f t="shared" si="19"/>
        <v>44</v>
      </c>
      <c r="B49" s="78">
        <f>VLOOKUP($A49,中债登下载数据!$E$4:$F$3654,2,FALSE)/100</f>
        <v>4.6386397300000007E-2</v>
      </c>
      <c r="C49" s="85">
        <f t="shared" si="20"/>
        <v>4.6100000000000002E-2</v>
      </c>
      <c r="D49" s="86"/>
      <c r="E49" s="46">
        <f t="shared" si="21"/>
        <v>44</v>
      </c>
      <c r="F49" s="80">
        <f>VLOOKUP($A49,[1]中债登下载数据!$L$4:$M$3654,2,FALSE)/100</f>
        <v>4.8623248700000003E-2</v>
      </c>
      <c r="G49" s="78">
        <f t="shared" si="52"/>
        <v>5.5623248700000003E-2</v>
      </c>
      <c r="H49" s="81">
        <f t="shared" si="53"/>
        <v>5.31232487E-2</v>
      </c>
      <c r="I49" s="82">
        <f t="shared" si="54"/>
        <v>5.1623248700000006E-2</v>
      </c>
      <c r="J49" s="78">
        <f t="shared" si="55"/>
        <v>6.1699999999999998E-2</v>
      </c>
      <c r="K49" s="81">
        <f t="shared" si="55"/>
        <v>5.9200000000000003E-2</v>
      </c>
      <c r="L49" s="82">
        <f t="shared" si="55"/>
        <v>5.7700000000000001E-2</v>
      </c>
      <c r="M49" s="78">
        <f t="shared" si="56"/>
        <v>4.4999999999999998E-2</v>
      </c>
      <c r="N49" s="81">
        <f t="shared" si="57"/>
        <v>4.4999999999999998E-2</v>
      </c>
      <c r="O49" s="81">
        <f t="shared" si="58"/>
        <v>4.4999999999999998E-2</v>
      </c>
      <c r="P49" s="83">
        <f t="shared" si="59"/>
        <v>4.4999999999999998E-2</v>
      </c>
      <c r="Q49" s="83">
        <f t="shared" si="60"/>
        <v>4.4999999999999998E-2</v>
      </c>
      <c r="R49" s="84">
        <f t="shared" si="61"/>
        <v>4.4999999999999998E-2</v>
      </c>
      <c r="S49" s="87"/>
      <c r="T49" s="90">
        <v>44</v>
      </c>
      <c r="U49" s="87">
        <v>0.04</v>
      </c>
      <c r="V49" s="88">
        <v>0</v>
      </c>
      <c r="X49" s="89">
        <f t="shared" si="32"/>
        <v>4.8241853192000007E-2</v>
      </c>
    </row>
    <row r="50" spans="1:24" x14ac:dyDescent="0.15">
      <c r="A50" s="46">
        <f t="shared" si="19"/>
        <v>45</v>
      </c>
      <c r="B50" s="78">
        <f>VLOOKUP($A50,中债登下载数据!$E$4:$F$3654,2,FALSE)/100</f>
        <v>4.6370684100000004E-2</v>
      </c>
      <c r="C50" s="85">
        <f t="shared" si="20"/>
        <v>4.5699999999999998E-2</v>
      </c>
      <c r="D50" s="86"/>
      <c r="E50" s="46">
        <f t="shared" si="21"/>
        <v>45</v>
      </c>
      <c r="F50" s="80">
        <f>VLOOKUP($A50,[1]中债登下载数据!$L$4:$M$3654,2,FALSE)/100</f>
        <v>4.8761447499999999E-2</v>
      </c>
      <c r="G50" s="78">
        <f t="shared" si="52"/>
        <v>5.5761447499999998E-2</v>
      </c>
      <c r="H50" s="81">
        <f t="shared" si="53"/>
        <v>5.3261447499999996E-2</v>
      </c>
      <c r="I50" s="82">
        <f t="shared" si="54"/>
        <v>5.1761447500000002E-2</v>
      </c>
      <c r="J50" s="78">
        <f t="shared" si="55"/>
        <v>6.1899999999999997E-2</v>
      </c>
      <c r="K50" s="81">
        <f t="shared" si="55"/>
        <v>5.9400000000000001E-2</v>
      </c>
      <c r="L50" s="82">
        <f t="shared" si="55"/>
        <v>5.79E-2</v>
      </c>
      <c r="M50" s="78">
        <f t="shared" si="56"/>
        <v>4.4999999999999998E-2</v>
      </c>
      <c r="N50" s="81">
        <f t="shared" si="57"/>
        <v>4.4999999999999998E-2</v>
      </c>
      <c r="O50" s="81">
        <f t="shared" si="58"/>
        <v>4.4999999999999998E-2</v>
      </c>
      <c r="P50" s="83">
        <f t="shared" si="59"/>
        <v>4.4999999999999998E-2</v>
      </c>
      <c r="Q50" s="83">
        <f t="shared" si="60"/>
        <v>4.4999999999999998E-2</v>
      </c>
      <c r="R50" s="84">
        <f t="shared" si="61"/>
        <v>4.4999999999999998E-2</v>
      </c>
      <c r="S50" s="87"/>
      <c r="T50" s="90">
        <v>45</v>
      </c>
      <c r="U50" s="87">
        <v>0.04</v>
      </c>
      <c r="V50" s="88">
        <v>0</v>
      </c>
      <c r="X50" s="89">
        <f t="shared" si="32"/>
        <v>4.8225511464000004E-2</v>
      </c>
    </row>
    <row r="51" spans="1:24" x14ac:dyDescent="0.15">
      <c r="A51" s="46">
        <f t="shared" si="19"/>
        <v>46</v>
      </c>
      <c r="B51" s="78">
        <f>VLOOKUP($A51,中债登下载数据!$E$4:$F$3654,2,FALSE)/100</f>
        <v>4.6350160200000004E-2</v>
      </c>
      <c r="C51" s="85">
        <f t="shared" si="20"/>
        <v>4.5400000000000003E-2</v>
      </c>
      <c r="D51" s="86"/>
      <c r="E51" s="46">
        <f t="shared" si="21"/>
        <v>46</v>
      </c>
      <c r="F51" s="80">
        <f>VLOOKUP($A51,[1]中债登下载数据!$L$4:$M$3654,2,FALSE)/100</f>
        <v>4.8900984500000001E-2</v>
      </c>
      <c r="G51" s="78">
        <f t="shared" si="52"/>
        <v>5.5900984500000001E-2</v>
      </c>
      <c r="H51" s="81">
        <f t="shared" si="53"/>
        <v>5.3400984499999998E-2</v>
      </c>
      <c r="I51" s="82">
        <f t="shared" si="54"/>
        <v>5.1900984500000004E-2</v>
      </c>
      <c r="J51" s="78">
        <f t="shared" si="55"/>
        <v>6.2199999999999998E-2</v>
      </c>
      <c r="K51" s="81">
        <f t="shared" si="55"/>
        <v>5.9700000000000003E-2</v>
      </c>
      <c r="L51" s="82">
        <f t="shared" si="55"/>
        <v>5.8200000000000002E-2</v>
      </c>
      <c r="M51" s="78">
        <f t="shared" si="56"/>
        <v>4.4999999999999998E-2</v>
      </c>
      <c r="N51" s="81">
        <f t="shared" si="57"/>
        <v>4.4999999999999998E-2</v>
      </c>
      <c r="O51" s="81">
        <f t="shared" si="58"/>
        <v>4.4999999999999998E-2</v>
      </c>
      <c r="P51" s="83">
        <f t="shared" si="59"/>
        <v>4.4999999999999998E-2</v>
      </c>
      <c r="Q51" s="83">
        <f t="shared" si="60"/>
        <v>4.4999999999999998E-2</v>
      </c>
      <c r="R51" s="84">
        <f t="shared" si="61"/>
        <v>4.4999999999999998E-2</v>
      </c>
      <c r="S51" s="87"/>
      <c r="T51" s="90">
        <v>46</v>
      </c>
      <c r="U51" s="87">
        <v>0.04</v>
      </c>
      <c r="V51" s="88">
        <v>0</v>
      </c>
      <c r="X51" s="89">
        <f t="shared" si="32"/>
        <v>4.8204166608000004E-2</v>
      </c>
    </row>
    <row r="52" spans="1:24" x14ac:dyDescent="0.15">
      <c r="A52" s="46">
        <f t="shared" si="19"/>
        <v>47</v>
      </c>
      <c r="B52" s="78">
        <f>VLOOKUP($A52,中债登下载数据!$E$4:$F$3654,2,FALSE)/100</f>
        <v>4.6328511900000001E-2</v>
      </c>
      <c r="C52" s="85">
        <f t="shared" si="20"/>
        <v>4.53E-2</v>
      </c>
      <c r="D52" s="86"/>
      <c r="E52" s="46">
        <f t="shared" si="21"/>
        <v>47</v>
      </c>
      <c r="F52" s="80">
        <f>VLOOKUP($A52,[1]中债登下载数据!$L$4:$M$3654,2,FALSE)/100</f>
        <v>4.9045753999999997E-2</v>
      </c>
      <c r="G52" s="78">
        <f t="shared" si="52"/>
        <v>5.6045753999999996E-2</v>
      </c>
      <c r="H52" s="81">
        <f t="shared" si="53"/>
        <v>5.3545753999999994E-2</v>
      </c>
      <c r="I52" s="82">
        <f t="shared" si="54"/>
        <v>5.2045754E-2</v>
      </c>
      <c r="J52" s="78">
        <f t="shared" si="55"/>
        <v>6.2700000000000006E-2</v>
      </c>
      <c r="K52" s="81">
        <f t="shared" si="55"/>
        <v>6.0199999999999997E-2</v>
      </c>
      <c r="L52" s="82">
        <f t="shared" si="55"/>
        <v>5.8700000000000002E-2</v>
      </c>
      <c r="M52" s="78">
        <f t="shared" si="56"/>
        <v>4.4999999999999998E-2</v>
      </c>
      <c r="N52" s="81">
        <f t="shared" si="57"/>
        <v>4.4999999999999998E-2</v>
      </c>
      <c r="O52" s="81">
        <f t="shared" si="58"/>
        <v>4.4999999999999998E-2</v>
      </c>
      <c r="P52" s="83">
        <f t="shared" si="59"/>
        <v>4.4999999999999998E-2</v>
      </c>
      <c r="Q52" s="83">
        <f t="shared" si="60"/>
        <v>4.4999999999999998E-2</v>
      </c>
      <c r="R52" s="84">
        <f t="shared" si="61"/>
        <v>4.4999999999999998E-2</v>
      </c>
      <c r="S52" s="87"/>
      <c r="T52" s="90">
        <v>47</v>
      </c>
      <c r="U52" s="87">
        <v>0.04</v>
      </c>
      <c r="V52" s="88">
        <v>0</v>
      </c>
      <c r="X52" s="89">
        <f t="shared" si="32"/>
        <v>4.8181652376E-2</v>
      </c>
    </row>
    <row r="53" spans="1:24" x14ac:dyDescent="0.15">
      <c r="A53" s="46">
        <f t="shared" si="19"/>
        <v>48</v>
      </c>
      <c r="B53" s="78">
        <f>VLOOKUP($A53,中债登下载数据!$E$4:$F$3654,2,FALSE)/100</f>
        <v>4.6309715699999997E-2</v>
      </c>
      <c r="C53" s="85">
        <f t="shared" si="20"/>
        <v>4.5400000000000003E-2</v>
      </c>
      <c r="D53" s="86"/>
      <c r="E53" s="46">
        <f t="shared" si="21"/>
        <v>48</v>
      </c>
      <c r="F53" s="80">
        <f>VLOOKUP($A53,[1]中债登下载数据!$L$4:$M$3654,2,FALSE)/100</f>
        <v>4.9200084100000006E-2</v>
      </c>
      <c r="G53" s="78">
        <f t="shared" si="52"/>
        <v>5.6200084100000006E-2</v>
      </c>
      <c r="H53" s="81">
        <f t="shared" si="53"/>
        <v>5.3700084100000003E-2</v>
      </c>
      <c r="I53" s="82">
        <f t="shared" si="54"/>
        <v>5.2200084100000009E-2</v>
      </c>
      <c r="J53" s="78">
        <f t="shared" si="55"/>
        <v>6.3500000000000001E-2</v>
      </c>
      <c r="K53" s="81">
        <f t="shared" si="55"/>
        <v>6.0999999999999999E-2</v>
      </c>
      <c r="L53" s="82">
        <f t="shared" si="55"/>
        <v>5.9499999999999997E-2</v>
      </c>
      <c r="M53" s="78">
        <f t="shared" si="56"/>
        <v>4.4999999999999998E-2</v>
      </c>
      <c r="N53" s="81">
        <f t="shared" si="57"/>
        <v>4.4999999999999998E-2</v>
      </c>
      <c r="O53" s="81">
        <f t="shared" si="58"/>
        <v>4.4999999999999998E-2</v>
      </c>
      <c r="P53" s="83">
        <f t="shared" si="59"/>
        <v>4.4999999999999998E-2</v>
      </c>
      <c r="Q53" s="83">
        <f t="shared" si="60"/>
        <v>4.4999999999999998E-2</v>
      </c>
      <c r="R53" s="84">
        <f t="shared" si="61"/>
        <v>4.4999999999999998E-2</v>
      </c>
      <c r="S53" s="87"/>
      <c r="T53" s="90">
        <v>48</v>
      </c>
      <c r="U53" s="87">
        <v>0.04</v>
      </c>
      <c r="V53" s="88">
        <v>0</v>
      </c>
      <c r="X53" s="89">
        <f t="shared" si="32"/>
        <v>4.8162104327999999E-2</v>
      </c>
    </row>
    <row r="54" spans="1:24" x14ac:dyDescent="0.15">
      <c r="A54" s="46">
        <f t="shared" si="19"/>
        <v>49</v>
      </c>
      <c r="B54" s="78">
        <f>VLOOKUP($A54,中债登下载数据!$E$4:$F$3654,2,FALSE)/100</f>
        <v>4.6298061199999997E-2</v>
      </c>
      <c r="C54" s="85">
        <f t="shared" si="20"/>
        <v>4.5699999999999998E-2</v>
      </c>
      <c r="D54" s="86"/>
      <c r="E54" s="46">
        <f t="shared" si="21"/>
        <v>49</v>
      </c>
      <c r="F54" s="80">
        <f>VLOOKUP($A54,[1]中债登下载数据!$L$4:$M$3654,2,FALSE)/100</f>
        <v>4.9368794100000002E-2</v>
      </c>
      <c r="G54" s="78">
        <f t="shared" si="52"/>
        <v>5.6368794100000001E-2</v>
      </c>
      <c r="H54" s="81">
        <f t="shared" si="53"/>
        <v>5.3868794099999999E-2</v>
      </c>
      <c r="I54" s="82">
        <f t="shared" si="54"/>
        <v>5.2368794100000005E-2</v>
      </c>
      <c r="J54" s="78">
        <f t="shared" si="55"/>
        <v>6.4500000000000002E-2</v>
      </c>
      <c r="K54" s="81">
        <f t="shared" si="55"/>
        <v>6.2E-2</v>
      </c>
      <c r="L54" s="82">
        <f t="shared" si="55"/>
        <v>6.0499999999999998E-2</v>
      </c>
      <c r="M54" s="78">
        <f t="shared" si="56"/>
        <v>4.4999999999999998E-2</v>
      </c>
      <c r="N54" s="81">
        <f t="shared" si="57"/>
        <v>4.4999999999999998E-2</v>
      </c>
      <c r="O54" s="81">
        <f t="shared" si="58"/>
        <v>4.4999999999999998E-2</v>
      </c>
      <c r="P54" s="83">
        <f t="shared" si="59"/>
        <v>4.4999999999999998E-2</v>
      </c>
      <c r="Q54" s="83">
        <f t="shared" si="60"/>
        <v>4.4999999999999998E-2</v>
      </c>
      <c r="R54" s="84">
        <f t="shared" si="61"/>
        <v>4.4999999999999998E-2</v>
      </c>
      <c r="S54" s="87"/>
      <c r="T54" s="90">
        <v>49</v>
      </c>
      <c r="U54" s="87">
        <v>0.04</v>
      </c>
      <c r="V54" s="88">
        <v>0</v>
      </c>
      <c r="X54" s="89">
        <f t="shared" si="32"/>
        <v>4.8149983648000001E-2</v>
      </c>
    </row>
    <row r="55" spans="1:24" x14ac:dyDescent="0.15">
      <c r="A55" s="91">
        <v>50</v>
      </c>
      <c r="B55" s="78">
        <f>VLOOKUP($A55,中债登下载数据!$E$4:$F$3654,2,FALSE)/100</f>
        <v>4.6298184700000002E-2</v>
      </c>
      <c r="C55" s="85">
        <f t="shared" si="20"/>
        <v>4.6300000000000001E-2</v>
      </c>
      <c r="D55" s="86"/>
      <c r="E55" s="46">
        <f t="shared" si="21"/>
        <v>50</v>
      </c>
      <c r="F55" s="80">
        <f>VLOOKUP($A55,[1]中债登下载数据!$L$4:$M$3654,2,FALSE)/100</f>
        <v>4.9557292000000003E-2</v>
      </c>
      <c r="G55" s="78">
        <f t="shared" si="52"/>
        <v>5.6557292000000002E-2</v>
      </c>
      <c r="H55" s="81">
        <f t="shared" si="53"/>
        <v>5.4057292E-2</v>
      </c>
      <c r="I55" s="82">
        <f t="shared" si="54"/>
        <v>5.2557292000000005E-2</v>
      </c>
      <c r="J55" s="78">
        <f t="shared" ref="J55:L55" si="62">ROUND((1+G55)^$A55/((1+G54)^$A54)-1,4)</f>
        <v>6.5799999999999997E-2</v>
      </c>
      <c r="K55" s="81">
        <f t="shared" si="62"/>
        <v>6.3299999999999995E-2</v>
      </c>
      <c r="L55" s="82">
        <f t="shared" si="62"/>
        <v>6.1800000000000001E-2</v>
      </c>
      <c r="M55" s="78">
        <f t="shared" si="56"/>
        <v>4.4999999999999998E-2</v>
      </c>
      <c r="N55" s="81">
        <f t="shared" si="57"/>
        <v>4.4999999999999998E-2</v>
      </c>
      <c r="O55" s="81">
        <f t="shared" si="58"/>
        <v>4.4999999999999998E-2</v>
      </c>
      <c r="P55" s="83">
        <f t="shared" si="59"/>
        <v>4.4999999999999998E-2</v>
      </c>
      <c r="Q55" s="83">
        <f t="shared" si="60"/>
        <v>4.4999999999999998E-2</v>
      </c>
      <c r="R55" s="84">
        <f t="shared" si="61"/>
        <v>4.4999999999999998E-2</v>
      </c>
      <c r="S55" s="87"/>
      <c r="T55" s="90">
        <v>50</v>
      </c>
      <c r="U55" s="87">
        <v>0.04</v>
      </c>
      <c r="V55" s="88">
        <v>0</v>
      </c>
      <c r="X55" s="89">
        <f t="shared" si="32"/>
        <v>4.8150112088000005E-2</v>
      </c>
    </row>
    <row r="56" spans="1:24" x14ac:dyDescent="0.15">
      <c r="A56" s="92" t="s">
        <v>7381</v>
      </c>
      <c r="B56" s="93"/>
      <c r="C56" s="94">
        <f>C55</f>
        <v>4.6300000000000001E-2</v>
      </c>
      <c r="D56" s="86"/>
      <c r="E56" s="70" t="s">
        <v>7381</v>
      </c>
      <c r="F56" s="95"/>
      <c r="G56" s="93"/>
      <c r="H56" s="96"/>
      <c r="I56" s="97"/>
      <c r="J56" s="93"/>
      <c r="K56" s="96"/>
      <c r="L56" s="97"/>
      <c r="M56" s="93"/>
      <c r="N56" s="96"/>
      <c r="O56" s="96"/>
      <c r="P56" s="98">
        <f t="shared" ref="P56" si="63">P55</f>
        <v>4.4999999999999998E-2</v>
      </c>
      <c r="Q56" s="98">
        <f>Q55</f>
        <v>4.4999999999999998E-2</v>
      </c>
      <c r="R56" s="99">
        <f>R55</f>
        <v>4.4999999999999998E-2</v>
      </c>
      <c r="S56" s="87"/>
      <c r="T56" s="90" t="s">
        <v>7381</v>
      </c>
      <c r="U56" s="87">
        <v>0</v>
      </c>
      <c r="V56" s="88">
        <v>0</v>
      </c>
    </row>
    <row r="57" spans="1:24" x14ac:dyDescent="0.15"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</row>
    <row r="58" spans="1:24" x14ac:dyDescent="0.15"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</row>
    <row r="59" spans="1:24" x14ac:dyDescent="0.15"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</row>
    <row r="60" spans="1:24" x14ac:dyDescent="0.15"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</row>
    <row r="61" spans="1:24" x14ac:dyDescent="0.15"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</row>
    <row r="62" spans="1:24" x14ac:dyDescent="0.15"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</row>
    <row r="63" spans="1:24" x14ac:dyDescent="0.15"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</row>
    <row r="64" spans="1:24" x14ac:dyDescent="0.15"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</row>
    <row r="65" spans="2:15" x14ac:dyDescent="0.15"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</row>
    <row r="66" spans="2:15" x14ac:dyDescent="0.15"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</row>
    <row r="67" spans="2:15" x14ac:dyDescent="0.15"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</row>
    <row r="68" spans="2:15" x14ac:dyDescent="0.15"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</row>
    <row r="69" spans="2:15" x14ac:dyDescent="0.15"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</row>
  </sheetData>
  <phoneticPr fontId="2" type="noConversion"/>
  <pageMargins left="0.70763888888888904" right="0.70763888888888904" top="0.74791666666666701" bottom="0.74791666666666701" header="0.31388888888888899" footer="0.31388888888888899"/>
  <pageSetup paperSize="9" scale="98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57"/>
  </sheetPr>
  <dimension ref="A1:J69"/>
  <sheetViews>
    <sheetView showGridLines="0" workbookViewId="0">
      <selection activeCell="D21" sqref="D21"/>
    </sheetView>
  </sheetViews>
  <sheetFormatPr defaultColWidth="9" defaultRowHeight="13.5" outlineLevelCol="1" x14ac:dyDescent="0.15"/>
  <cols>
    <col min="1" max="1" width="9" style="33"/>
    <col min="2" max="3" width="15.625" style="60" customWidth="1" outlineLevel="1"/>
    <col min="4" max="5" width="15.625" style="60" customWidth="1"/>
    <col min="6" max="6" width="8.75" style="33" hidden="1" customWidth="1"/>
    <col min="7" max="7" width="16.25" style="129" hidden="1" customWidth="1"/>
    <col min="8" max="8" width="9" style="34"/>
    <col min="9" max="9" width="10.875" style="34" customWidth="1"/>
    <col min="10" max="16384" width="9" style="34"/>
  </cols>
  <sheetData>
    <row r="1" spans="1:10" x14ac:dyDescent="0.15">
      <c r="A1" s="32" t="s">
        <v>7382</v>
      </c>
    </row>
    <row r="2" spans="1:10" x14ac:dyDescent="0.15">
      <c r="A2" s="32"/>
    </row>
    <row r="3" spans="1:10" x14ac:dyDescent="0.15">
      <c r="A3" s="35"/>
      <c r="B3" s="100" t="s">
        <v>7383</v>
      </c>
      <c r="C3" s="37"/>
      <c r="D3" s="101" t="s">
        <v>7370</v>
      </c>
      <c r="E3" s="102"/>
    </row>
    <row r="4" spans="1:10" x14ac:dyDescent="0.15">
      <c r="A4" s="41" t="s">
        <v>7368</v>
      </c>
      <c r="B4" s="70" t="s">
        <v>7384</v>
      </c>
      <c r="C4" s="70" t="s">
        <v>7385</v>
      </c>
      <c r="D4" s="103" t="s">
        <v>7384</v>
      </c>
      <c r="E4" s="103" t="s">
        <v>7385</v>
      </c>
      <c r="G4" s="129" t="s">
        <v>7399</v>
      </c>
    </row>
    <row r="5" spans="1:10" x14ac:dyDescent="0.15">
      <c r="A5" s="46">
        <v>0</v>
      </c>
      <c r="B5" s="78">
        <f>基础情景!$B5*(1+VLOOKUP($A5,参数假设!$A$16:$E$67,参数假设!B$15,FALSE))</f>
        <v>0.10531870290500001</v>
      </c>
      <c r="C5" s="78">
        <f>基础情景!$B5*(1+VLOOKUP($A5,参数假设!$A$16:$E$67,参数假设!C$15,FALSE))</f>
        <v>6.5982801819999999E-3</v>
      </c>
      <c r="D5" s="79">
        <f>ROUND(B5,4)</f>
        <v>0.1053</v>
      </c>
      <c r="E5" s="79">
        <f>ROUND(C5,4)</f>
        <v>6.6E-3</v>
      </c>
      <c r="H5" s="87"/>
      <c r="I5" s="87"/>
      <c r="J5" s="87"/>
    </row>
    <row r="6" spans="1:10" x14ac:dyDescent="0.15">
      <c r="A6" s="46">
        <v>1</v>
      </c>
      <c r="B6" s="78">
        <f>基础情景!$B6*(1+VLOOKUP($A6,参数假设!$A$16:$E$67,参数假设!B$15,FALSE))</f>
        <v>6.8994379817999996E-2</v>
      </c>
      <c r="C6" s="78">
        <f>基础情景!$B6*(1+VLOOKUP($A6,参数假设!$A$16:$E$67,参数假设!C$15,FALSE))</f>
        <v>1.0235429973000002E-2</v>
      </c>
      <c r="D6" s="85">
        <f t="shared" ref="D6:E21" si="0">ROUND((1+B6)^$A6/((1+B5)^$A5)-1,4)</f>
        <v>6.9000000000000006E-2</v>
      </c>
      <c r="E6" s="85">
        <f t="shared" si="0"/>
        <v>1.0200000000000001E-2</v>
      </c>
      <c r="F6" s="86">
        <f>D6+1</f>
        <v>1.069</v>
      </c>
      <c r="G6" s="130">
        <f>PRODUCT($F$5:$F6)^(-A6)</f>
        <v>0.93545369504209541</v>
      </c>
      <c r="H6" s="87"/>
      <c r="I6" s="87"/>
      <c r="J6" s="87"/>
    </row>
    <row r="7" spans="1:10" x14ac:dyDescent="0.15">
      <c r="A7" s="46">
        <f t="shared" ref="A7:A55" si="1">A6+1</f>
        <v>2</v>
      </c>
      <c r="B7" s="78">
        <f>基础情景!$B7*(1+VLOOKUP($A7,参数假设!$A$16:$E$67,参数假设!B$15,FALSE))</f>
        <v>5.9995672279999988E-2</v>
      </c>
      <c r="C7" s="78">
        <f>基础情景!$B7*(1+VLOOKUP($A7,参数假设!$A$16:$E$67,参数假设!C$15,FALSE))</f>
        <v>1.1082003160000001E-2</v>
      </c>
      <c r="D7" s="85">
        <f>ROUND((1+B7)^$A7/((1+B6)^$A6)-1,4)</f>
        <v>5.11E-2</v>
      </c>
      <c r="E7" s="85">
        <f t="shared" si="0"/>
        <v>1.1900000000000001E-2</v>
      </c>
      <c r="F7" s="86">
        <f t="shared" ref="F7:F56" si="2">D7+1</f>
        <v>1.0510999999999999</v>
      </c>
      <c r="G7" s="130">
        <f>PRODUCT($F$5:$F7)^(-A7)</f>
        <v>0.79205714754461054</v>
      </c>
      <c r="H7" s="87"/>
      <c r="I7" s="87"/>
      <c r="J7" s="87"/>
    </row>
    <row r="8" spans="1:10" x14ac:dyDescent="0.15">
      <c r="A8" s="46">
        <f t="shared" si="1"/>
        <v>3</v>
      </c>
      <c r="B8" s="78">
        <f>基础情景!$B8*(1+VLOOKUP($A8,参数假设!$A$16:$E$67,参数假设!B$15,FALSE))</f>
        <v>5.3808925062000003E-2</v>
      </c>
      <c r="C8" s="78">
        <f>基础情景!$B8*(1+VLOOKUP($A8,参数假设!$A$16:$E$67,参数假设!C$15,FALSE))</f>
        <v>1.2211954624E-2</v>
      </c>
      <c r="D8" s="85">
        <f>ROUND((1+B8)^$A8/((1+B7)^$A7)-1,4)</f>
        <v>4.1500000000000002E-2</v>
      </c>
      <c r="E8" s="85">
        <f t="shared" si="0"/>
        <v>1.4500000000000001E-2</v>
      </c>
      <c r="F8" s="86">
        <f t="shared" si="2"/>
        <v>1.0415000000000001</v>
      </c>
      <c r="G8" s="130">
        <f>PRODUCT($F$5:$F8)^(-A8)</f>
        <v>0.62396029288973831</v>
      </c>
      <c r="H8" s="87"/>
      <c r="I8" s="87"/>
      <c r="J8" s="87"/>
    </row>
    <row r="9" spans="1:10" x14ac:dyDescent="0.15">
      <c r="A9" s="46">
        <f t="shared" si="1"/>
        <v>4</v>
      </c>
      <c r="B9" s="78">
        <f>基础情景!$B9*(1+VLOOKUP($A9,参数假设!$A$16:$E$67,参数假设!B$15,FALSE))</f>
        <v>5.1101380365000004E-2</v>
      </c>
      <c r="C9" s="78">
        <f>基础情景!$B9*(1+VLOOKUP($A9,参数假设!$A$16:$E$67,参数假设!C$15,FALSE))</f>
        <v>1.4216173484999999E-2</v>
      </c>
      <c r="D9" s="85">
        <f t="shared" ref="D9:E24" si="3">ROUND((1+B9)^$A9/((1+B8)^$A8)-1,4)</f>
        <v>4.2999999999999997E-2</v>
      </c>
      <c r="E9" s="85">
        <f t="shared" si="0"/>
        <v>2.0299999999999999E-2</v>
      </c>
      <c r="F9" s="86">
        <f t="shared" si="2"/>
        <v>1.0429999999999999</v>
      </c>
      <c r="G9" s="130">
        <f>PRODUCT($F$5:$F9)^(-A9)</f>
        <v>0.45054554939476898</v>
      </c>
      <c r="H9" s="87"/>
      <c r="I9" s="87"/>
      <c r="J9" s="87"/>
    </row>
    <row r="10" spans="1:10" x14ac:dyDescent="0.15">
      <c r="A10" s="46">
        <f t="shared" si="1"/>
        <v>5</v>
      </c>
      <c r="B10" s="78">
        <f>基础情景!$B10*(1+VLOOKUP($A10,参数假设!$A$16:$E$67,参数假设!B$15,FALSE))</f>
        <v>5.0515795330000002E-2</v>
      </c>
      <c r="C10" s="78">
        <f>基础情景!$B10*(1+VLOOKUP($A10,参数假设!$A$16:$E$67,参数假设!C$15,FALSE))</f>
        <v>1.6320487722E-2</v>
      </c>
      <c r="D10" s="85">
        <f t="shared" si="3"/>
        <v>4.82E-2</v>
      </c>
      <c r="E10" s="85">
        <f t="shared" si="0"/>
        <v>2.4799999999999999E-2</v>
      </c>
      <c r="F10" s="86">
        <f t="shared" si="2"/>
        <v>1.0482</v>
      </c>
      <c r="G10" s="130">
        <f>PRODUCT($F$5:$F10)^(-A10)</f>
        <v>0.29171086370559124</v>
      </c>
      <c r="H10" s="87"/>
      <c r="I10" s="87"/>
      <c r="J10" s="87"/>
    </row>
    <row r="11" spans="1:10" x14ac:dyDescent="0.15">
      <c r="A11" s="46">
        <f t="shared" si="1"/>
        <v>6</v>
      </c>
      <c r="B11" s="78">
        <f>基础情景!$B11*(1+VLOOKUP($A11,参数假设!$A$16:$E$67,参数假设!B$15,FALSE))</f>
        <v>4.9850424174999998E-2</v>
      </c>
      <c r="C11" s="78">
        <f>基础情景!$B11*(1+VLOOKUP($A11,参数假设!$A$16:$E$67,参数假设!C$15,FALSE))</f>
        <v>1.8056059149999998E-2</v>
      </c>
      <c r="D11" s="85">
        <f t="shared" si="3"/>
        <v>4.65E-2</v>
      </c>
      <c r="E11" s="85">
        <f t="shared" si="0"/>
        <v>2.6800000000000001E-2</v>
      </c>
      <c r="F11" s="86">
        <f t="shared" si="2"/>
        <v>1.0465</v>
      </c>
      <c r="G11" s="130">
        <f>PRODUCT($F$5:$F11)^(-A11)</f>
        <v>0.1735832149503144</v>
      </c>
      <c r="H11" s="87"/>
      <c r="I11" s="87"/>
      <c r="J11" s="87"/>
    </row>
    <row r="12" spans="1:10" x14ac:dyDescent="0.15">
      <c r="A12" s="46">
        <f t="shared" si="1"/>
        <v>7</v>
      </c>
      <c r="B12" s="78">
        <f>基础情景!$B12*(1+VLOOKUP($A12,参数假设!$A$16:$E$67,参数假设!B$15,FALSE))</f>
        <v>4.8544876293E-2</v>
      </c>
      <c r="C12" s="78">
        <f>基础情景!$B12*(1+VLOOKUP($A12,参数假设!$A$16:$E$67,参数假设!C$15,FALSE))</f>
        <v>1.9733689549999999E-2</v>
      </c>
      <c r="D12" s="85">
        <f t="shared" si="3"/>
        <v>4.07E-2</v>
      </c>
      <c r="E12" s="85">
        <f t="shared" si="0"/>
        <v>2.9899999999999999E-2</v>
      </c>
      <c r="F12" s="86">
        <f t="shared" si="2"/>
        <v>1.0407</v>
      </c>
      <c r="G12" s="130">
        <f>PRODUCT($F$5:$F12)^(-A12)</f>
        <v>9.8057345816988523E-2</v>
      </c>
      <c r="H12" s="87"/>
      <c r="I12" s="87"/>
      <c r="J12" s="87"/>
    </row>
    <row r="13" spans="1:10" x14ac:dyDescent="0.15">
      <c r="A13" s="46">
        <f t="shared" si="1"/>
        <v>8</v>
      </c>
      <c r="B13" s="78">
        <f>基础情景!$B13*(1+VLOOKUP($A13,参数假设!$A$16:$E$67,参数假设!B$15,FALSE))</f>
        <v>4.7671373452999995E-2</v>
      </c>
      <c r="C13" s="78">
        <f>基础情景!$B13*(1+VLOOKUP($A13,参数假设!$A$16:$E$67,参数假设!C$15,FALSE))</f>
        <v>2.1274827822000002E-2</v>
      </c>
      <c r="D13" s="85">
        <f t="shared" si="3"/>
        <v>4.1599999999999998E-2</v>
      </c>
      <c r="E13" s="85">
        <f t="shared" si="0"/>
        <v>3.2099999999999997E-2</v>
      </c>
      <c r="F13" s="86">
        <f t="shared" si="2"/>
        <v>1.0416000000000001</v>
      </c>
      <c r="G13" s="130">
        <f>PRODUCT($F$5:$F13)^(-A13)</f>
        <v>5.0792325511917528E-2</v>
      </c>
      <c r="H13" s="87"/>
      <c r="I13" s="87"/>
      <c r="J13" s="87"/>
    </row>
    <row r="14" spans="1:10" x14ac:dyDescent="0.15">
      <c r="A14" s="46">
        <f t="shared" si="1"/>
        <v>9</v>
      </c>
      <c r="B14" s="78">
        <f>基础情景!$B14*(1+VLOOKUP($A14,参数假设!$A$16:$E$67,参数假设!B$15,FALSE))</f>
        <v>4.5957463928999992E-2</v>
      </c>
      <c r="C14" s="78">
        <f>基础情景!$B14*(1+VLOOKUP($A14,参数假设!$A$16:$E$67,参数假设!C$15,FALSE))</f>
        <v>2.2782332546000001E-2</v>
      </c>
      <c r="D14" s="85">
        <f t="shared" si="3"/>
        <v>3.2300000000000002E-2</v>
      </c>
      <c r="E14" s="85">
        <f t="shared" si="0"/>
        <v>3.49E-2</v>
      </c>
      <c r="F14" s="86">
        <f t="shared" si="2"/>
        <v>1.0323</v>
      </c>
      <c r="G14" s="130">
        <f>PRODUCT($F$5:$F14)^(-A14)</f>
        <v>2.6288724397400438E-2</v>
      </c>
      <c r="H14" s="87"/>
      <c r="I14" s="87"/>
      <c r="J14" s="87"/>
    </row>
    <row r="15" spans="1:10" x14ac:dyDescent="0.15">
      <c r="A15" s="46">
        <f t="shared" si="1"/>
        <v>10</v>
      </c>
      <c r="B15" s="78">
        <f>基础情景!$B15*(1+VLOOKUP($A15,参数假设!$A$16:$E$67,参数假设!B$15,FALSE))</f>
        <v>4.4705155860000005E-2</v>
      </c>
      <c r="C15" s="78">
        <f>基础情景!$B15*(1+VLOOKUP($A15,参数假设!$A$16:$E$67,参数假设!C$15,FALSE))</f>
        <v>2.4705480870000001E-2</v>
      </c>
      <c r="D15" s="85">
        <f t="shared" si="3"/>
        <v>3.3500000000000002E-2</v>
      </c>
      <c r="E15" s="85">
        <f t="shared" si="0"/>
        <v>4.2200000000000001E-2</v>
      </c>
      <c r="F15" s="86">
        <f t="shared" si="2"/>
        <v>1.0335000000000001</v>
      </c>
      <c r="G15" s="130">
        <f>PRODUCT($F$5:$F15)^(-A15)</f>
        <v>1.2620702765089179E-2</v>
      </c>
      <c r="H15" s="87"/>
      <c r="I15" s="87"/>
      <c r="J15" s="87"/>
    </row>
    <row r="16" spans="1:10" x14ac:dyDescent="0.15">
      <c r="A16" s="46">
        <f t="shared" si="1"/>
        <v>11</v>
      </c>
      <c r="B16" s="78">
        <f>基础情景!$B16*(1+VLOOKUP($A16,参数假设!$A$16:$E$67,参数假设!B$15,FALSE))</f>
        <v>4.4694185444999993E-2</v>
      </c>
      <c r="C16" s="78">
        <f>基础情景!$B16*(1+VLOOKUP($A16,参数假设!$A$16:$E$67,参数假设!C$15,FALSE))</f>
        <v>2.5313520960000002E-2</v>
      </c>
      <c r="D16" s="85">
        <f t="shared" si="3"/>
        <v>4.4600000000000001E-2</v>
      </c>
      <c r="E16" s="85">
        <f t="shared" si="0"/>
        <v>3.1399999999999997E-2</v>
      </c>
      <c r="F16" s="86">
        <f t="shared" si="2"/>
        <v>1.0446</v>
      </c>
      <c r="G16" s="130">
        <f>PRODUCT($F$5:$F16)^(-A16)</f>
        <v>5.0436118447080378E-3</v>
      </c>
      <c r="H16" s="87"/>
      <c r="I16" s="87"/>
      <c r="J16" s="87"/>
    </row>
    <row r="17" spans="1:10" x14ac:dyDescent="0.15">
      <c r="A17" s="46">
        <f t="shared" si="1"/>
        <v>12</v>
      </c>
      <c r="B17" s="78">
        <f>基础情景!$B17*(1+VLOOKUP($A17,参数假设!$A$16:$E$67,参数假设!B$15,FALSE))</f>
        <v>4.4837044962000007E-2</v>
      </c>
      <c r="C17" s="78">
        <f>基础情景!$B17*(1+VLOOKUP($A17,参数假设!$A$16:$E$67,参数假设!C$15,FALSE))</f>
        <v>2.6659864571999998E-2</v>
      </c>
      <c r="D17" s="85">
        <f t="shared" si="3"/>
        <v>4.6399999999999997E-2</v>
      </c>
      <c r="E17" s="85">
        <f t="shared" si="0"/>
        <v>4.1599999999999998E-2</v>
      </c>
      <c r="F17" s="86">
        <f t="shared" si="2"/>
        <v>1.0464</v>
      </c>
      <c r="G17" s="130">
        <f>PRODUCT($F$5:$F17)^(-A17)</f>
        <v>1.8093692971266778E-3</v>
      </c>
      <c r="H17" s="87"/>
      <c r="I17" s="87"/>
      <c r="J17" s="87"/>
    </row>
    <row r="18" spans="1:10" x14ac:dyDescent="0.15">
      <c r="A18" s="46">
        <f t="shared" si="1"/>
        <v>13</v>
      </c>
      <c r="B18" s="78">
        <f>基础情景!$B18*(1+VLOOKUP($A18,参数假设!$A$16:$E$67,参数假设!B$15,FALSE))</f>
        <v>4.5194638172E-2</v>
      </c>
      <c r="C18" s="78">
        <f>基础情景!$B18*(1+VLOOKUP($A18,参数假设!$A$16:$E$67,参数假设!C$15,FALSE))</f>
        <v>2.8194820143999995E-2</v>
      </c>
      <c r="D18" s="85">
        <f t="shared" si="3"/>
        <v>4.9500000000000002E-2</v>
      </c>
      <c r="E18" s="85">
        <f t="shared" si="0"/>
        <v>4.6800000000000001E-2</v>
      </c>
      <c r="F18" s="86">
        <f t="shared" si="2"/>
        <v>1.0495000000000001</v>
      </c>
      <c r="G18" s="130">
        <f>PRODUCT($F$5:$F18)^(-A18)</f>
        <v>5.7044799762391292E-4</v>
      </c>
      <c r="H18" s="87"/>
      <c r="I18" s="87"/>
      <c r="J18" s="87"/>
    </row>
    <row r="19" spans="1:10" x14ac:dyDescent="0.15">
      <c r="A19" s="46">
        <f t="shared" si="1"/>
        <v>14</v>
      </c>
      <c r="B19" s="78">
        <f>基础情景!$B19*(1+VLOOKUP($A19,参数假设!$A$16:$E$67,参数假设!B$15,FALSE))</f>
        <v>4.5433179585000004E-2</v>
      </c>
      <c r="C19" s="78">
        <f>基础情景!$B19*(1+VLOOKUP($A19,参数假设!$A$16:$E$67,参数假设!C$15,FALSE))</f>
        <v>2.9722640849999999E-2</v>
      </c>
      <c r="D19" s="85">
        <f t="shared" si="3"/>
        <v>4.8500000000000001E-2</v>
      </c>
      <c r="E19" s="85">
        <f t="shared" si="0"/>
        <v>4.9799999999999997E-2</v>
      </c>
      <c r="F19" s="86">
        <f t="shared" si="2"/>
        <v>1.0485</v>
      </c>
      <c r="G19" s="130">
        <f>PRODUCT($F$5:$F19)^(-A19)</f>
        <v>1.6547642559384913E-4</v>
      </c>
      <c r="H19" s="87"/>
      <c r="I19" s="87"/>
      <c r="J19" s="87"/>
    </row>
    <row r="20" spans="1:10" x14ac:dyDescent="0.15">
      <c r="A20" s="46">
        <f t="shared" si="1"/>
        <v>15</v>
      </c>
      <c r="B20" s="78">
        <f>基础情景!$B20*(1+VLOOKUP($A20,参数假设!$A$16:$E$67,参数假设!B$15,FALSE))</f>
        <v>4.5210687270000001E-2</v>
      </c>
      <c r="C20" s="78">
        <f>基础情景!$B20*(1+VLOOKUP($A20,参数假设!$A$16:$E$67,参数假设!C$15,FALSE))</f>
        <v>3.1001614128E-2</v>
      </c>
      <c r="D20" s="85">
        <f t="shared" si="3"/>
        <v>4.2099999999999999E-2</v>
      </c>
      <c r="E20" s="85">
        <f t="shared" si="0"/>
        <v>4.9099999999999998E-2</v>
      </c>
      <c r="F20" s="86">
        <f t="shared" si="2"/>
        <v>1.0421</v>
      </c>
      <c r="G20" s="130">
        <f>PRODUCT($F$5:$F20)^(-A20)</f>
        <v>4.7863551073125099E-5</v>
      </c>
      <c r="H20" s="87"/>
      <c r="I20" s="87"/>
      <c r="J20" s="87"/>
    </row>
    <row r="21" spans="1:10" x14ac:dyDescent="0.15">
      <c r="A21" s="46">
        <f t="shared" si="1"/>
        <v>16</v>
      </c>
      <c r="B21" s="78">
        <f>基础情景!$B21*(1+VLOOKUP($A21,参数假设!$A$16:$E$67,参数假设!B$15,FALSE))</f>
        <v>4.5435031005000001E-2</v>
      </c>
      <c r="C21" s="78">
        <f>基础情景!$B21*(1+VLOOKUP($A21,参数假设!$A$16:$E$67,参数假设!C$15,FALSE))</f>
        <v>3.1155449831999998E-2</v>
      </c>
      <c r="D21" s="85">
        <f t="shared" si="3"/>
        <v>4.8800000000000003E-2</v>
      </c>
      <c r="E21" s="85">
        <f t="shared" si="0"/>
        <v>3.3500000000000002E-2</v>
      </c>
      <c r="F21" s="86">
        <f t="shared" si="2"/>
        <v>1.0488</v>
      </c>
      <c r="G21" s="130">
        <f>PRODUCT($F$5:$F21)^(-A21)</f>
        <v>1.1505947427266657E-5</v>
      </c>
      <c r="H21" s="87"/>
      <c r="I21" s="87"/>
      <c r="J21" s="87"/>
    </row>
    <row r="22" spans="1:10" x14ac:dyDescent="0.15">
      <c r="A22" s="46">
        <f t="shared" si="1"/>
        <v>17</v>
      </c>
      <c r="B22" s="78">
        <f>基础情景!$B22*(1+VLOOKUP($A22,参数假设!$A$16:$E$67,参数假设!B$15,FALSE))</f>
        <v>4.5545456355000007E-2</v>
      </c>
      <c r="C22" s="78">
        <f>基础情景!$B22*(1+VLOOKUP($A22,参数假设!$A$16:$E$67,参数假设!C$15,FALSE))</f>
        <v>3.1664936322999999E-2</v>
      </c>
      <c r="D22" s="85">
        <f t="shared" si="3"/>
        <v>4.7300000000000002E-2</v>
      </c>
      <c r="E22" s="85">
        <f t="shared" si="3"/>
        <v>3.9899999999999998E-2</v>
      </c>
      <c r="F22" s="86">
        <f t="shared" si="2"/>
        <v>1.0472999999999999</v>
      </c>
      <c r="G22" s="130">
        <f>PRODUCT($F$5:$F22)^(-A22)</f>
        <v>2.5764473636598691E-6</v>
      </c>
      <c r="H22" s="87"/>
      <c r="I22" s="87"/>
      <c r="J22" s="87"/>
    </row>
    <row r="23" spans="1:10" x14ac:dyDescent="0.15">
      <c r="A23" s="46">
        <f t="shared" si="1"/>
        <v>18</v>
      </c>
      <c r="B23" s="78">
        <f>基础情景!$B23*(1+VLOOKUP($A23,参数假设!$A$16:$E$67,参数假设!B$15,FALSE))</f>
        <v>4.5578178135000008E-2</v>
      </c>
      <c r="C23" s="78">
        <f>基础情景!$B23*(1+VLOOKUP($A23,参数假设!$A$16:$E$67,参数假设!C$15,FALSE))</f>
        <v>3.2121763638000005E-2</v>
      </c>
      <c r="D23" s="85">
        <f t="shared" si="3"/>
        <v>4.6100000000000002E-2</v>
      </c>
      <c r="E23" s="85">
        <f t="shared" si="3"/>
        <v>3.9899999999999998E-2</v>
      </c>
      <c r="F23" s="86">
        <f t="shared" si="2"/>
        <v>1.0461</v>
      </c>
      <c r="G23" s="130">
        <f>PRODUCT($F$5:$F23)^(-A23)</f>
        <v>5.3695783303124528E-7</v>
      </c>
      <c r="H23" s="87"/>
      <c r="I23" s="87"/>
      <c r="J23" s="87"/>
    </row>
    <row r="24" spans="1:10" x14ac:dyDescent="0.15">
      <c r="A24" s="46">
        <f t="shared" si="1"/>
        <v>19</v>
      </c>
      <c r="B24" s="78">
        <f>基础情景!$B24*(1+VLOOKUP($A24,参数假设!$A$16:$E$67,参数假设!B$15,FALSE))</f>
        <v>4.5137740439999997E-2</v>
      </c>
      <c r="C24" s="78">
        <f>基础情景!$B24*(1+VLOOKUP($A24,参数假设!$A$16:$E$67,参数假设!C$15,FALSE))</f>
        <v>3.2551255124999998E-2</v>
      </c>
      <c r="D24" s="85">
        <f t="shared" si="3"/>
        <v>3.7199999999999997E-2</v>
      </c>
      <c r="E24" s="85">
        <f t="shared" si="3"/>
        <v>4.0300000000000002E-2</v>
      </c>
      <c r="F24" s="86">
        <f t="shared" si="2"/>
        <v>1.0371999999999999</v>
      </c>
      <c r="G24" s="130">
        <f>PRODUCT($F$5:$F24)^(-A24)</f>
        <v>1.2028621844589235E-7</v>
      </c>
      <c r="H24" s="87"/>
      <c r="I24" s="87"/>
      <c r="J24" s="87"/>
    </row>
    <row r="25" spans="1:10" x14ac:dyDescent="0.15">
      <c r="A25" s="46">
        <f t="shared" si="1"/>
        <v>20</v>
      </c>
      <c r="B25" s="78">
        <f>基础情景!$B25*(1+VLOOKUP($A25,参数假设!$A$16:$E$67,参数假设!B$15,FALSE))</f>
        <v>4.5133046400000008E-2</v>
      </c>
      <c r="C25" s="78">
        <f>基础情景!$B25*(1+VLOOKUP($A25,参数假设!$A$16:$E$67,参数假设!C$15,FALSE))</f>
        <v>3.2981841600000006E-2</v>
      </c>
      <c r="D25" s="85">
        <f t="shared" ref="D25:E40" si="4">ROUND((1+B25)^$A25/((1+B24)^$A24)-1,4)</f>
        <v>4.4999999999999998E-2</v>
      </c>
      <c r="E25" s="85">
        <f t="shared" si="4"/>
        <v>4.1200000000000001E-2</v>
      </c>
      <c r="F25" s="86">
        <f t="shared" si="2"/>
        <v>1.0449999999999999</v>
      </c>
      <c r="G25" s="130">
        <f>PRODUCT($F$5:$F25)^(-A25)</f>
        <v>2.1562092171085916E-8</v>
      </c>
      <c r="H25" s="87"/>
      <c r="I25" s="87"/>
      <c r="J25" s="87"/>
    </row>
    <row r="26" spans="1:10" x14ac:dyDescent="0.15">
      <c r="A26" s="46">
        <f t="shared" si="1"/>
        <v>21</v>
      </c>
      <c r="B26" s="78">
        <f>基础情景!$B26*(1+VLOOKUP($A26,参数假设!$A$16:$E$67,参数假设!B$15,FALSE))</f>
        <v>4.5190371616000001E-2</v>
      </c>
      <c r="C26" s="78">
        <f>基础情景!$B26*(1+VLOOKUP($A26,参数假设!$A$16:$E$67,参数假设!C$15,FALSE))</f>
        <v>3.3023733104000003E-2</v>
      </c>
      <c r="D26" s="85">
        <f t="shared" si="4"/>
        <v>4.6300000000000001E-2</v>
      </c>
      <c r="E26" s="85">
        <f>ROUND((1+C26)^$A26/((1+C25)^$A25)-1,4)</f>
        <v>3.39E-2</v>
      </c>
      <c r="F26" s="86">
        <f t="shared" si="2"/>
        <v>1.0463</v>
      </c>
      <c r="G26" s="130">
        <f>PRODUCT($F$5:$F26)^(-A26)</f>
        <v>3.448217974614536E-9</v>
      </c>
      <c r="H26" s="87"/>
      <c r="I26" s="87"/>
      <c r="J26" s="87"/>
    </row>
    <row r="27" spans="1:10" x14ac:dyDescent="0.15">
      <c r="A27" s="46">
        <f t="shared" si="1"/>
        <v>22</v>
      </c>
      <c r="B27" s="78">
        <f>基础情景!$B27*(1+VLOOKUP($A27,参数假设!$A$16:$E$67,参数假设!B$15,FALSE))</f>
        <v>4.5332963104E-2</v>
      </c>
      <c r="C27" s="78">
        <f>基础情景!$B27*(1+VLOOKUP($A27,参数假设!$A$16:$E$67,参数假设!C$15,FALSE))</f>
        <v>3.3127934576000002E-2</v>
      </c>
      <c r="D27" s="85">
        <f t="shared" si="4"/>
        <v>4.8300000000000003E-2</v>
      </c>
      <c r="E27" s="85">
        <f t="shared" si="4"/>
        <v>3.5299999999999998E-2</v>
      </c>
      <c r="F27" s="86">
        <f t="shared" si="2"/>
        <v>1.0483</v>
      </c>
      <c r="G27" s="130">
        <f>PRODUCT($F$5:$F27)^(-A27)</f>
        <v>4.8299222914126142E-10</v>
      </c>
      <c r="H27" s="87"/>
      <c r="I27" s="87"/>
      <c r="J27" s="87"/>
    </row>
    <row r="28" spans="1:10" x14ac:dyDescent="0.15">
      <c r="A28" s="46">
        <f t="shared" si="1"/>
        <v>23</v>
      </c>
      <c r="B28" s="78">
        <f>基础情景!$B28*(1+VLOOKUP($A28,参数假设!$A$16:$E$67,参数假设!B$15,FALSE))</f>
        <v>4.5546996768000003E-2</v>
      </c>
      <c r="C28" s="78">
        <f>基础情景!$B28*(1+VLOOKUP($A28,参数假设!$A$16:$E$67,参数假设!C$15,FALSE))</f>
        <v>3.3284343792000001E-2</v>
      </c>
      <c r="D28" s="85">
        <f t="shared" si="4"/>
        <v>5.0299999999999997E-2</v>
      </c>
      <c r="E28" s="85">
        <f t="shared" si="4"/>
        <v>3.6700000000000003E-2</v>
      </c>
      <c r="F28" s="86">
        <f t="shared" si="2"/>
        <v>1.0503</v>
      </c>
      <c r="G28" s="130">
        <f>PRODUCT($F$5:$F28)^(-A28)</f>
        <v>5.892172747926613E-11</v>
      </c>
      <c r="H28" s="87"/>
      <c r="I28" s="87"/>
      <c r="J28" s="87"/>
    </row>
    <row r="29" spans="1:10" x14ac:dyDescent="0.15">
      <c r="A29" s="46">
        <f t="shared" si="1"/>
        <v>24</v>
      </c>
      <c r="B29" s="78">
        <f>基础情景!$B29*(1+VLOOKUP($A29,参数假设!$A$16:$E$67,参数假设!B$15,FALSE))</f>
        <v>4.5818164600000003E-2</v>
      </c>
      <c r="C29" s="78">
        <f>基础情景!$B29*(1+VLOOKUP($A29,参数假设!$A$16:$E$67,参数假设!C$15,FALSE))</f>
        <v>3.3482504900000001E-2</v>
      </c>
      <c r="D29" s="85">
        <f t="shared" si="4"/>
        <v>5.21E-2</v>
      </c>
      <c r="E29" s="85">
        <f t="shared" si="4"/>
        <v>3.8100000000000002E-2</v>
      </c>
      <c r="F29" s="86">
        <f t="shared" si="2"/>
        <v>1.0521</v>
      </c>
      <c r="G29" s="130">
        <f>PRODUCT($F$5:$F29)^(-A29)</f>
        <v>6.2536899399195798E-12</v>
      </c>
      <c r="H29" s="87"/>
      <c r="I29" s="87"/>
      <c r="J29" s="87"/>
    </row>
    <row r="30" spans="1:10" x14ac:dyDescent="0.15">
      <c r="A30" s="46">
        <f t="shared" si="1"/>
        <v>25</v>
      </c>
      <c r="B30" s="78">
        <f>基础情景!$B30*(1+VLOOKUP($A30,参数假设!$A$16:$E$67,参数假设!B$15,FALSE))</f>
        <v>4.6131356752000002E-2</v>
      </c>
      <c r="C30" s="78">
        <f>基础情景!$B30*(1+VLOOKUP($A30,参数假设!$A$16:$E$67,参数假设!C$15,FALSE))</f>
        <v>3.3711376087999997E-2</v>
      </c>
      <c r="D30" s="85">
        <f t="shared" si="4"/>
        <v>5.3699999999999998E-2</v>
      </c>
      <c r="E30" s="85">
        <f t="shared" si="4"/>
        <v>3.9199999999999999E-2</v>
      </c>
      <c r="F30" s="86">
        <f t="shared" si="2"/>
        <v>1.0537000000000001</v>
      </c>
      <c r="G30" s="130">
        <f>PRODUCT($F$5:$F30)^(-A30)</f>
        <v>5.7727691601743982E-13</v>
      </c>
      <c r="H30" s="87"/>
      <c r="I30" s="87"/>
      <c r="J30" s="87"/>
    </row>
    <row r="31" spans="1:10" x14ac:dyDescent="0.15">
      <c r="A31" s="46">
        <f t="shared" si="1"/>
        <v>26</v>
      </c>
      <c r="B31" s="78">
        <f>基础情景!$B31*(1+VLOOKUP($A31,参数假设!$A$16:$E$67,参数假设!B$15,FALSE))</f>
        <v>4.6470342880000001E-2</v>
      </c>
      <c r="C31" s="78">
        <f>基础情景!$B31*(1+VLOOKUP($A31,参数假设!$A$16:$E$67,参数假设!C$15,FALSE))</f>
        <v>3.3959096720000005E-2</v>
      </c>
      <c r="D31" s="85">
        <f t="shared" si="4"/>
        <v>5.5E-2</v>
      </c>
      <c r="E31" s="85">
        <f t="shared" si="4"/>
        <v>4.02E-2</v>
      </c>
      <c r="F31" s="86">
        <f t="shared" si="2"/>
        <v>1.0549999999999999</v>
      </c>
      <c r="G31" s="130">
        <f>PRODUCT($F$5:$F31)^(-A31)</f>
        <v>4.6481015584807083E-14</v>
      </c>
      <c r="H31" s="87"/>
      <c r="I31" s="87"/>
      <c r="J31" s="87"/>
    </row>
    <row r="32" spans="1:10" x14ac:dyDescent="0.15">
      <c r="A32" s="46">
        <f t="shared" si="1"/>
        <v>27</v>
      </c>
      <c r="B32" s="78">
        <f>基础情景!$B32*(1+VLOOKUP($A32,参数假设!$A$16:$E$67,参数假设!B$15,FALSE))</f>
        <v>4.6817460352000004E-2</v>
      </c>
      <c r="C32" s="78">
        <f>基础情景!$B32*(1+VLOOKUP($A32,参数假设!$A$16:$E$67,参数假设!C$15,FALSE))</f>
        <v>3.4212759487999997E-2</v>
      </c>
      <c r="D32" s="85">
        <f t="shared" si="4"/>
        <v>5.5899999999999998E-2</v>
      </c>
      <c r="E32" s="85">
        <f t="shared" si="4"/>
        <v>4.0800000000000003E-2</v>
      </c>
      <c r="F32" s="86">
        <f t="shared" si="2"/>
        <v>1.0559000000000001</v>
      </c>
      <c r="G32" s="130">
        <f>PRODUCT($F$5:$F32)^(-A32)</f>
        <v>3.2859669413106299E-15</v>
      </c>
      <c r="H32" s="87"/>
      <c r="I32" s="87"/>
      <c r="J32" s="87"/>
    </row>
    <row r="33" spans="1:10" x14ac:dyDescent="0.15">
      <c r="A33" s="46">
        <f t="shared" si="1"/>
        <v>28</v>
      </c>
      <c r="B33" s="78">
        <f>基础情景!$B33*(1+VLOOKUP($A33,参数假设!$A$16:$E$67,参数假设!B$15,FALSE))</f>
        <v>4.7153326064000002E-2</v>
      </c>
      <c r="C33" s="78">
        <f>基础情景!$B33*(1+VLOOKUP($A33,参数假设!$A$16:$E$67,参数假设!C$15,FALSE))</f>
        <v>3.4458199815999999E-2</v>
      </c>
      <c r="D33" s="85">
        <f t="shared" si="4"/>
        <v>5.6300000000000003E-2</v>
      </c>
      <c r="E33" s="85">
        <f t="shared" si="4"/>
        <v>4.1099999999999998E-2</v>
      </c>
      <c r="F33" s="86">
        <f t="shared" si="2"/>
        <v>1.0563</v>
      </c>
      <c r="G33" s="130">
        <f>PRODUCT($F$5:$F33)^(-A33)</f>
        <v>2.0615765895786054E-16</v>
      </c>
      <c r="H33" s="87"/>
      <c r="I33" s="87"/>
      <c r="J33" s="87"/>
    </row>
    <row r="34" spans="1:10" x14ac:dyDescent="0.15">
      <c r="A34" s="46">
        <f t="shared" si="1"/>
        <v>29</v>
      </c>
      <c r="B34" s="78">
        <f>基础情景!$B34*(1+VLOOKUP($A34,参数假设!$A$16:$E$67,参数假设!B$15,FALSE))</f>
        <v>4.7456603584000001E-2</v>
      </c>
      <c r="C34" s="78">
        <f>基础情景!$B34*(1+VLOOKUP($A34,参数假设!$A$16:$E$67,参数假设!C$15,FALSE))</f>
        <v>3.4679825696000005E-2</v>
      </c>
      <c r="D34" s="85">
        <f t="shared" si="4"/>
        <v>5.6000000000000001E-2</v>
      </c>
      <c r="E34" s="85">
        <f t="shared" si="4"/>
        <v>4.0899999999999999E-2</v>
      </c>
      <c r="F34" s="86">
        <f t="shared" si="2"/>
        <v>1.056</v>
      </c>
      <c r="G34" s="130">
        <f>PRODUCT($F$5:$F34)^(-A34)</f>
        <v>1.1687959135728484E-17</v>
      </c>
      <c r="H34" s="87"/>
      <c r="I34" s="87"/>
      <c r="J34" s="87"/>
    </row>
    <row r="35" spans="1:10" x14ac:dyDescent="0.15">
      <c r="A35" s="46">
        <f t="shared" si="1"/>
        <v>30</v>
      </c>
      <c r="B35" s="78">
        <f>基础情景!$B35*(1+VLOOKUP($A35,参数假设!$A$16:$E$67,参数假设!B$15,FALSE))</f>
        <v>4.7703870656E-2</v>
      </c>
      <c r="C35" s="78">
        <f>基础情景!$B35*(1+VLOOKUP($A35,参数假设!$A$16:$E$67,参数假设!C$15,FALSE))</f>
        <v>3.4860520863999996E-2</v>
      </c>
      <c r="D35" s="85">
        <f t="shared" si="4"/>
        <v>5.4899999999999997E-2</v>
      </c>
      <c r="E35" s="85">
        <f t="shared" si="4"/>
        <v>4.0099999999999997E-2</v>
      </c>
      <c r="F35" s="86">
        <f t="shared" si="2"/>
        <v>1.0548999999999999</v>
      </c>
      <c r="G35" s="130">
        <f>PRODUCT($F$5:$F35)^(-A35)</f>
        <v>6.130964970930052E-19</v>
      </c>
      <c r="H35" s="87"/>
      <c r="I35" s="87"/>
      <c r="J35" s="87"/>
    </row>
    <row r="36" spans="1:10" x14ac:dyDescent="0.15">
      <c r="A36" s="46">
        <f t="shared" si="1"/>
        <v>31</v>
      </c>
      <c r="B36" s="78">
        <f>基础情景!$B36*(1+VLOOKUP($A36,参数假设!$A$16:$E$67,参数假设!B$15,FALSE))</f>
        <v>4.7886718359999997E-2</v>
      </c>
      <c r="C36" s="78">
        <f>基础情景!$B36*(1+VLOOKUP($A36,参数假设!$A$16:$E$67,参数假设!C$15,FALSE))</f>
        <v>3.4994140339999993E-2</v>
      </c>
      <c r="D36" s="85">
        <f t="shared" si="4"/>
        <v>5.3400000000000003E-2</v>
      </c>
      <c r="E36" s="85">
        <f t="shared" si="4"/>
        <v>3.9E-2</v>
      </c>
      <c r="F36" s="86">
        <f t="shared" si="2"/>
        <v>1.0533999999999999</v>
      </c>
      <c r="G36" s="130">
        <f>PRODUCT($F$5:$F36)^(-A36)</f>
        <v>3.0203253514621846E-20</v>
      </c>
      <c r="H36" s="87"/>
      <c r="I36" s="87"/>
      <c r="J36" s="87"/>
    </row>
    <row r="37" spans="1:10" x14ac:dyDescent="0.15">
      <c r="A37" s="46">
        <f t="shared" si="1"/>
        <v>32</v>
      </c>
      <c r="B37" s="78">
        <f>基础情景!$B37*(1+VLOOKUP($A37,参数假设!$A$16:$E$67,参数假设!B$15,FALSE))</f>
        <v>4.8017704280000004E-2</v>
      </c>
      <c r="C37" s="78">
        <f>基础情景!$B37*(1+VLOOKUP($A37,参数假设!$A$16:$E$67,参数假设!C$15,FALSE))</f>
        <v>3.5089860820000006E-2</v>
      </c>
      <c r="D37" s="85">
        <f t="shared" si="4"/>
        <v>5.21E-2</v>
      </c>
      <c r="E37" s="85">
        <f t="shared" si="4"/>
        <v>3.8100000000000002E-2</v>
      </c>
      <c r="F37" s="86">
        <f t="shared" si="2"/>
        <v>1.0521</v>
      </c>
      <c r="G37" s="130">
        <f>PRODUCT($F$5:$F37)^(-A37)</f>
        <v>1.3949331092574603E-21</v>
      </c>
      <c r="H37" s="87"/>
      <c r="I37" s="87"/>
      <c r="J37" s="87"/>
    </row>
    <row r="38" spans="1:10" x14ac:dyDescent="0.15">
      <c r="A38" s="46">
        <f t="shared" si="1"/>
        <v>33</v>
      </c>
      <c r="B38" s="78">
        <f>基础情景!$B38*(1+VLOOKUP($A38,参数假设!$A$16:$E$67,参数假设!B$15,FALSE))</f>
        <v>4.8103792047999999E-2</v>
      </c>
      <c r="C38" s="78">
        <f>基础情景!$B38*(1+VLOOKUP($A38,参数假设!$A$16:$E$67,参数假设!C$15,FALSE))</f>
        <v>3.5152771111999999E-2</v>
      </c>
      <c r="D38" s="85">
        <f t="shared" si="4"/>
        <v>5.0900000000000001E-2</v>
      </c>
      <c r="E38" s="85">
        <f t="shared" si="4"/>
        <v>3.7199999999999997E-2</v>
      </c>
      <c r="F38" s="86">
        <f t="shared" si="2"/>
        <v>1.0508999999999999</v>
      </c>
      <c r="G38" s="130">
        <f>PRODUCT($F$5:$F38)^(-A38)</f>
        <v>6.0435864456706945E-23</v>
      </c>
      <c r="H38" s="87"/>
      <c r="I38" s="87"/>
      <c r="J38" s="87"/>
    </row>
    <row r="39" spans="1:10" x14ac:dyDescent="0.15">
      <c r="A39" s="46">
        <f t="shared" si="1"/>
        <v>34</v>
      </c>
      <c r="B39" s="78">
        <f>基础情景!$B39*(1+VLOOKUP($A39,参数假设!$A$16:$E$67,参数假设!B$15,FALSE))</f>
        <v>4.8152695552000004E-2</v>
      </c>
      <c r="C39" s="78">
        <f>基础情景!$B39*(1+VLOOKUP($A39,参数假设!$A$16:$E$67,参数假设!C$15,FALSE))</f>
        <v>3.5188508287999999E-2</v>
      </c>
      <c r="D39" s="85">
        <f t="shared" si="4"/>
        <v>4.9799999999999997E-2</v>
      </c>
      <c r="E39" s="85">
        <f t="shared" si="4"/>
        <v>3.6400000000000002E-2</v>
      </c>
      <c r="F39" s="86">
        <f t="shared" si="2"/>
        <v>1.0498000000000001</v>
      </c>
      <c r="G39" s="130">
        <f>PRODUCT($F$5:$F39)^(-A39)</f>
        <v>2.4568424818125791E-24</v>
      </c>
      <c r="H39" s="87"/>
      <c r="I39" s="87"/>
      <c r="J39" s="87"/>
    </row>
    <row r="40" spans="1:10" x14ac:dyDescent="0.15">
      <c r="A40" s="46">
        <f t="shared" si="1"/>
        <v>35</v>
      </c>
      <c r="B40" s="78">
        <f>基础情景!$B40*(1+VLOOKUP($A40,参数假设!$A$16:$E$67,参数假设!B$15,FALSE))</f>
        <v>4.8172869056000003E-2</v>
      </c>
      <c r="C40" s="78">
        <f>基础情景!$B40*(1+VLOOKUP($A40,参数假设!$A$16:$E$67,参数假设!C$15,FALSE))</f>
        <v>3.5203250463999997E-2</v>
      </c>
      <c r="D40" s="85">
        <f t="shared" si="4"/>
        <v>4.8899999999999999E-2</v>
      </c>
      <c r="E40" s="85">
        <f t="shared" si="4"/>
        <v>3.5700000000000003E-2</v>
      </c>
      <c r="F40" s="86">
        <f t="shared" si="2"/>
        <v>1.0488999999999999</v>
      </c>
      <c r="G40" s="130">
        <f>PRODUCT($F$5:$F40)^(-A40)</f>
        <v>9.338640482300707E-26</v>
      </c>
      <c r="H40" s="87"/>
      <c r="I40" s="87"/>
      <c r="J40" s="87"/>
    </row>
    <row r="41" spans="1:10" x14ac:dyDescent="0.15">
      <c r="A41" s="46">
        <f t="shared" si="1"/>
        <v>36</v>
      </c>
      <c r="B41" s="78">
        <f>基础情景!$B41*(1+VLOOKUP($A41,参数假设!$A$16:$E$67,参数假设!B$15,FALSE))</f>
        <v>4.8173497007999999E-2</v>
      </c>
      <c r="C41" s="78">
        <f>基础情景!$B41*(1+VLOOKUP($A41,参数假设!$A$16:$E$67,参数假设!C$15,FALSE))</f>
        <v>3.5203709351999998E-2</v>
      </c>
      <c r="D41" s="85">
        <f t="shared" ref="D41:E55" si="5">ROUND((1+B41)^$A41/((1+B40)^$A40)-1,4)</f>
        <v>4.82E-2</v>
      </c>
      <c r="E41" s="85">
        <f t="shared" si="5"/>
        <v>3.5200000000000002E-2</v>
      </c>
      <c r="F41" s="86">
        <f t="shared" si="2"/>
        <v>1.0482</v>
      </c>
      <c r="G41" s="130">
        <f>PRODUCT($F$5:$F41)^(-A41)</f>
        <v>3.3049075135376485E-27</v>
      </c>
      <c r="H41" s="87"/>
      <c r="I41" s="87"/>
      <c r="J41" s="87"/>
    </row>
    <row r="42" spans="1:10" x14ac:dyDescent="0.15">
      <c r="A42" s="46">
        <f t="shared" si="1"/>
        <v>37</v>
      </c>
      <c r="B42" s="78">
        <f>基础情景!$B42*(1+VLOOKUP($A42,参数假设!$A$16:$E$67,参数假设!B$15,FALSE))</f>
        <v>4.8164492064000003E-2</v>
      </c>
      <c r="C42" s="78">
        <f>基础情景!$B42*(1+VLOOKUP($A42,参数假设!$A$16:$E$67,参数假设!C$15,FALSE))</f>
        <v>3.5197128815999998E-2</v>
      </c>
      <c r="D42" s="85">
        <f t="shared" si="5"/>
        <v>4.7800000000000002E-2</v>
      </c>
      <c r="E42" s="85">
        <f t="shared" si="5"/>
        <v>3.5000000000000003E-2</v>
      </c>
      <c r="F42" s="86">
        <f t="shared" si="2"/>
        <v>1.0478000000000001</v>
      </c>
      <c r="G42" s="130">
        <f>PRODUCT($F$5:$F42)^(-A42)</f>
        <v>1.0796421223427969E-28</v>
      </c>
      <c r="H42" s="87"/>
      <c r="I42" s="87"/>
      <c r="J42" s="87"/>
    </row>
    <row r="43" spans="1:10" x14ac:dyDescent="0.15">
      <c r="A43" s="46">
        <f t="shared" si="1"/>
        <v>38</v>
      </c>
      <c r="B43" s="78">
        <f>基础情景!$B43*(1+VLOOKUP($A43,参数假设!$A$16:$E$67,参数假设!B$15,FALSE))</f>
        <v>4.8156510272000005E-2</v>
      </c>
      <c r="C43" s="78">
        <f>基础情景!$B43*(1+VLOOKUP($A43,参数假设!$A$16:$E$67,参数假设!C$15,FALSE))</f>
        <v>3.5191295968000004E-2</v>
      </c>
      <c r="D43" s="85">
        <f t="shared" si="5"/>
        <v>4.7899999999999998E-2</v>
      </c>
      <c r="E43" s="85">
        <f t="shared" si="5"/>
        <v>3.5000000000000003E-2</v>
      </c>
      <c r="F43" s="86">
        <f t="shared" si="2"/>
        <v>1.0479000000000001</v>
      </c>
      <c r="G43" s="130">
        <f>PRODUCT($F$5:$F43)^(-A43)</f>
        <v>3.2008740421508058E-30</v>
      </c>
      <c r="H43" s="87"/>
      <c r="I43" s="87"/>
      <c r="J43" s="87"/>
    </row>
    <row r="44" spans="1:10" x14ac:dyDescent="0.15">
      <c r="A44" s="46">
        <f t="shared" si="1"/>
        <v>39</v>
      </c>
      <c r="B44" s="78">
        <f>基础情景!$B44*(1+VLOOKUP($A44,参数假设!$A$16:$E$67,参数假设!B$15,FALSE))</f>
        <v>4.8160997871999997E-2</v>
      </c>
      <c r="C44" s="78">
        <f>基础情景!$B44*(1+VLOOKUP($A44,参数假设!$A$16:$E$67,参数假设!C$15,FALSE))</f>
        <v>3.5194575367999997E-2</v>
      </c>
      <c r="D44" s="85">
        <f t="shared" si="5"/>
        <v>4.8300000000000003E-2</v>
      </c>
      <c r="E44" s="85">
        <f t="shared" si="5"/>
        <v>3.5299999999999998E-2</v>
      </c>
      <c r="F44" s="86">
        <f t="shared" si="2"/>
        <v>1.0483</v>
      </c>
      <c r="G44" s="130">
        <f>PRODUCT($F$5:$F44)^(-A44)</f>
        <v>8.5143911150109487E-32</v>
      </c>
      <c r="H44" s="87"/>
      <c r="I44" s="87"/>
      <c r="J44" s="87"/>
    </row>
    <row r="45" spans="1:10" x14ac:dyDescent="0.15">
      <c r="A45" s="46">
        <f t="shared" si="1"/>
        <v>40</v>
      </c>
      <c r="B45" s="78">
        <f>基础情景!$B45*(1+VLOOKUP($A45,参数假设!$A$16:$E$67,参数假设!B$15,FALSE))</f>
        <v>4.8190284687999997E-2</v>
      </c>
      <c r="C45" s="78">
        <f>基础情景!$B45*(1+VLOOKUP($A45,参数假设!$A$16:$E$67,参数假设!C$15,FALSE))</f>
        <v>3.5215977271999994E-2</v>
      </c>
      <c r="D45" s="85">
        <f t="shared" si="5"/>
        <v>4.9299999999999997E-2</v>
      </c>
      <c r="E45" s="85">
        <f t="shared" si="5"/>
        <v>3.61E-2</v>
      </c>
      <c r="F45" s="86">
        <f t="shared" si="2"/>
        <v>1.0492999999999999</v>
      </c>
      <c r="G45" s="130">
        <f>PRODUCT($F$5:$F45)^(-A45)</f>
        <v>1.983827714407023E-33</v>
      </c>
      <c r="H45" s="87"/>
      <c r="I45" s="87"/>
      <c r="J45" s="87"/>
    </row>
    <row r="46" spans="1:10" x14ac:dyDescent="0.15">
      <c r="A46" s="46">
        <f t="shared" si="1"/>
        <v>41</v>
      </c>
      <c r="B46" s="78">
        <f>基础情景!$B46*(1+VLOOKUP($A46,参数假设!$A$16:$E$67,参数假设!B$15,FALSE))</f>
        <v>4.8226738456000007E-2</v>
      </c>
      <c r="C46" s="78">
        <f>基础情景!$B46*(1+VLOOKUP($A46,参数假设!$A$16:$E$67,参数假设!C$15,FALSE))</f>
        <v>3.5242616564000004E-2</v>
      </c>
      <c r="D46" s="85">
        <f t="shared" si="5"/>
        <v>4.9700000000000001E-2</v>
      </c>
      <c r="E46" s="85">
        <f t="shared" si="5"/>
        <v>3.6299999999999999E-2</v>
      </c>
      <c r="F46" s="86">
        <f t="shared" si="2"/>
        <v>1.0497000000000001</v>
      </c>
      <c r="G46" s="130">
        <f>PRODUCT($F$5:$F46)^(-A46)</f>
        <v>4.1330291339491205E-35</v>
      </c>
      <c r="H46" s="87"/>
      <c r="I46" s="87"/>
      <c r="J46" s="87"/>
    </row>
    <row r="47" spans="1:10" x14ac:dyDescent="0.15">
      <c r="A47" s="46">
        <f t="shared" si="1"/>
        <v>42</v>
      </c>
      <c r="B47" s="78">
        <f>基础情景!$B47*(1+VLOOKUP($A47,参数假设!$A$16:$E$67,参数假设!B$15,FALSE))</f>
        <v>4.8245608216000005E-2</v>
      </c>
      <c r="C47" s="78">
        <f>基础情景!$B47*(1+VLOOKUP($A47,参数假设!$A$16:$E$67,参数假设!C$15,FALSE))</f>
        <v>3.5256406003999999E-2</v>
      </c>
      <c r="D47" s="85">
        <f t="shared" si="5"/>
        <v>4.9000000000000002E-2</v>
      </c>
      <c r="E47" s="85">
        <f t="shared" si="5"/>
        <v>3.5799999999999998E-2</v>
      </c>
      <c r="F47" s="86">
        <f t="shared" si="2"/>
        <v>1.0489999999999999</v>
      </c>
      <c r="G47" s="130">
        <f>PRODUCT($F$5:$F47)^(-A47)</f>
        <v>8.0365631959557616E-37</v>
      </c>
      <c r="H47" s="87"/>
      <c r="I47" s="87"/>
      <c r="J47" s="87"/>
    </row>
    <row r="48" spans="1:10" x14ac:dyDescent="0.15">
      <c r="A48" s="46">
        <f t="shared" si="1"/>
        <v>43</v>
      </c>
      <c r="B48" s="78">
        <f>基础情景!$B48*(1+VLOOKUP($A48,参数假设!$A$16:$E$67,参数假设!B$15,FALSE))</f>
        <v>4.8249643520000003E-2</v>
      </c>
      <c r="C48" s="78">
        <f>基础情景!$B48*(1+VLOOKUP($A48,参数假设!$A$16:$E$67,参数假设!C$15,FALSE))</f>
        <v>3.5259354880000003E-2</v>
      </c>
      <c r="D48" s="85">
        <f t="shared" si="5"/>
        <v>4.8399999999999999E-2</v>
      </c>
      <c r="E48" s="85">
        <f t="shared" si="5"/>
        <v>3.5400000000000001E-2</v>
      </c>
      <c r="F48" s="86">
        <f t="shared" si="2"/>
        <v>1.0484</v>
      </c>
      <c r="G48" s="130">
        <f>PRODUCT($F$5:$F48)^(-A48)</f>
        <v>1.4554783500547915E-38</v>
      </c>
      <c r="H48" s="87"/>
      <c r="I48" s="87"/>
      <c r="J48" s="87"/>
    </row>
    <row r="49" spans="1:10" x14ac:dyDescent="0.15">
      <c r="A49" s="46">
        <f t="shared" si="1"/>
        <v>44</v>
      </c>
      <c r="B49" s="78">
        <f>基础情景!$B49*(1+VLOOKUP($A49,参数假设!$A$16:$E$67,参数假设!B$15,FALSE))</f>
        <v>4.8241853192000007E-2</v>
      </c>
      <c r="C49" s="78">
        <f>基础情景!$B49*(1+VLOOKUP($A49,参数假设!$A$16:$E$67,参数假设!C$15,FALSE))</f>
        <v>3.5253661948000004E-2</v>
      </c>
      <c r="D49" s="85">
        <f t="shared" si="5"/>
        <v>4.7899999999999998E-2</v>
      </c>
      <c r="E49" s="85">
        <f t="shared" si="5"/>
        <v>3.5000000000000003E-2</v>
      </c>
      <c r="F49" s="86">
        <f t="shared" si="2"/>
        <v>1.0479000000000001</v>
      </c>
      <c r="G49" s="130">
        <f>PRODUCT($F$5:$F49)^(-A49)</f>
        <v>2.4490783279100324E-40</v>
      </c>
      <c r="H49" s="87"/>
      <c r="I49" s="87"/>
      <c r="J49" s="87"/>
    </row>
    <row r="50" spans="1:10" x14ac:dyDescent="0.15">
      <c r="A50" s="46">
        <f t="shared" si="1"/>
        <v>45</v>
      </c>
      <c r="B50" s="78">
        <f>基础情景!$B50*(1+VLOOKUP($A50,参数假设!$A$16:$E$67,参数假设!B$15,FALSE))</f>
        <v>4.8225511464000004E-2</v>
      </c>
      <c r="C50" s="78">
        <f>基础情景!$B50*(1+VLOOKUP($A50,参数假设!$A$16:$E$67,参数假设!C$15,FALSE))</f>
        <v>3.5241719916000003E-2</v>
      </c>
      <c r="D50" s="85">
        <f t="shared" si="5"/>
        <v>4.7500000000000001E-2</v>
      </c>
      <c r="E50" s="85">
        <f t="shared" si="5"/>
        <v>3.4700000000000002E-2</v>
      </c>
      <c r="F50" s="86">
        <f t="shared" si="2"/>
        <v>1.0475000000000001</v>
      </c>
      <c r="G50" s="130">
        <f>PRODUCT($F$5:$F50)^(-A50)</f>
        <v>3.8178715461858938E-42</v>
      </c>
      <c r="H50" s="87"/>
      <c r="I50" s="87"/>
      <c r="J50" s="87"/>
    </row>
    <row r="51" spans="1:10" x14ac:dyDescent="0.15">
      <c r="A51" s="46">
        <f t="shared" si="1"/>
        <v>46</v>
      </c>
      <c r="B51" s="78">
        <f>基础情景!$B51*(1+VLOOKUP($A51,参数假设!$A$16:$E$67,参数假设!B$15,FALSE))</f>
        <v>4.8204166608000004E-2</v>
      </c>
      <c r="C51" s="78">
        <f>基础情景!$B51*(1+VLOOKUP($A51,参数假设!$A$16:$E$67,参数假设!C$15,FALSE))</f>
        <v>3.5226121752000003E-2</v>
      </c>
      <c r="D51" s="85">
        <f t="shared" si="5"/>
        <v>4.7199999999999999E-2</v>
      </c>
      <c r="E51" s="85">
        <f t="shared" si="5"/>
        <v>3.4500000000000003E-2</v>
      </c>
      <c r="F51" s="86">
        <f t="shared" si="2"/>
        <v>1.0471999999999999</v>
      </c>
      <c r="G51" s="130">
        <f>PRODUCT($F$5:$F51)^(-A51)</f>
        <v>5.4960945898894338E-44</v>
      </c>
      <c r="H51" s="87"/>
      <c r="I51" s="87"/>
      <c r="J51" s="87"/>
    </row>
    <row r="52" spans="1:10" x14ac:dyDescent="0.15">
      <c r="A52" s="46">
        <f t="shared" si="1"/>
        <v>47</v>
      </c>
      <c r="B52" s="78">
        <f>基础情景!$B52*(1+VLOOKUP($A52,参数假设!$A$16:$E$67,参数假设!B$15,FALSE))</f>
        <v>4.8181652376E-2</v>
      </c>
      <c r="C52" s="78">
        <f>基础情景!$B52*(1+VLOOKUP($A52,参数假设!$A$16:$E$67,参数假设!C$15,FALSE))</f>
        <v>3.5209669044000004E-2</v>
      </c>
      <c r="D52" s="85">
        <f t="shared" si="5"/>
        <v>4.7100000000000003E-2</v>
      </c>
      <c r="E52" s="85">
        <f t="shared" si="5"/>
        <v>3.4500000000000003E-2</v>
      </c>
      <c r="F52" s="86">
        <f t="shared" si="2"/>
        <v>1.0470999999999999</v>
      </c>
      <c r="G52" s="130">
        <f>PRODUCT($F$5:$F52)^(-A52)</f>
        <v>7.2473142532839515E-46</v>
      </c>
      <c r="H52" s="87"/>
      <c r="I52" s="87"/>
      <c r="J52" s="87"/>
    </row>
    <row r="53" spans="1:10" x14ac:dyDescent="0.15">
      <c r="A53" s="46">
        <f t="shared" si="1"/>
        <v>48</v>
      </c>
      <c r="B53" s="78">
        <f>基础情景!$B53*(1+VLOOKUP($A53,参数假设!$A$16:$E$67,参数假设!B$15,FALSE))</f>
        <v>4.8162104327999999E-2</v>
      </c>
      <c r="C53" s="78">
        <f>基础情景!$B53*(1+VLOOKUP($A53,参数假设!$A$16:$E$67,参数假设!C$15,FALSE))</f>
        <v>3.5195383931999995E-2</v>
      </c>
      <c r="D53" s="85">
        <f t="shared" si="5"/>
        <v>4.7199999999999999E-2</v>
      </c>
      <c r="E53" s="85">
        <f t="shared" si="5"/>
        <v>3.4500000000000003E-2</v>
      </c>
      <c r="F53" s="86">
        <f t="shared" si="2"/>
        <v>1.0471999999999999</v>
      </c>
      <c r="G53" s="130">
        <f>PRODUCT($F$5:$F53)^(-A53)</f>
        <v>8.6762672186250886E-48</v>
      </c>
      <c r="H53" s="87"/>
      <c r="I53" s="87"/>
      <c r="J53" s="87"/>
    </row>
    <row r="54" spans="1:10" x14ac:dyDescent="0.15">
      <c r="A54" s="46">
        <f t="shared" si="1"/>
        <v>49</v>
      </c>
      <c r="B54" s="78">
        <f>基础情景!$B54*(1+VLOOKUP($A54,参数假设!$A$16:$E$67,参数假设!B$15,FALSE))</f>
        <v>4.8149983648000001E-2</v>
      </c>
      <c r="C54" s="78">
        <f>基础情景!$B54*(1+VLOOKUP($A54,参数假设!$A$16:$E$67,参数假设!C$15,FALSE))</f>
        <v>3.5186526512000001E-2</v>
      </c>
      <c r="D54" s="85">
        <f t="shared" si="5"/>
        <v>4.7600000000000003E-2</v>
      </c>
      <c r="E54" s="85">
        <f t="shared" si="5"/>
        <v>3.4799999999999998E-2</v>
      </c>
      <c r="F54" s="86">
        <f t="shared" si="2"/>
        <v>1.0476000000000001</v>
      </c>
      <c r="G54" s="130">
        <f>PRODUCT($F$5:$F54)^(-A54)</f>
        <v>9.2961371809335615E-50</v>
      </c>
      <c r="H54" s="87"/>
      <c r="I54" s="87"/>
      <c r="J54" s="87"/>
    </row>
    <row r="55" spans="1:10" x14ac:dyDescent="0.15">
      <c r="A55" s="46">
        <f t="shared" si="1"/>
        <v>50</v>
      </c>
      <c r="B55" s="78">
        <f>基础情景!$B55*(1+VLOOKUP($A55,参数假设!$A$16:$E$67,参数假设!B$15,FALSE))</f>
        <v>4.8150112088000005E-2</v>
      </c>
      <c r="C55" s="78">
        <f>基础情景!$B55*(1+VLOOKUP($A55,参数假设!$A$16:$E$67,参数假设!C$15,FALSE))</f>
        <v>3.5186620372000002E-2</v>
      </c>
      <c r="D55" s="85">
        <f t="shared" si="5"/>
        <v>4.82E-2</v>
      </c>
      <c r="E55" s="85">
        <f t="shared" si="5"/>
        <v>3.5200000000000002E-2</v>
      </c>
      <c r="F55" s="86">
        <f t="shared" si="2"/>
        <v>1.0482</v>
      </c>
      <c r="G55" s="130">
        <f>PRODUCT($F$5:$F55)^(-A55)</f>
        <v>8.8195792756158727E-52</v>
      </c>
      <c r="H55" s="87"/>
      <c r="I55" s="87"/>
      <c r="J55" s="87"/>
    </row>
    <row r="56" spans="1:10" s="105" customFormat="1" x14ac:dyDescent="0.15">
      <c r="A56" s="92" t="s">
        <v>7381</v>
      </c>
      <c r="B56" s="93"/>
      <c r="C56" s="93"/>
      <c r="D56" s="94">
        <f>D55</f>
        <v>4.82E-2</v>
      </c>
      <c r="E56" s="94">
        <f>E55</f>
        <v>3.5200000000000002E-2</v>
      </c>
      <c r="F56" s="86">
        <f t="shared" si="2"/>
        <v>1.0482</v>
      </c>
      <c r="G56" s="130"/>
      <c r="H56" s="104"/>
      <c r="I56" s="104"/>
      <c r="J56" s="104"/>
    </row>
    <row r="57" spans="1:10" x14ac:dyDescent="0.15">
      <c r="B57" s="81"/>
      <c r="C57" s="81"/>
      <c r="D57" s="81"/>
      <c r="E57" s="81"/>
      <c r="F57" s="81"/>
      <c r="G57" s="131"/>
    </row>
    <row r="58" spans="1:10" x14ac:dyDescent="0.15">
      <c r="B58" s="81"/>
      <c r="C58" s="81"/>
      <c r="D58" s="81"/>
      <c r="E58" s="81"/>
      <c r="F58" s="81"/>
      <c r="G58" s="131"/>
    </row>
    <row r="59" spans="1:10" x14ac:dyDescent="0.15">
      <c r="B59" s="81"/>
      <c r="C59" s="81"/>
      <c r="D59" s="81"/>
      <c r="E59" s="81"/>
      <c r="F59" s="81"/>
      <c r="G59" s="131"/>
    </row>
    <row r="60" spans="1:10" x14ac:dyDescent="0.15">
      <c r="B60" s="81"/>
      <c r="C60" s="81"/>
      <c r="D60" s="81"/>
      <c r="E60" s="81"/>
      <c r="F60" s="81"/>
      <c r="G60" s="131"/>
    </row>
    <row r="61" spans="1:10" x14ac:dyDescent="0.15">
      <c r="B61" s="81"/>
      <c r="C61" s="81"/>
      <c r="D61" s="81"/>
      <c r="E61" s="81"/>
      <c r="F61" s="81"/>
      <c r="G61" s="131"/>
    </row>
    <row r="62" spans="1:10" x14ac:dyDescent="0.15">
      <c r="B62" s="81"/>
      <c r="C62" s="81"/>
      <c r="D62" s="81"/>
      <c r="E62" s="81"/>
      <c r="F62" s="81"/>
      <c r="G62" s="131"/>
    </row>
    <row r="63" spans="1:10" x14ac:dyDescent="0.15">
      <c r="B63" s="81"/>
      <c r="C63" s="81"/>
      <c r="D63" s="81"/>
      <c r="E63" s="81"/>
      <c r="F63" s="81"/>
      <c r="G63" s="131"/>
    </row>
    <row r="64" spans="1:10" x14ac:dyDescent="0.15">
      <c r="B64" s="81"/>
      <c r="C64" s="81"/>
      <c r="D64" s="81"/>
      <c r="E64" s="81"/>
      <c r="F64" s="81"/>
      <c r="G64" s="131"/>
    </row>
    <row r="65" spans="2:7" x14ac:dyDescent="0.15">
      <c r="B65" s="81"/>
      <c r="C65" s="81"/>
      <c r="D65" s="81"/>
      <c r="E65" s="81"/>
      <c r="F65" s="81"/>
      <c r="G65" s="131"/>
    </row>
    <row r="66" spans="2:7" x14ac:dyDescent="0.15">
      <c r="B66" s="81"/>
      <c r="C66" s="81"/>
      <c r="D66" s="81"/>
      <c r="E66" s="81"/>
      <c r="F66" s="81"/>
      <c r="G66" s="131"/>
    </row>
    <row r="67" spans="2:7" x14ac:dyDescent="0.15">
      <c r="B67" s="81"/>
      <c r="C67" s="81"/>
      <c r="D67" s="81"/>
      <c r="E67" s="81"/>
      <c r="F67" s="81"/>
      <c r="G67" s="131"/>
    </row>
    <row r="68" spans="2:7" x14ac:dyDescent="0.15">
      <c r="B68" s="81"/>
      <c r="C68" s="81"/>
      <c r="D68" s="81"/>
      <c r="E68" s="81"/>
      <c r="F68" s="81"/>
      <c r="G68" s="131"/>
    </row>
    <row r="69" spans="2:7" x14ac:dyDescent="0.15">
      <c r="B69" s="81"/>
      <c r="C69" s="81"/>
      <c r="D69" s="81"/>
      <c r="E69" s="81"/>
      <c r="F69" s="81"/>
      <c r="G69" s="131"/>
    </row>
  </sheetData>
  <phoneticPr fontId="2" type="noConversion"/>
  <pageMargins left="0.70763888888888904" right="0.70763888888888904" top="0.74791666666666701" bottom="0.74791666666666701" header="0.31388888888888899" footer="0.31388888888888899"/>
  <pageSetup paperSize="9" scale="75" orientation="landscape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53"/>
  </sheetPr>
  <dimension ref="A2:S68"/>
  <sheetViews>
    <sheetView showGridLines="0" workbookViewId="0">
      <selection activeCell="E29" sqref="E29"/>
    </sheetView>
  </sheetViews>
  <sheetFormatPr defaultColWidth="9" defaultRowHeight="12.75" x14ac:dyDescent="0.2"/>
  <cols>
    <col min="1" max="1" width="9.375" style="108" customWidth="1"/>
    <col min="2" max="5" width="21" style="112" customWidth="1"/>
    <col min="6" max="6" width="9" style="108"/>
    <col min="7" max="9" width="9" style="108" hidden="1" customWidth="1"/>
    <col min="10" max="12" width="16.25" style="108" hidden="1" customWidth="1"/>
    <col min="13" max="13" width="5.875" style="108" hidden="1" customWidth="1"/>
    <col min="14" max="15" width="16.25" style="108" hidden="1" customWidth="1"/>
    <col min="16" max="16" width="6.75" style="108" hidden="1" customWidth="1"/>
    <col min="17" max="18" width="16.25" style="108" hidden="1" customWidth="1"/>
    <col min="19" max="19" width="9" style="108" hidden="1" customWidth="1"/>
    <col min="20" max="245" width="9" style="108"/>
    <col min="246" max="246" width="9.375" style="108" customWidth="1"/>
    <col min="247" max="254" width="9.875" style="108" customWidth="1"/>
    <col min="255" max="501" width="9" style="108"/>
    <col min="502" max="502" width="9.375" style="108" customWidth="1"/>
    <col min="503" max="510" width="9.875" style="108" customWidth="1"/>
    <col min="511" max="757" width="9" style="108"/>
    <col min="758" max="758" width="9.375" style="108" customWidth="1"/>
    <col min="759" max="766" width="9.875" style="108" customWidth="1"/>
    <col min="767" max="1013" width="9" style="108"/>
    <col min="1014" max="1014" width="9.375" style="108" customWidth="1"/>
    <col min="1015" max="1022" width="9.875" style="108" customWidth="1"/>
    <col min="1023" max="1269" width="9" style="108"/>
    <col min="1270" max="1270" width="9.375" style="108" customWidth="1"/>
    <col min="1271" max="1278" width="9.875" style="108" customWidth="1"/>
    <col min="1279" max="1525" width="9" style="108"/>
    <col min="1526" max="1526" width="9.375" style="108" customWidth="1"/>
    <col min="1527" max="1534" width="9.875" style="108" customWidth="1"/>
    <col min="1535" max="1781" width="9" style="108"/>
    <col min="1782" max="1782" width="9.375" style="108" customWidth="1"/>
    <col min="1783" max="1790" width="9.875" style="108" customWidth="1"/>
    <col min="1791" max="2037" width="9" style="108"/>
    <col min="2038" max="2038" width="9.375" style="108" customWidth="1"/>
    <col min="2039" max="2046" width="9.875" style="108" customWidth="1"/>
    <col min="2047" max="2293" width="9" style="108"/>
    <col min="2294" max="2294" width="9.375" style="108" customWidth="1"/>
    <col min="2295" max="2302" width="9.875" style="108" customWidth="1"/>
    <col min="2303" max="2549" width="9" style="108"/>
    <col min="2550" max="2550" width="9.375" style="108" customWidth="1"/>
    <col min="2551" max="2558" width="9.875" style="108" customWidth="1"/>
    <col min="2559" max="2805" width="9" style="108"/>
    <col min="2806" max="2806" width="9.375" style="108" customWidth="1"/>
    <col min="2807" max="2814" width="9.875" style="108" customWidth="1"/>
    <col min="2815" max="3061" width="9" style="108"/>
    <col min="3062" max="3062" width="9.375" style="108" customWidth="1"/>
    <col min="3063" max="3070" width="9.875" style="108" customWidth="1"/>
    <col min="3071" max="3317" width="9" style="108"/>
    <col min="3318" max="3318" width="9.375" style="108" customWidth="1"/>
    <col min="3319" max="3326" width="9.875" style="108" customWidth="1"/>
    <col min="3327" max="3573" width="9" style="108"/>
    <col min="3574" max="3574" width="9.375" style="108" customWidth="1"/>
    <col min="3575" max="3582" width="9.875" style="108" customWidth="1"/>
    <col min="3583" max="3829" width="9" style="108"/>
    <col min="3830" max="3830" width="9.375" style="108" customWidth="1"/>
    <col min="3831" max="3838" width="9.875" style="108" customWidth="1"/>
    <col min="3839" max="4085" width="9" style="108"/>
    <col min="4086" max="4086" width="9.375" style="108" customWidth="1"/>
    <col min="4087" max="4094" width="9.875" style="108" customWidth="1"/>
    <col min="4095" max="4341" width="9" style="108"/>
    <col min="4342" max="4342" width="9.375" style="108" customWidth="1"/>
    <col min="4343" max="4350" width="9.875" style="108" customWidth="1"/>
    <col min="4351" max="4597" width="9" style="108"/>
    <col min="4598" max="4598" width="9.375" style="108" customWidth="1"/>
    <col min="4599" max="4606" width="9.875" style="108" customWidth="1"/>
    <col min="4607" max="4853" width="9" style="108"/>
    <col min="4854" max="4854" width="9.375" style="108" customWidth="1"/>
    <col min="4855" max="4862" width="9.875" style="108" customWidth="1"/>
    <col min="4863" max="5109" width="9" style="108"/>
    <col min="5110" max="5110" width="9.375" style="108" customWidth="1"/>
    <col min="5111" max="5118" width="9.875" style="108" customWidth="1"/>
    <col min="5119" max="5365" width="9" style="108"/>
    <col min="5366" max="5366" width="9.375" style="108" customWidth="1"/>
    <col min="5367" max="5374" width="9.875" style="108" customWidth="1"/>
    <col min="5375" max="5621" width="9" style="108"/>
    <col min="5622" max="5622" width="9.375" style="108" customWidth="1"/>
    <col min="5623" max="5630" width="9.875" style="108" customWidth="1"/>
    <col min="5631" max="5877" width="9" style="108"/>
    <col min="5878" max="5878" width="9.375" style="108" customWidth="1"/>
    <col min="5879" max="5886" width="9.875" style="108" customWidth="1"/>
    <col min="5887" max="6133" width="9" style="108"/>
    <col min="6134" max="6134" width="9.375" style="108" customWidth="1"/>
    <col min="6135" max="6142" width="9.875" style="108" customWidth="1"/>
    <col min="6143" max="6389" width="9" style="108"/>
    <col min="6390" max="6390" width="9.375" style="108" customWidth="1"/>
    <col min="6391" max="6398" width="9.875" style="108" customWidth="1"/>
    <col min="6399" max="6645" width="9" style="108"/>
    <col min="6646" max="6646" width="9.375" style="108" customWidth="1"/>
    <col min="6647" max="6654" width="9.875" style="108" customWidth="1"/>
    <col min="6655" max="6901" width="9" style="108"/>
    <col min="6902" max="6902" width="9.375" style="108" customWidth="1"/>
    <col min="6903" max="6910" width="9.875" style="108" customWidth="1"/>
    <col min="6911" max="7157" width="9" style="108"/>
    <col min="7158" max="7158" width="9.375" style="108" customWidth="1"/>
    <col min="7159" max="7166" width="9.875" style="108" customWidth="1"/>
    <col min="7167" max="7413" width="9" style="108"/>
    <col min="7414" max="7414" width="9.375" style="108" customWidth="1"/>
    <col min="7415" max="7422" width="9.875" style="108" customWidth="1"/>
    <col min="7423" max="7669" width="9" style="108"/>
    <col min="7670" max="7670" width="9.375" style="108" customWidth="1"/>
    <col min="7671" max="7678" width="9.875" style="108" customWidth="1"/>
    <col min="7679" max="7925" width="9" style="108"/>
    <col min="7926" max="7926" width="9.375" style="108" customWidth="1"/>
    <col min="7927" max="7934" width="9.875" style="108" customWidth="1"/>
    <col min="7935" max="8181" width="9" style="108"/>
    <col min="8182" max="8182" width="9.375" style="108" customWidth="1"/>
    <col min="8183" max="8190" width="9.875" style="108" customWidth="1"/>
    <col min="8191" max="8437" width="9" style="108"/>
    <col min="8438" max="8438" width="9.375" style="108" customWidth="1"/>
    <col min="8439" max="8446" width="9.875" style="108" customWidth="1"/>
    <col min="8447" max="8693" width="9" style="108"/>
    <col min="8694" max="8694" width="9.375" style="108" customWidth="1"/>
    <col min="8695" max="8702" width="9.875" style="108" customWidth="1"/>
    <col min="8703" max="8949" width="9" style="108"/>
    <col min="8950" max="8950" width="9.375" style="108" customWidth="1"/>
    <col min="8951" max="8958" width="9.875" style="108" customWidth="1"/>
    <col min="8959" max="9205" width="9" style="108"/>
    <col min="9206" max="9206" width="9.375" style="108" customWidth="1"/>
    <col min="9207" max="9214" width="9.875" style="108" customWidth="1"/>
    <col min="9215" max="9461" width="9" style="108"/>
    <col min="9462" max="9462" width="9.375" style="108" customWidth="1"/>
    <col min="9463" max="9470" width="9.875" style="108" customWidth="1"/>
    <col min="9471" max="9717" width="9" style="108"/>
    <col min="9718" max="9718" width="9.375" style="108" customWidth="1"/>
    <col min="9719" max="9726" width="9.875" style="108" customWidth="1"/>
    <col min="9727" max="9973" width="9" style="108"/>
    <col min="9974" max="9974" width="9.375" style="108" customWidth="1"/>
    <col min="9975" max="9982" width="9.875" style="108" customWidth="1"/>
    <col min="9983" max="10229" width="9" style="108"/>
    <col min="10230" max="10230" width="9.375" style="108" customWidth="1"/>
    <col min="10231" max="10238" width="9.875" style="108" customWidth="1"/>
    <col min="10239" max="10485" width="9" style="108"/>
    <col min="10486" max="10486" width="9.375" style="108" customWidth="1"/>
    <col min="10487" max="10494" width="9.875" style="108" customWidth="1"/>
    <col min="10495" max="10741" width="9" style="108"/>
    <col min="10742" max="10742" width="9.375" style="108" customWidth="1"/>
    <col min="10743" max="10750" width="9.875" style="108" customWidth="1"/>
    <col min="10751" max="10997" width="9" style="108"/>
    <col min="10998" max="10998" width="9.375" style="108" customWidth="1"/>
    <col min="10999" max="11006" width="9.875" style="108" customWidth="1"/>
    <col min="11007" max="11253" width="9" style="108"/>
    <col min="11254" max="11254" width="9.375" style="108" customWidth="1"/>
    <col min="11255" max="11262" width="9.875" style="108" customWidth="1"/>
    <col min="11263" max="11509" width="9" style="108"/>
    <col min="11510" max="11510" width="9.375" style="108" customWidth="1"/>
    <col min="11511" max="11518" width="9.875" style="108" customWidth="1"/>
    <col min="11519" max="11765" width="9" style="108"/>
    <col min="11766" max="11766" width="9.375" style="108" customWidth="1"/>
    <col min="11767" max="11774" width="9.875" style="108" customWidth="1"/>
    <col min="11775" max="12021" width="9" style="108"/>
    <col min="12022" max="12022" width="9.375" style="108" customWidth="1"/>
    <col min="12023" max="12030" width="9.875" style="108" customWidth="1"/>
    <col min="12031" max="12277" width="9" style="108"/>
    <col min="12278" max="12278" width="9.375" style="108" customWidth="1"/>
    <col min="12279" max="12286" width="9.875" style="108" customWidth="1"/>
    <col min="12287" max="12533" width="9" style="108"/>
    <col min="12534" max="12534" width="9.375" style="108" customWidth="1"/>
    <col min="12535" max="12542" width="9.875" style="108" customWidth="1"/>
    <col min="12543" max="12789" width="9" style="108"/>
    <col min="12790" max="12790" width="9.375" style="108" customWidth="1"/>
    <col min="12791" max="12798" width="9.875" style="108" customWidth="1"/>
    <col min="12799" max="13045" width="9" style="108"/>
    <col min="13046" max="13046" width="9.375" style="108" customWidth="1"/>
    <col min="13047" max="13054" width="9.875" style="108" customWidth="1"/>
    <col min="13055" max="13301" width="9" style="108"/>
    <col min="13302" max="13302" width="9.375" style="108" customWidth="1"/>
    <col min="13303" max="13310" width="9.875" style="108" customWidth="1"/>
    <col min="13311" max="13557" width="9" style="108"/>
    <col min="13558" max="13558" width="9.375" style="108" customWidth="1"/>
    <col min="13559" max="13566" width="9.875" style="108" customWidth="1"/>
    <col min="13567" max="13813" width="9" style="108"/>
    <col min="13814" max="13814" width="9.375" style="108" customWidth="1"/>
    <col min="13815" max="13822" width="9.875" style="108" customWidth="1"/>
    <col min="13823" max="14069" width="9" style="108"/>
    <col min="14070" max="14070" width="9.375" style="108" customWidth="1"/>
    <col min="14071" max="14078" width="9.875" style="108" customWidth="1"/>
    <col min="14079" max="14325" width="9" style="108"/>
    <col min="14326" max="14326" width="9.375" style="108" customWidth="1"/>
    <col min="14327" max="14334" width="9.875" style="108" customWidth="1"/>
    <col min="14335" max="14581" width="9" style="108"/>
    <col min="14582" max="14582" width="9.375" style="108" customWidth="1"/>
    <col min="14583" max="14590" width="9.875" style="108" customWidth="1"/>
    <col min="14591" max="14837" width="9" style="108"/>
    <col min="14838" max="14838" width="9.375" style="108" customWidth="1"/>
    <col min="14839" max="14846" width="9.875" style="108" customWidth="1"/>
    <col min="14847" max="15093" width="9" style="108"/>
    <col min="15094" max="15094" width="9.375" style="108" customWidth="1"/>
    <col min="15095" max="15102" width="9.875" style="108" customWidth="1"/>
    <col min="15103" max="15349" width="9" style="108"/>
    <col min="15350" max="15350" width="9.375" style="108" customWidth="1"/>
    <col min="15351" max="15358" width="9.875" style="108" customWidth="1"/>
    <col min="15359" max="15605" width="9" style="108"/>
    <col min="15606" max="15606" width="9.375" style="108" customWidth="1"/>
    <col min="15607" max="15614" width="9.875" style="108" customWidth="1"/>
    <col min="15615" max="15861" width="9" style="108"/>
    <col min="15862" max="15862" width="9.375" style="108" customWidth="1"/>
    <col min="15863" max="15870" width="9.875" style="108" customWidth="1"/>
    <col min="15871" max="16117" width="9" style="108"/>
    <col min="16118" max="16118" width="9.375" style="108" customWidth="1"/>
    <col min="16119" max="16126" width="9.875" style="108" customWidth="1"/>
    <col min="16127" max="16382" width="9" style="108"/>
    <col min="16383" max="16384" width="9.125" style="108" customWidth="1"/>
  </cols>
  <sheetData>
    <row r="2" spans="1:18" x14ac:dyDescent="0.2">
      <c r="A2" s="106" t="s">
        <v>7386</v>
      </c>
      <c r="B2" s="107"/>
      <c r="C2" s="107"/>
      <c r="D2" s="107"/>
      <c r="E2" s="107"/>
    </row>
    <row r="3" spans="1:18" x14ac:dyDescent="0.2">
      <c r="A3" s="107" t="s">
        <v>7371</v>
      </c>
      <c r="B3" s="109">
        <v>70</v>
      </c>
      <c r="C3" s="107" t="s">
        <v>7387</v>
      </c>
      <c r="D3" s="107"/>
      <c r="E3" s="107"/>
    </row>
    <row r="4" spans="1:18" x14ac:dyDescent="0.2">
      <c r="A4" s="107" t="s">
        <v>7372</v>
      </c>
      <c r="B4" s="109">
        <v>45</v>
      </c>
      <c r="C4" s="107" t="s">
        <v>7387</v>
      </c>
      <c r="D4" s="107"/>
      <c r="E4" s="107"/>
    </row>
    <row r="5" spans="1:18" x14ac:dyDescent="0.2">
      <c r="A5" s="107" t="s">
        <v>7373</v>
      </c>
      <c r="B5" s="109">
        <v>30</v>
      </c>
      <c r="C5" s="107" t="s">
        <v>7387</v>
      </c>
      <c r="D5" s="107"/>
      <c r="E5" s="107"/>
    </row>
    <row r="6" spans="1:18" x14ac:dyDescent="0.2">
      <c r="A6" s="107"/>
      <c r="B6" s="107"/>
      <c r="C6" s="107"/>
      <c r="D6" s="107"/>
      <c r="E6" s="107"/>
    </row>
    <row r="7" spans="1:18" x14ac:dyDescent="0.2">
      <c r="A7" s="110" t="s">
        <v>7388</v>
      </c>
      <c r="B7" s="107"/>
      <c r="C7" s="107"/>
      <c r="D7" s="107"/>
      <c r="E7" s="107"/>
    </row>
    <row r="8" spans="1:18" x14ac:dyDescent="0.2">
      <c r="A8" s="107" t="s">
        <v>7388</v>
      </c>
      <c r="B8" s="111">
        <v>4.4999999999999998E-2</v>
      </c>
      <c r="C8" s="107"/>
      <c r="D8" s="107"/>
      <c r="E8" s="107"/>
    </row>
    <row r="9" spans="1:18" x14ac:dyDescent="0.2">
      <c r="A9" s="107" t="s">
        <v>7389</v>
      </c>
      <c r="B9" s="109">
        <v>20</v>
      </c>
      <c r="C9" s="107"/>
      <c r="D9" s="107"/>
      <c r="E9" s="107"/>
    </row>
    <row r="10" spans="1:18" x14ac:dyDescent="0.2">
      <c r="A10" s="107" t="s">
        <v>7390</v>
      </c>
      <c r="B10" s="109">
        <v>40</v>
      </c>
      <c r="C10" s="107"/>
      <c r="D10" s="107"/>
      <c r="E10" s="107"/>
    </row>
    <row r="11" spans="1:18" x14ac:dyDescent="0.2">
      <c r="J11" s="108" t="s">
        <v>7391</v>
      </c>
      <c r="K11" s="113">
        <v>0.88</v>
      </c>
    </row>
    <row r="13" spans="1:18" x14ac:dyDescent="0.2">
      <c r="A13" s="114" t="s">
        <v>7392</v>
      </c>
    </row>
    <row r="15" spans="1:18" x14ac:dyDescent="0.2">
      <c r="A15" s="108">
        <v>1</v>
      </c>
      <c r="B15" s="112">
        <f>A15+1</f>
        <v>2</v>
      </c>
      <c r="C15" s="112">
        <f t="shared" ref="C15:E15" si="0">B15+1</f>
        <v>3</v>
      </c>
      <c r="D15" s="112">
        <f t="shared" si="0"/>
        <v>4</v>
      </c>
      <c r="E15" s="112">
        <f t="shared" si="0"/>
        <v>5</v>
      </c>
      <c r="N15" s="108" t="s">
        <v>7393</v>
      </c>
      <c r="Q15" s="108" t="s">
        <v>7394</v>
      </c>
    </row>
    <row r="16" spans="1:18" ht="14.25" x14ac:dyDescent="0.2">
      <c r="A16" s="115" t="s">
        <v>7377</v>
      </c>
      <c r="B16" s="116" t="s">
        <v>7395</v>
      </c>
      <c r="C16" s="116" t="s">
        <v>7396</v>
      </c>
      <c r="D16" s="116" t="s">
        <v>7397</v>
      </c>
      <c r="E16" s="116" t="s">
        <v>7398</v>
      </c>
      <c r="J16" s="115" t="s">
        <v>7377</v>
      </c>
      <c r="K16" s="116" t="s">
        <v>7397</v>
      </c>
      <c r="L16" s="116" t="s">
        <v>7398</v>
      </c>
      <c r="M16" s="34"/>
      <c r="N16" s="116" t="s">
        <v>7384</v>
      </c>
      <c r="O16" s="116" t="s">
        <v>7385</v>
      </c>
      <c r="P16" s="34"/>
      <c r="Q16" s="116" t="s">
        <v>7384</v>
      </c>
      <c r="R16" s="116" t="s">
        <v>7385</v>
      </c>
    </row>
    <row r="17" spans="1:18" ht="14.25" hidden="1" x14ac:dyDescent="0.2">
      <c r="A17" s="117">
        <v>0</v>
      </c>
      <c r="B17" s="118">
        <v>3.15</v>
      </c>
      <c r="C17" s="118">
        <v>-0.74</v>
      </c>
      <c r="D17" s="119">
        <f>K17</f>
        <v>2.81</v>
      </c>
      <c r="E17" s="119">
        <f t="shared" ref="E17:E67" si="1">L17</f>
        <v>-0.67</v>
      </c>
      <c r="G17" s="120"/>
      <c r="H17" s="120"/>
      <c r="I17" s="120"/>
      <c r="J17" s="117">
        <v>0</v>
      </c>
      <c r="K17" s="119">
        <f>ROUND($K$11*N17+(1-$K$11)*Q17,2)</f>
        <v>2.81</v>
      </c>
      <c r="L17" s="119">
        <f>ROUND($K$11*O17+(1-$K$11)*R17,2)</f>
        <v>-0.67</v>
      </c>
      <c r="M17" s="34"/>
      <c r="N17" s="118">
        <f>B17</f>
        <v>3.15</v>
      </c>
      <c r="O17" s="118">
        <f t="shared" ref="O17:O67" si="2">C17</f>
        <v>-0.74</v>
      </c>
      <c r="P17" s="34"/>
      <c r="Q17" s="118">
        <v>0.31</v>
      </c>
      <c r="R17" s="118">
        <v>-0.18</v>
      </c>
    </row>
    <row r="18" spans="1:18" ht="14.25" x14ac:dyDescent="0.2">
      <c r="A18" s="121">
        <v>1</v>
      </c>
      <c r="B18" s="118">
        <v>0.82</v>
      </c>
      <c r="C18" s="118">
        <v>-0.73</v>
      </c>
      <c r="D18" s="119">
        <f t="shared" ref="D18:D67" si="3">K18</f>
        <v>0.75</v>
      </c>
      <c r="E18" s="119">
        <f t="shared" si="1"/>
        <v>-0.66</v>
      </c>
      <c r="G18" s="120"/>
      <c r="H18" s="120"/>
      <c r="I18" s="120"/>
      <c r="J18" s="121">
        <v>1</v>
      </c>
      <c r="K18" s="119">
        <f t="shared" ref="K18:L33" si="4">ROUND($K$11*N18+(1-$K$11)*Q18,2)</f>
        <v>0.75</v>
      </c>
      <c r="L18" s="119">
        <f t="shared" si="4"/>
        <v>-0.66</v>
      </c>
      <c r="M18" s="34"/>
      <c r="N18" s="118">
        <f>B18</f>
        <v>0.82</v>
      </c>
      <c r="O18" s="118">
        <f t="shared" si="2"/>
        <v>-0.73</v>
      </c>
      <c r="P18" s="34"/>
      <c r="Q18" s="118">
        <v>0.23</v>
      </c>
      <c r="R18" s="118">
        <v>-0.12</v>
      </c>
    </row>
    <row r="19" spans="1:18" ht="14.25" x14ac:dyDescent="0.2">
      <c r="A19" s="121">
        <v>2</v>
      </c>
      <c r="B19" s="118">
        <v>0.56999999999999995</v>
      </c>
      <c r="C19" s="118">
        <v>-0.71</v>
      </c>
      <c r="D19" s="119">
        <f t="shared" si="3"/>
        <v>0.52</v>
      </c>
      <c r="E19" s="119">
        <f t="shared" si="1"/>
        <v>-0.64</v>
      </c>
      <c r="G19" s="120"/>
      <c r="H19" s="120"/>
      <c r="I19" s="120"/>
      <c r="J19" s="121">
        <v>2</v>
      </c>
      <c r="K19" s="119">
        <f t="shared" si="4"/>
        <v>0.52</v>
      </c>
      <c r="L19" s="119">
        <f t="shared" si="4"/>
        <v>-0.64</v>
      </c>
      <c r="M19" s="34"/>
      <c r="N19" s="118">
        <f t="shared" ref="N19:N67" si="5">B19</f>
        <v>0.56999999999999995</v>
      </c>
      <c r="O19" s="118">
        <f t="shared" si="2"/>
        <v>-0.71</v>
      </c>
      <c r="P19" s="34"/>
      <c r="Q19" s="118">
        <v>0.18</v>
      </c>
      <c r="R19" s="118">
        <v>-0.11</v>
      </c>
    </row>
    <row r="20" spans="1:18" ht="14.25" x14ac:dyDescent="0.2">
      <c r="A20" s="121">
        <v>3</v>
      </c>
      <c r="B20" s="118">
        <v>0.41</v>
      </c>
      <c r="C20" s="118">
        <v>-0.68</v>
      </c>
      <c r="D20" s="119">
        <f t="shared" si="3"/>
        <v>0.38</v>
      </c>
      <c r="E20" s="119">
        <f t="shared" si="1"/>
        <v>-0.61</v>
      </c>
      <c r="G20" s="120"/>
      <c r="H20" s="120"/>
      <c r="I20" s="120"/>
      <c r="J20" s="121">
        <v>3</v>
      </c>
      <c r="K20" s="119">
        <f t="shared" si="4"/>
        <v>0.38</v>
      </c>
      <c r="L20" s="119">
        <f t="shared" si="4"/>
        <v>-0.61</v>
      </c>
      <c r="M20" s="34"/>
      <c r="N20" s="118">
        <f t="shared" si="5"/>
        <v>0.41</v>
      </c>
      <c r="O20" s="118">
        <f t="shared" si="2"/>
        <v>-0.68</v>
      </c>
      <c r="P20" s="34"/>
      <c r="Q20" s="118">
        <v>0.12</v>
      </c>
      <c r="R20" s="118">
        <v>-0.1</v>
      </c>
    </row>
    <row r="21" spans="1:18" ht="14.25" x14ac:dyDescent="0.2">
      <c r="A21" s="121">
        <v>4</v>
      </c>
      <c r="B21" s="118">
        <v>0.33</v>
      </c>
      <c r="C21" s="118">
        <v>-0.63</v>
      </c>
      <c r="D21" s="119">
        <f t="shared" si="3"/>
        <v>0.3</v>
      </c>
      <c r="E21" s="119">
        <f t="shared" si="1"/>
        <v>-0.56999999999999995</v>
      </c>
      <c r="G21" s="120"/>
      <c r="H21" s="120"/>
      <c r="I21" s="120"/>
      <c r="J21" s="121">
        <v>4</v>
      </c>
      <c r="K21" s="119">
        <f t="shared" si="4"/>
        <v>0.3</v>
      </c>
      <c r="L21" s="119">
        <f t="shared" si="4"/>
        <v>-0.56999999999999995</v>
      </c>
      <c r="M21" s="34"/>
      <c r="N21" s="118">
        <f t="shared" si="5"/>
        <v>0.33</v>
      </c>
      <c r="O21" s="118">
        <f t="shared" si="2"/>
        <v>-0.63</v>
      </c>
      <c r="P21" s="34"/>
      <c r="Q21" s="118">
        <v>0.1</v>
      </c>
      <c r="R21" s="118">
        <v>-0.09</v>
      </c>
    </row>
    <row r="22" spans="1:18" ht="14.25" x14ac:dyDescent="0.2">
      <c r="A22" s="121">
        <v>5</v>
      </c>
      <c r="B22" s="118">
        <v>0.3</v>
      </c>
      <c r="C22" s="118">
        <v>-0.57999999999999996</v>
      </c>
      <c r="D22" s="119">
        <f t="shared" si="3"/>
        <v>0.27</v>
      </c>
      <c r="E22" s="119">
        <f t="shared" si="1"/>
        <v>-0.52</v>
      </c>
      <c r="G22" s="120"/>
      <c r="H22" s="120"/>
      <c r="I22" s="120"/>
      <c r="J22" s="121">
        <v>5</v>
      </c>
      <c r="K22" s="119">
        <f t="shared" si="4"/>
        <v>0.27</v>
      </c>
      <c r="L22" s="119">
        <f t="shared" si="4"/>
        <v>-0.52</v>
      </c>
      <c r="M22" s="34"/>
      <c r="N22" s="118">
        <f t="shared" si="5"/>
        <v>0.3</v>
      </c>
      <c r="O22" s="118">
        <f t="shared" si="2"/>
        <v>-0.57999999999999996</v>
      </c>
      <c r="P22" s="34"/>
      <c r="Q22" s="118">
        <v>0.08</v>
      </c>
      <c r="R22" s="118">
        <v>-0.08</v>
      </c>
    </row>
    <row r="23" spans="1:18" ht="14.25" x14ac:dyDescent="0.2">
      <c r="A23" s="121">
        <v>6</v>
      </c>
      <c r="B23" s="118">
        <v>0.27</v>
      </c>
      <c r="C23" s="118">
        <v>-0.54</v>
      </c>
      <c r="D23" s="119">
        <f t="shared" si="3"/>
        <v>0.25</v>
      </c>
      <c r="E23" s="119">
        <f t="shared" si="1"/>
        <v>-0.48</v>
      </c>
      <c r="G23" s="120"/>
      <c r="H23" s="120"/>
      <c r="I23" s="120"/>
      <c r="J23" s="121">
        <v>6</v>
      </c>
      <c r="K23" s="119">
        <f t="shared" si="4"/>
        <v>0.25</v>
      </c>
      <c r="L23" s="119">
        <f t="shared" si="4"/>
        <v>-0.48</v>
      </c>
      <c r="M23" s="34"/>
      <c r="N23" s="118">
        <f t="shared" si="5"/>
        <v>0.27</v>
      </c>
      <c r="O23" s="118">
        <f t="shared" si="2"/>
        <v>-0.54</v>
      </c>
      <c r="P23" s="34"/>
      <c r="Q23" s="118">
        <v>0.08</v>
      </c>
      <c r="R23" s="118">
        <v>-7.0000000000000007E-2</v>
      </c>
    </row>
    <row r="24" spans="1:18" ht="14.25" x14ac:dyDescent="0.2">
      <c r="A24" s="121">
        <v>7</v>
      </c>
      <c r="B24" s="118">
        <v>0.23</v>
      </c>
      <c r="C24" s="118">
        <v>-0.5</v>
      </c>
      <c r="D24" s="119">
        <f t="shared" si="3"/>
        <v>0.21</v>
      </c>
      <c r="E24" s="119">
        <f t="shared" si="1"/>
        <v>-0.45</v>
      </c>
      <c r="G24" s="120"/>
      <c r="H24" s="120"/>
      <c r="I24" s="120"/>
      <c r="J24" s="121">
        <v>7</v>
      </c>
      <c r="K24" s="119">
        <f t="shared" si="4"/>
        <v>0.21</v>
      </c>
      <c r="L24" s="119">
        <f t="shared" si="4"/>
        <v>-0.45</v>
      </c>
      <c r="M24" s="34"/>
      <c r="N24" s="118">
        <f t="shared" si="5"/>
        <v>0.23</v>
      </c>
      <c r="O24" s="118">
        <f t="shared" si="2"/>
        <v>-0.5</v>
      </c>
      <c r="P24" s="34"/>
      <c r="Q24" s="118">
        <v>7.0000000000000007E-2</v>
      </c>
      <c r="R24" s="118">
        <v>-7.0000000000000007E-2</v>
      </c>
    </row>
    <row r="25" spans="1:18" ht="14.25" x14ac:dyDescent="0.2">
      <c r="A25" s="121">
        <v>8</v>
      </c>
      <c r="B25" s="118">
        <v>0.21</v>
      </c>
      <c r="C25" s="118">
        <v>-0.46</v>
      </c>
      <c r="D25" s="119">
        <f t="shared" si="3"/>
        <v>0.19</v>
      </c>
      <c r="E25" s="119">
        <f t="shared" si="1"/>
        <v>-0.41</v>
      </c>
      <c r="G25" s="120"/>
      <c r="H25" s="120"/>
      <c r="I25" s="120"/>
      <c r="J25" s="121">
        <v>8</v>
      </c>
      <c r="K25" s="119">
        <f t="shared" si="4"/>
        <v>0.19</v>
      </c>
      <c r="L25" s="119">
        <f t="shared" si="4"/>
        <v>-0.41</v>
      </c>
      <c r="M25" s="34"/>
      <c r="N25" s="118">
        <f t="shared" si="5"/>
        <v>0.21</v>
      </c>
      <c r="O25" s="118">
        <f t="shared" si="2"/>
        <v>-0.46</v>
      </c>
      <c r="P25" s="34"/>
      <c r="Q25" s="118">
        <v>0.06</v>
      </c>
      <c r="R25" s="118">
        <v>-0.06</v>
      </c>
    </row>
    <row r="26" spans="1:18" ht="14.25" x14ac:dyDescent="0.2">
      <c r="A26" s="121">
        <v>9</v>
      </c>
      <c r="B26" s="118">
        <v>0.17</v>
      </c>
      <c r="C26" s="118">
        <v>-0.42</v>
      </c>
      <c r="D26" s="119">
        <f t="shared" si="3"/>
        <v>0.16</v>
      </c>
      <c r="E26" s="119">
        <f t="shared" si="1"/>
        <v>-0.38</v>
      </c>
      <c r="G26" s="120"/>
      <c r="H26" s="120"/>
      <c r="I26" s="120"/>
      <c r="J26" s="121">
        <v>9</v>
      </c>
      <c r="K26" s="119">
        <f t="shared" si="4"/>
        <v>0.16</v>
      </c>
      <c r="L26" s="119">
        <f t="shared" si="4"/>
        <v>-0.38</v>
      </c>
      <c r="M26" s="34"/>
      <c r="N26" s="118">
        <f t="shared" si="5"/>
        <v>0.17</v>
      </c>
      <c r="O26" s="118">
        <f t="shared" si="2"/>
        <v>-0.42</v>
      </c>
      <c r="P26" s="34"/>
      <c r="Q26" s="118">
        <v>0.05</v>
      </c>
      <c r="R26" s="118">
        <v>-0.06</v>
      </c>
    </row>
    <row r="27" spans="1:18" ht="14.25" x14ac:dyDescent="0.2">
      <c r="A27" s="121">
        <v>10</v>
      </c>
      <c r="B27" s="118">
        <v>0.14000000000000001</v>
      </c>
      <c r="C27" s="118">
        <v>-0.37</v>
      </c>
      <c r="D27" s="119">
        <f t="shared" si="3"/>
        <v>0.13</v>
      </c>
      <c r="E27" s="119">
        <f t="shared" si="1"/>
        <v>-0.33</v>
      </c>
      <c r="G27" s="120"/>
      <c r="H27" s="120"/>
      <c r="I27" s="120"/>
      <c r="J27" s="121">
        <v>10</v>
      </c>
      <c r="K27" s="119">
        <f t="shared" si="4"/>
        <v>0.13</v>
      </c>
      <c r="L27" s="119">
        <f t="shared" si="4"/>
        <v>-0.33</v>
      </c>
      <c r="M27" s="34"/>
      <c r="N27" s="118">
        <f t="shared" si="5"/>
        <v>0.14000000000000001</v>
      </c>
      <c r="O27" s="118">
        <f t="shared" si="2"/>
        <v>-0.37</v>
      </c>
      <c r="P27" s="34"/>
      <c r="Q27" s="118">
        <v>0.05</v>
      </c>
      <c r="R27" s="118">
        <v>-0.06</v>
      </c>
    </row>
    <row r="28" spans="1:18" ht="14.25" x14ac:dyDescent="0.2">
      <c r="A28" s="121">
        <v>11</v>
      </c>
      <c r="B28" s="118">
        <v>0.13</v>
      </c>
      <c r="C28" s="118">
        <v>-0.36</v>
      </c>
      <c r="D28" s="119">
        <f t="shared" si="3"/>
        <v>0.12</v>
      </c>
      <c r="E28" s="119">
        <f t="shared" si="1"/>
        <v>-0.32</v>
      </c>
      <c r="G28" s="120"/>
      <c r="H28" s="120"/>
      <c r="I28" s="120"/>
      <c r="J28" s="121">
        <v>11</v>
      </c>
      <c r="K28" s="119">
        <f t="shared" si="4"/>
        <v>0.12</v>
      </c>
      <c r="L28" s="119">
        <f t="shared" si="4"/>
        <v>-0.32</v>
      </c>
      <c r="M28" s="34"/>
      <c r="N28" s="118">
        <f t="shared" si="5"/>
        <v>0.13</v>
      </c>
      <c r="O28" s="118">
        <f t="shared" si="2"/>
        <v>-0.36</v>
      </c>
      <c r="P28" s="34"/>
      <c r="Q28" s="118">
        <v>0.05</v>
      </c>
      <c r="R28" s="118">
        <v>-0.06</v>
      </c>
    </row>
    <row r="29" spans="1:18" ht="14.25" x14ac:dyDescent="0.2">
      <c r="A29" s="121">
        <v>12</v>
      </c>
      <c r="B29" s="118">
        <v>0.11</v>
      </c>
      <c r="C29" s="118">
        <v>-0.34</v>
      </c>
      <c r="D29" s="119">
        <f t="shared" si="3"/>
        <v>0.1</v>
      </c>
      <c r="E29" s="119">
        <f t="shared" si="1"/>
        <v>-0.31</v>
      </c>
      <c r="G29" s="120"/>
      <c r="H29" s="120"/>
      <c r="I29" s="120"/>
      <c r="J29" s="121">
        <v>12</v>
      </c>
      <c r="K29" s="119">
        <f t="shared" si="4"/>
        <v>0.1</v>
      </c>
      <c r="L29" s="119">
        <f t="shared" si="4"/>
        <v>-0.31</v>
      </c>
      <c r="M29" s="34"/>
      <c r="N29" s="118">
        <f t="shared" si="5"/>
        <v>0.11</v>
      </c>
      <c r="O29" s="118">
        <f t="shared" si="2"/>
        <v>-0.34</v>
      </c>
      <c r="P29" s="34"/>
      <c r="Q29" s="118">
        <v>0.05</v>
      </c>
      <c r="R29" s="118">
        <v>-0.05</v>
      </c>
    </row>
    <row r="30" spans="1:18" ht="14.25" x14ac:dyDescent="0.2">
      <c r="A30" s="121">
        <v>13</v>
      </c>
      <c r="B30" s="118">
        <v>0.09</v>
      </c>
      <c r="C30" s="118">
        <v>-0.32</v>
      </c>
      <c r="D30" s="119">
        <f t="shared" si="3"/>
        <v>0.09</v>
      </c>
      <c r="E30" s="119">
        <f t="shared" si="1"/>
        <v>-0.28999999999999998</v>
      </c>
      <c r="G30" s="120"/>
      <c r="H30" s="120"/>
      <c r="I30" s="120"/>
      <c r="J30" s="121">
        <v>13</v>
      </c>
      <c r="K30" s="119">
        <f t="shared" si="4"/>
        <v>0.09</v>
      </c>
      <c r="L30" s="119">
        <f t="shared" si="4"/>
        <v>-0.28999999999999998</v>
      </c>
      <c r="M30" s="34"/>
      <c r="N30" s="118">
        <f t="shared" si="5"/>
        <v>0.09</v>
      </c>
      <c r="O30" s="118">
        <f t="shared" si="2"/>
        <v>-0.32</v>
      </c>
      <c r="P30" s="34"/>
      <c r="Q30" s="118">
        <v>0.05</v>
      </c>
      <c r="R30" s="118">
        <v>-0.05</v>
      </c>
    </row>
    <row r="31" spans="1:18" ht="14.25" x14ac:dyDescent="0.2">
      <c r="A31" s="121">
        <v>14</v>
      </c>
      <c r="B31" s="118">
        <v>7.0000000000000007E-2</v>
      </c>
      <c r="C31" s="118">
        <v>-0.3</v>
      </c>
      <c r="D31" s="119">
        <f t="shared" si="3"/>
        <v>7.0000000000000007E-2</v>
      </c>
      <c r="E31" s="119">
        <f t="shared" si="1"/>
        <v>-0.27</v>
      </c>
      <c r="G31" s="120"/>
      <c r="H31" s="120"/>
      <c r="I31" s="120"/>
      <c r="J31" s="121">
        <v>14</v>
      </c>
      <c r="K31" s="119">
        <f t="shared" si="4"/>
        <v>7.0000000000000007E-2</v>
      </c>
      <c r="L31" s="119">
        <f t="shared" si="4"/>
        <v>-0.27</v>
      </c>
      <c r="M31" s="34"/>
      <c r="N31" s="118">
        <f t="shared" si="5"/>
        <v>7.0000000000000007E-2</v>
      </c>
      <c r="O31" s="118">
        <f t="shared" si="2"/>
        <v>-0.3</v>
      </c>
      <c r="P31" s="34"/>
      <c r="Q31" s="118">
        <v>0.05</v>
      </c>
      <c r="R31" s="118">
        <v>-0.04</v>
      </c>
    </row>
    <row r="32" spans="1:18" ht="14.25" x14ac:dyDescent="0.2">
      <c r="A32" s="121">
        <v>15</v>
      </c>
      <c r="B32" s="118">
        <v>0.05</v>
      </c>
      <c r="C32" s="118">
        <v>-0.28000000000000003</v>
      </c>
      <c r="D32" s="119">
        <f t="shared" si="3"/>
        <v>0.05</v>
      </c>
      <c r="E32" s="119">
        <f t="shared" si="1"/>
        <v>-0.25</v>
      </c>
      <c r="G32" s="120"/>
      <c r="H32" s="120"/>
      <c r="I32" s="120"/>
      <c r="J32" s="121">
        <v>15</v>
      </c>
      <c r="K32" s="119">
        <f t="shared" si="4"/>
        <v>0.05</v>
      </c>
      <c r="L32" s="119">
        <f t="shared" si="4"/>
        <v>-0.25</v>
      </c>
      <c r="M32" s="34"/>
      <c r="N32" s="118">
        <f t="shared" si="5"/>
        <v>0.05</v>
      </c>
      <c r="O32" s="118">
        <f t="shared" si="2"/>
        <v>-0.28000000000000003</v>
      </c>
      <c r="P32" s="34"/>
      <c r="Q32" s="118">
        <v>0.05</v>
      </c>
      <c r="R32" s="118">
        <v>-0.04</v>
      </c>
    </row>
    <row r="33" spans="1:18" ht="14.25" x14ac:dyDescent="0.2">
      <c r="A33" s="121">
        <v>16</v>
      </c>
      <c r="B33" s="118">
        <v>0.05</v>
      </c>
      <c r="C33" s="118">
        <v>-0.28000000000000003</v>
      </c>
      <c r="D33" s="119">
        <f t="shared" si="3"/>
        <v>0.05</v>
      </c>
      <c r="E33" s="119">
        <f t="shared" si="1"/>
        <v>-0.25</v>
      </c>
      <c r="G33" s="120"/>
      <c r="H33" s="120"/>
      <c r="I33" s="120"/>
      <c r="J33" s="121">
        <v>16</v>
      </c>
      <c r="K33" s="119">
        <f t="shared" si="4"/>
        <v>0.05</v>
      </c>
      <c r="L33" s="119">
        <f t="shared" si="4"/>
        <v>-0.25</v>
      </c>
      <c r="M33" s="34"/>
      <c r="N33" s="118">
        <f t="shared" si="5"/>
        <v>0.05</v>
      </c>
      <c r="O33" s="118">
        <f t="shared" si="2"/>
        <v>-0.28000000000000003</v>
      </c>
      <c r="P33" s="34"/>
      <c r="Q33" s="118">
        <v>0.05</v>
      </c>
      <c r="R33" s="118">
        <v>-0.04</v>
      </c>
    </row>
    <row r="34" spans="1:18" ht="14.25" x14ac:dyDescent="0.2">
      <c r="A34" s="121">
        <v>17</v>
      </c>
      <c r="B34" s="118">
        <v>0.05</v>
      </c>
      <c r="C34" s="118">
        <v>-0.27</v>
      </c>
      <c r="D34" s="119">
        <f t="shared" si="3"/>
        <v>0.05</v>
      </c>
      <c r="E34" s="119">
        <f t="shared" si="1"/>
        <v>-0.24</v>
      </c>
      <c r="G34" s="120"/>
      <c r="H34" s="120"/>
      <c r="I34" s="120"/>
      <c r="J34" s="121">
        <v>17</v>
      </c>
      <c r="K34" s="119">
        <f t="shared" ref="K34:L64" si="6">ROUND($K$11*N34+(1-$K$11)*Q34,2)</f>
        <v>0.05</v>
      </c>
      <c r="L34" s="119">
        <f t="shared" si="6"/>
        <v>-0.24</v>
      </c>
      <c r="M34" s="34"/>
      <c r="N34" s="118">
        <f t="shared" si="5"/>
        <v>0.05</v>
      </c>
      <c r="O34" s="118">
        <f t="shared" si="2"/>
        <v>-0.27</v>
      </c>
      <c r="P34" s="34"/>
      <c r="Q34" s="118">
        <v>0.05</v>
      </c>
      <c r="R34" s="118">
        <v>-0.04</v>
      </c>
    </row>
    <row r="35" spans="1:18" ht="14.25" x14ac:dyDescent="0.2">
      <c r="A35" s="121">
        <v>18</v>
      </c>
      <c r="B35" s="118">
        <v>0.05</v>
      </c>
      <c r="C35" s="118">
        <v>-0.26</v>
      </c>
      <c r="D35" s="119">
        <f t="shared" si="3"/>
        <v>0.05</v>
      </c>
      <c r="E35" s="119">
        <f t="shared" si="1"/>
        <v>-0.23</v>
      </c>
      <c r="G35" s="120"/>
      <c r="H35" s="120"/>
      <c r="I35" s="120"/>
      <c r="J35" s="121">
        <v>18</v>
      </c>
      <c r="K35" s="119">
        <f t="shared" si="6"/>
        <v>0.05</v>
      </c>
      <c r="L35" s="119">
        <f t="shared" si="6"/>
        <v>-0.23</v>
      </c>
      <c r="M35" s="34"/>
      <c r="N35" s="118">
        <f t="shared" si="5"/>
        <v>0.05</v>
      </c>
      <c r="O35" s="118">
        <f t="shared" si="2"/>
        <v>-0.26</v>
      </c>
      <c r="P35" s="34"/>
      <c r="Q35" s="118">
        <v>0.05</v>
      </c>
      <c r="R35" s="118">
        <v>-0.04</v>
      </c>
    </row>
    <row r="36" spans="1:18" ht="14.25" x14ac:dyDescent="0.2">
      <c r="A36" s="121">
        <v>19</v>
      </c>
      <c r="B36" s="118">
        <v>0.04</v>
      </c>
      <c r="C36" s="118">
        <v>-0.25</v>
      </c>
      <c r="D36" s="119">
        <f t="shared" si="3"/>
        <v>0.04</v>
      </c>
      <c r="E36" s="119">
        <f t="shared" si="1"/>
        <v>-0.22</v>
      </c>
      <c r="G36" s="120"/>
      <c r="H36" s="120"/>
      <c r="I36" s="120"/>
      <c r="J36" s="121">
        <v>19</v>
      </c>
      <c r="K36" s="119">
        <f t="shared" si="6"/>
        <v>0.04</v>
      </c>
      <c r="L36" s="119">
        <f t="shared" si="6"/>
        <v>-0.22</v>
      </c>
      <c r="M36" s="34"/>
      <c r="N36" s="118">
        <f t="shared" si="5"/>
        <v>0.04</v>
      </c>
      <c r="O36" s="118">
        <f t="shared" si="2"/>
        <v>-0.25</v>
      </c>
      <c r="P36" s="34"/>
      <c r="Q36" s="118">
        <v>0.05</v>
      </c>
      <c r="R36" s="118">
        <v>-0.04</v>
      </c>
    </row>
    <row r="37" spans="1:18" ht="14.25" x14ac:dyDescent="0.2">
      <c r="A37" s="121">
        <v>20</v>
      </c>
      <c r="B37" s="118">
        <v>0.04</v>
      </c>
      <c r="C37" s="118">
        <v>-0.24</v>
      </c>
      <c r="D37" s="119">
        <f t="shared" si="3"/>
        <v>0.04</v>
      </c>
      <c r="E37" s="119">
        <f t="shared" si="1"/>
        <v>-0.21</v>
      </c>
      <c r="G37" s="120"/>
      <c r="H37" s="120"/>
      <c r="I37" s="120"/>
      <c r="J37" s="121">
        <v>20</v>
      </c>
      <c r="K37" s="119">
        <f t="shared" si="6"/>
        <v>0.04</v>
      </c>
      <c r="L37" s="119">
        <f t="shared" si="6"/>
        <v>-0.21</v>
      </c>
      <c r="M37" s="34"/>
      <c r="N37" s="118">
        <f t="shared" si="5"/>
        <v>0.04</v>
      </c>
      <c r="O37" s="118">
        <f t="shared" si="2"/>
        <v>-0.24</v>
      </c>
      <c r="P37" s="34"/>
      <c r="Q37" s="118">
        <v>0.05</v>
      </c>
      <c r="R37" s="118">
        <v>-0.03</v>
      </c>
    </row>
    <row r="38" spans="1:18" ht="14.25" x14ac:dyDescent="0.2">
      <c r="A38" s="121">
        <v>21</v>
      </c>
      <c r="B38" s="118">
        <v>0.04</v>
      </c>
      <c r="C38" s="118">
        <v>-0.24</v>
      </c>
      <c r="D38" s="119">
        <f t="shared" si="3"/>
        <v>0.04</v>
      </c>
      <c r="E38" s="119">
        <f t="shared" si="1"/>
        <v>-0.21</v>
      </c>
      <c r="G38" s="120"/>
      <c r="H38" s="120"/>
      <c r="I38" s="120"/>
      <c r="J38" s="121">
        <v>21</v>
      </c>
      <c r="K38" s="119">
        <f t="shared" si="6"/>
        <v>0.04</v>
      </c>
      <c r="L38" s="119">
        <f t="shared" si="6"/>
        <v>-0.21</v>
      </c>
      <c r="M38" s="34"/>
      <c r="N38" s="118">
        <f t="shared" si="5"/>
        <v>0.04</v>
      </c>
      <c r="O38" s="118">
        <f t="shared" si="2"/>
        <v>-0.24</v>
      </c>
      <c r="P38" s="34"/>
      <c r="Q38" s="118">
        <v>0.05</v>
      </c>
      <c r="R38" s="118">
        <v>-0.03</v>
      </c>
    </row>
    <row r="39" spans="1:18" ht="14.25" x14ac:dyDescent="0.2">
      <c r="A39" s="121">
        <v>22</v>
      </c>
      <c r="B39" s="118">
        <v>0.04</v>
      </c>
      <c r="C39" s="118">
        <v>-0.24</v>
      </c>
      <c r="D39" s="119">
        <f t="shared" si="3"/>
        <v>0.04</v>
      </c>
      <c r="E39" s="119">
        <f t="shared" si="1"/>
        <v>-0.21</v>
      </c>
      <c r="G39" s="120"/>
      <c r="H39" s="120"/>
      <c r="I39" s="120"/>
      <c r="J39" s="121">
        <v>22</v>
      </c>
      <c r="K39" s="119">
        <f t="shared" si="6"/>
        <v>0.04</v>
      </c>
      <c r="L39" s="119">
        <f t="shared" si="6"/>
        <v>-0.21</v>
      </c>
      <c r="M39" s="34"/>
      <c r="N39" s="118">
        <f t="shared" si="5"/>
        <v>0.04</v>
      </c>
      <c r="O39" s="118">
        <f t="shared" si="2"/>
        <v>-0.24</v>
      </c>
      <c r="P39" s="34"/>
      <c r="Q39" s="118">
        <v>0.05</v>
      </c>
      <c r="R39" s="118">
        <v>-0.03</v>
      </c>
    </row>
    <row r="40" spans="1:18" ht="14.25" x14ac:dyDescent="0.2">
      <c r="A40" s="121">
        <v>23</v>
      </c>
      <c r="B40" s="118">
        <v>0.04</v>
      </c>
      <c r="C40" s="118">
        <v>-0.24</v>
      </c>
      <c r="D40" s="119">
        <f t="shared" si="3"/>
        <v>0.04</v>
      </c>
      <c r="E40" s="119">
        <f t="shared" si="1"/>
        <v>-0.21</v>
      </c>
      <c r="G40" s="120"/>
      <c r="H40" s="120"/>
      <c r="I40" s="120"/>
      <c r="J40" s="121">
        <v>23</v>
      </c>
      <c r="K40" s="119">
        <f t="shared" si="6"/>
        <v>0.04</v>
      </c>
      <c r="L40" s="119">
        <f t="shared" si="6"/>
        <v>-0.21</v>
      </c>
      <c r="M40" s="34"/>
      <c r="N40" s="118">
        <f t="shared" si="5"/>
        <v>0.04</v>
      </c>
      <c r="O40" s="118">
        <f t="shared" si="2"/>
        <v>-0.24</v>
      </c>
      <c r="P40" s="34"/>
      <c r="Q40" s="118">
        <v>0.05</v>
      </c>
      <c r="R40" s="118">
        <v>-0.03</v>
      </c>
    </row>
    <row r="41" spans="1:18" ht="14.25" x14ac:dyDescent="0.2">
      <c r="A41" s="121">
        <v>24</v>
      </c>
      <c r="B41" s="118">
        <v>0.04</v>
      </c>
      <c r="C41" s="118">
        <v>-0.24</v>
      </c>
      <c r="D41" s="119">
        <f t="shared" si="3"/>
        <v>0.04</v>
      </c>
      <c r="E41" s="119">
        <f t="shared" si="1"/>
        <v>-0.21</v>
      </c>
      <c r="G41" s="120"/>
      <c r="H41" s="120"/>
      <c r="I41" s="120"/>
      <c r="J41" s="121">
        <v>24</v>
      </c>
      <c r="K41" s="119">
        <f t="shared" si="6"/>
        <v>0.04</v>
      </c>
      <c r="L41" s="119">
        <f t="shared" si="6"/>
        <v>-0.21</v>
      </c>
      <c r="M41" s="34"/>
      <c r="N41" s="118">
        <f t="shared" si="5"/>
        <v>0.04</v>
      </c>
      <c r="O41" s="118">
        <f t="shared" si="2"/>
        <v>-0.24</v>
      </c>
      <c r="P41" s="34"/>
      <c r="Q41" s="118">
        <v>0.05</v>
      </c>
      <c r="R41" s="118">
        <v>-0.03</v>
      </c>
    </row>
    <row r="42" spans="1:18" ht="14.25" x14ac:dyDescent="0.2">
      <c r="A42" s="121">
        <v>25</v>
      </c>
      <c r="B42" s="118">
        <v>0.04</v>
      </c>
      <c r="C42" s="118">
        <v>-0.24</v>
      </c>
      <c r="D42" s="119">
        <f t="shared" si="3"/>
        <v>0.04</v>
      </c>
      <c r="E42" s="119">
        <f t="shared" si="1"/>
        <v>-0.21</v>
      </c>
      <c r="G42" s="120"/>
      <c r="H42" s="120"/>
      <c r="I42" s="120"/>
      <c r="J42" s="121">
        <v>25</v>
      </c>
      <c r="K42" s="119">
        <f t="shared" si="6"/>
        <v>0.04</v>
      </c>
      <c r="L42" s="119">
        <f t="shared" si="6"/>
        <v>-0.21</v>
      </c>
      <c r="M42" s="34"/>
      <c r="N42" s="118">
        <f t="shared" si="5"/>
        <v>0.04</v>
      </c>
      <c r="O42" s="118">
        <f t="shared" si="2"/>
        <v>-0.24</v>
      </c>
      <c r="P42" s="34"/>
      <c r="Q42" s="118">
        <v>0.05</v>
      </c>
      <c r="R42" s="118">
        <v>-0.03</v>
      </c>
    </row>
    <row r="43" spans="1:18" ht="14.25" x14ac:dyDescent="0.2">
      <c r="A43" s="121">
        <v>26</v>
      </c>
      <c r="B43" s="118">
        <v>0.04</v>
      </c>
      <c r="C43" s="118">
        <v>-0.24</v>
      </c>
      <c r="D43" s="119">
        <f t="shared" si="3"/>
        <v>0.04</v>
      </c>
      <c r="E43" s="119">
        <f t="shared" si="1"/>
        <v>-0.21</v>
      </c>
      <c r="G43" s="120"/>
      <c r="H43" s="120"/>
      <c r="I43" s="120"/>
      <c r="J43" s="121">
        <v>26</v>
      </c>
      <c r="K43" s="119">
        <f t="shared" si="6"/>
        <v>0.04</v>
      </c>
      <c r="L43" s="119">
        <f t="shared" si="6"/>
        <v>-0.21</v>
      </c>
      <c r="M43" s="34"/>
      <c r="N43" s="118">
        <f t="shared" si="5"/>
        <v>0.04</v>
      </c>
      <c r="O43" s="118">
        <f t="shared" si="2"/>
        <v>-0.24</v>
      </c>
      <c r="P43" s="34"/>
      <c r="Q43" s="118">
        <v>0.05</v>
      </c>
      <c r="R43" s="118">
        <v>-0.03</v>
      </c>
    </row>
    <row r="44" spans="1:18" ht="14.25" x14ac:dyDescent="0.2">
      <c r="A44" s="121">
        <v>27</v>
      </c>
      <c r="B44" s="118">
        <v>0.04</v>
      </c>
      <c r="C44" s="118">
        <v>-0.24</v>
      </c>
      <c r="D44" s="119">
        <f t="shared" si="3"/>
        <v>0.04</v>
      </c>
      <c r="E44" s="119">
        <f t="shared" si="1"/>
        <v>-0.21</v>
      </c>
      <c r="G44" s="120"/>
      <c r="H44" s="120"/>
      <c r="I44" s="120"/>
      <c r="J44" s="121">
        <v>27</v>
      </c>
      <c r="K44" s="119">
        <f t="shared" si="6"/>
        <v>0.04</v>
      </c>
      <c r="L44" s="119">
        <f t="shared" si="6"/>
        <v>-0.21</v>
      </c>
      <c r="M44" s="34"/>
      <c r="N44" s="118">
        <f t="shared" si="5"/>
        <v>0.04</v>
      </c>
      <c r="O44" s="118">
        <f t="shared" si="2"/>
        <v>-0.24</v>
      </c>
      <c r="P44" s="34"/>
      <c r="Q44" s="118">
        <v>0.05</v>
      </c>
      <c r="R44" s="118">
        <v>-0.03</v>
      </c>
    </row>
    <row r="45" spans="1:18" ht="14.25" x14ac:dyDescent="0.2">
      <c r="A45" s="121">
        <v>28</v>
      </c>
      <c r="B45" s="118">
        <v>0.04</v>
      </c>
      <c r="C45" s="118">
        <v>-0.24</v>
      </c>
      <c r="D45" s="119">
        <f t="shared" si="3"/>
        <v>0.04</v>
      </c>
      <c r="E45" s="119">
        <f t="shared" si="1"/>
        <v>-0.21</v>
      </c>
      <c r="G45" s="120"/>
      <c r="H45" s="120"/>
      <c r="I45" s="120"/>
      <c r="J45" s="121">
        <v>28</v>
      </c>
      <c r="K45" s="119">
        <f t="shared" si="6"/>
        <v>0.04</v>
      </c>
      <c r="L45" s="119">
        <f t="shared" si="6"/>
        <v>-0.21</v>
      </c>
      <c r="M45" s="34"/>
      <c r="N45" s="118">
        <f t="shared" si="5"/>
        <v>0.04</v>
      </c>
      <c r="O45" s="118">
        <f t="shared" si="2"/>
        <v>-0.24</v>
      </c>
      <c r="P45" s="34"/>
      <c r="Q45" s="118">
        <v>0.05</v>
      </c>
      <c r="R45" s="118">
        <v>-0.03</v>
      </c>
    </row>
    <row r="46" spans="1:18" ht="14.25" x14ac:dyDescent="0.2">
      <c r="A46" s="121">
        <v>29</v>
      </c>
      <c r="B46" s="118">
        <v>0.04</v>
      </c>
      <c r="C46" s="118">
        <v>-0.24</v>
      </c>
      <c r="D46" s="119">
        <f t="shared" si="3"/>
        <v>0.04</v>
      </c>
      <c r="E46" s="119">
        <f t="shared" si="1"/>
        <v>-0.21</v>
      </c>
      <c r="G46" s="120"/>
      <c r="H46" s="120"/>
      <c r="I46" s="120"/>
      <c r="J46" s="121">
        <v>29</v>
      </c>
      <c r="K46" s="119">
        <f t="shared" si="6"/>
        <v>0.04</v>
      </c>
      <c r="L46" s="119">
        <f t="shared" si="6"/>
        <v>-0.21</v>
      </c>
      <c r="M46" s="34"/>
      <c r="N46" s="118">
        <f t="shared" si="5"/>
        <v>0.04</v>
      </c>
      <c r="O46" s="118">
        <f t="shared" si="2"/>
        <v>-0.24</v>
      </c>
      <c r="P46" s="34"/>
      <c r="Q46" s="118">
        <v>0.04</v>
      </c>
      <c r="R46" s="118">
        <v>-0.03</v>
      </c>
    </row>
    <row r="47" spans="1:18" ht="14.25" x14ac:dyDescent="0.2">
      <c r="A47" s="122">
        <v>30</v>
      </c>
      <c r="B47" s="123">
        <v>0.04</v>
      </c>
      <c r="C47" s="123">
        <v>-0.24</v>
      </c>
      <c r="D47" s="124">
        <f t="shared" si="3"/>
        <v>0.04</v>
      </c>
      <c r="E47" s="124">
        <f t="shared" si="1"/>
        <v>-0.21</v>
      </c>
      <c r="G47" s="120"/>
      <c r="H47" s="120"/>
      <c r="I47" s="120"/>
      <c r="J47" s="122">
        <v>30</v>
      </c>
      <c r="K47" s="124">
        <f t="shared" si="6"/>
        <v>0.04</v>
      </c>
      <c r="L47" s="124">
        <f t="shared" si="6"/>
        <v>-0.21</v>
      </c>
      <c r="M47" s="34"/>
      <c r="N47" s="123">
        <f t="shared" si="5"/>
        <v>0.04</v>
      </c>
      <c r="O47" s="123">
        <f t="shared" si="2"/>
        <v>-0.24</v>
      </c>
      <c r="P47" s="34"/>
      <c r="Q47" s="123">
        <v>0.04</v>
      </c>
      <c r="R47" s="123">
        <v>-0.03</v>
      </c>
    </row>
    <row r="48" spans="1:18" x14ac:dyDescent="0.2">
      <c r="A48" s="125">
        <v>31</v>
      </c>
      <c r="B48" s="126">
        <v>0.04</v>
      </c>
      <c r="C48" s="126">
        <v>-0.24</v>
      </c>
      <c r="D48" s="127">
        <f t="shared" si="3"/>
        <v>0.04</v>
      </c>
      <c r="E48" s="127">
        <f t="shared" si="1"/>
        <v>-0.21</v>
      </c>
      <c r="G48" s="120"/>
      <c r="H48" s="120"/>
      <c r="I48" s="120"/>
      <c r="J48" s="125">
        <v>31</v>
      </c>
      <c r="K48" s="127">
        <f t="shared" si="6"/>
        <v>0.04</v>
      </c>
      <c r="L48" s="127">
        <f t="shared" si="6"/>
        <v>-0.21</v>
      </c>
      <c r="N48" s="126">
        <f t="shared" si="5"/>
        <v>0.04</v>
      </c>
      <c r="O48" s="126">
        <f t="shared" si="2"/>
        <v>-0.24</v>
      </c>
      <c r="Q48" s="126">
        <v>0.04</v>
      </c>
      <c r="R48" s="126">
        <v>-0.03</v>
      </c>
    </row>
    <row r="49" spans="1:18" x14ac:dyDescent="0.2">
      <c r="A49" s="121">
        <v>32</v>
      </c>
      <c r="B49" s="118">
        <v>0.04</v>
      </c>
      <c r="C49" s="118">
        <v>-0.24</v>
      </c>
      <c r="D49" s="119">
        <f t="shared" si="3"/>
        <v>0.04</v>
      </c>
      <c r="E49" s="119">
        <f t="shared" si="1"/>
        <v>-0.21</v>
      </c>
      <c r="G49" s="120"/>
      <c r="H49" s="120"/>
      <c r="I49" s="120"/>
      <c r="J49" s="121">
        <v>32</v>
      </c>
      <c r="K49" s="119">
        <f t="shared" si="6"/>
        <v>0.04</v>
      </c>
      <c r="L49" s="119">
        <f t="shared" si="6"/>
        <v>-0.21</v>
      </c>
      <c r="N49" s="118">
        <f t="shared" si="5"/>
        <v>0.04</v>
      </c>
      <c r="O49" s="118">
        <f t="shared" si="2"/>
        <v>-0.24</v>
      </c>
      <c r="Q49" s="118">
        <v>0.04</v>
      </c>
      <c r="R49" s="118">
        <v>-0.03</v>
      </c>
    </row>
    <row r="50" spans="1:18" x14ac:dyDescent="0.2">
      <c r="A50" s="121">
        <v>33</v>
      </c>
      <c r="B50" s="118">
        <v>0.04</v>
      </c>
      <c r="C50" s="118">
        <v>-0.24</v>
      </c>
      <c r="D50" s="119">
        <f t="shared" si="3"/>
        <v>0.04</v>
      </c>
      <c r="E50" s="119">
        <f t="shared" si="1"/>
        <v>-0.21</v>
      </c>
      <c r="G50" s="120"/>
      <c r="H50" s="120"/>
      <c r="I50" s="120"/>
      <c r="J50" s="121">
        <v>33</v>
      </c>
      <c r="K50" s="119">
        <f t="shared" si="6"/>
        <v>0.04</v>
      </c>
      <c r="L50" s="119">
        <f t="shared" si="6"/>
        <v>-0.21</v>
      </c>
      <c r="N50" s="118">
        <f t="shared" si="5"/>
        <v>0.04</v>
      </c>
      <c r="O50" s="118">
        <f t="shared" si="2"/>
        <v>-0.24</v>
      </c>
      <c r="Q50" s="118">
        <v>0.04</v>
      </c>
      <c r="R50" s="118">
        <v>-0.03</v>
      </c>
    </row>
    <row r="51" spans="1:18" x14ac:dyDescent="0.2">
      <c r="A51" s="121">
        <v>34</v>
      </c>
      <c r="B51" s="118">
        <v>0.04</v>
      </c>
      <c r="C51" s="118">
        <v>-0.24</v>
      </c>
      <c r="D51" s="119">
        <f t="shared" si="3"/>
        <v>0.04</v>
      </c>
      <c r="E51" s="119">
        <f t="shared" si="1"/>
        <v>-0.21</v>
      </c>
      <c r="G51" s="120"/>
      <c r="H51" s="120"/>
      <c r="I51" s="120"/>
      <c r="J51" s="121">
        <v>34</v>
      </c>
      <c r="K51" s="119">
        <f t="shared" si="6"/>
        <v>0.04</v>
      </c>
      <c r="L51" s="119">
        <f t="shared" si="6"/>
        <v>-0.21</v>
      </c>
      <c r="N51" s="118">
        <f t="shared" si="5"/>
        <v>0.04</v>
      </c>
      <c r="O51" s="118">
        <f t="shared" si="2"/>
        <v>-0.24</v>
      </c>
      <c r="Q51" s="118">
        <v>0.04</v>
      </c>
      <c r="R51" s="118">
        <v>-0.03</v>
      </c>
    </row>
    <row r="52" spans="1:18" x14ac:dyDescent="0.2">
      <c r="A52" s="121">
        <v>35</v>
      </c>
      <c r="B52" s="118">
        <v>0.04</v>
      </c>
      <c r="C52" s="118">
        <v>-0.24</v>
      </c>
      <c r="D52" s="119">
        <f t="shared" si="3"/>
        <v>0.04</v>
      </c>
      <c r="E52" s="119">
        <f t="shared" si="1"/>
        <v>-0.21</v>
      </c>
      <c r="G52" s="120"/>
      <c r="H52" s="120"/>
      <c r="I52" s="120"/>
      <c r="J52" s="121">
        <v>35</v>
      </c>
      <c r="K52" s="119">
        <f t="shared" si="6"/>
        <v>0.04</v>
      </c>
      <c r="L52" s="119">
        <f t="shared" si="6"/>
        <v>-0.21</v>
      </c>
      <c r="N52" s="118">
        <f t="shared" si="5"/>
        <v>0.04</v>
      </c>
      <c r="O52" s="118">
        <f t="shared" si="2"/>
        <v>-0.24</v>
      </c>
      <c r="Q52" s="118">
        <v>0.04</v>
      </c>
      <c r="R52" s="118">
        <v>-0.03</v>
      </c>
    </row>
    <row r="53" spans="1:18" x14ac:dyDescent="0.2">
      <c r="A53" s="121">
        <v>36</v>
      </c>
      <c r="B53" s="118">
        <v>0.04</v>
      </c>
      <c r="C53" s="118">
        <v>-0.24</v>
      </c>
      <c r="D53" s="119">
        <f t="shared" si="3"/>
        <v>0.04</v>
      </c>
      <c r="E53" s="119">
        <f t="shared" si="1"/>
        <v>-0.21</v>
      </c>
      <c r="G53" s="120"/>
      <c r="H53" s="120"/>
      <c r="I53" s="120"/>
      <c r="J53" s="121">
        <v>36</v>
      </c>
      <c r="K53" s="119">
        <f t="shared" si="6"/>
        <v>0.04</v>
      </c>
      <c r="L53" s="119">
        <f t="shared" si="6"/>
        <v>-0.21</v>
      </c>
      <c r="N53" s="118">
        <f t="shared" si="5"/>
        <v>0.04</v>
      </c>
      <c r="O53" s="118">
        <f t="shared" si="2"/>
        <v>-0.24</v>
      </c>
      <c r="Q53" s="118">
        <v>0.04</v>
      </c>
      <c r="R53" s="118">
        <v>-0.03</v>
      </c>
    </row>
    <row r="54" spans="1:18" x14ac:dyDescent="0.2">
      <c r="A54" s="121">
        <v>37</v>
      </c>
      <c r="B54" s="118">
        <v>0.04</v>
      </c>
      <c r="C54" s="118">
        <v>-0.24</v>
      </c>
      <c r="D54" s="119">
        <f t="shared" si="3"/>
        <v>0.04</v>
      </c>
      <c r="E54" s="119">
        <f t="shared" si="1"/>
        <v>-0.21</v>
      </c>
      <c r="G54" s="120"/>
      <c r="H54" s="120"/>
      <c r="I54" s="120"/>
      <c r="J54" s="121">
        <v>37</v>
      </c>
      <c r="K54" s="119">
        <f t="shared" si="6"/>
        <v>0.04</v>
      </c>
      <c r="L54" s="119">
        <f t="shared" si="6"/>
        <v>-0.21</v>
      </c>
      <c r="N54" s="118">
        <f t="shared" si="5"/>
        <v>0.04</v>
      </c>
      <c r="O54" s="118">
        <f t="shared" si="2"/>
        <v>-0.24</v>
      </c>
      <c r="Q54" s="118">
        <v>0.04</v>
      </c>
      <c r="R54" s="118">
        <v>-0.03</v>
      </c>
    </row>
    <row r="55" spans="1:18" x14ac:dyDescent="0.2">
      <c r="A55" s="121">
        <v>38</v>
      </c>
      <c r="B55" s="118">
        <v>0.04</v>
      </c>
      <c r="C55" s="118">
        <v>-0.24</v>
      </c>
      <c r="D55" s="119">
        <f t="shared" si="3"/>
        <v>0.04</v>
      </c>
      <c r="E55" s="119">
        <f t="shared" si="1"/>
        <v>-0.21</v>
      </c>
      <c r="G55" s="120"/>
      <c r="H55" s="120"/>
      <c r="I55" s="120"/>
      <c r="J55" s="121">
        <v>38</v>
      </c>
      <c r="K55" s="119">
        <f t="shared" si="6"/>
        <v>0.04</v>
      </c>
      <c r="L55" s="119">
        <f t="shared" si="6"/>
        <v>-0.21</v>
      </c>
      <c r="N55" s="118">
        <f t="shared" si="5"/>
        <v>0.04</v>
      </c>
      <c r="O55" s="118">
        <f t="shared" si="2"/>
        <v>-0.24</v>
      </c>
      <c r="Q55" s="118">
        <v>0.04</v>
      </c>
      <c r="R55" s="118">
        <v>-0.03</v>
      </c>
    </row>
    <row r="56" spans="1:18" x14ac:dyDescent="0.2">
      <c r="A56" s="121">
        <v>39</v>
      </c>
      <c r="B56" s="118">
        <v>0.04</v>
      </c>
      <c r="C56" s="118">
        <v>-0.24</v>
      </c>
      <c r="D56" s="119">
        <f t="shared" si="3"/>
        <v>0.04</v>
      </c>
      <c r="E56" s="119">
        <f t="shared" si="1"/>
        <v>-0.21</v>
      </c>
      <c r="G56" s="120"/>
      <c r="H56" s="120"/>
      <c r="I56" s="120"/>
      <c r="J56" s="121">
        <v>39</v>
      </c>
      <c r="K56" s="119">
        <f t="shared" si="6"/>
        <v>0.04</v>
      </c>
      <c r="L56" s="119">
        <f t="shared" si="6"/>
        <v>-0.21</v>
      </c>
      <c r="N56" s="118">
        <f t="shared" si="5"/>
        <v>0.04</v>
      </c>
      <c r="O56" s="118">
        <f t="shared" si="2"/>
        <v>-0.24</v>
      </c>
      <c r="Q56" s="118">
        <v>0.04</v>
      </c>
      <c r="R56" s="118">
        <v>-0.03</v>
      </c>
    </row>
    <row r="57" spans="1:18" x14ac:dyDescent="0.2">
      <c r="A57" s="122">
        <v>40</v>
      </c>
      <c r="B57" s="123">
        <v>0.04</v>
      </c>
      <c r="C57" s="123">
        <v>-0.24</v>
      </c>
      <c r="D57" s="124">
        <f t="shared" si="3"/>
        <v>0.04</v>
      </c>
      <c r="E57" s="124">
        <f t="shared" si="1"/>
        <v>-0.21</v>
      </c>
      <c r="G57" s="120"/>
      <c r="H57" s="120"/>
      <c r="I57" s="120"/>
      <c r="J57" s="122">
        <v>40</v>
      </c>
      <c r="K57" s="124">
        <f t="shared" si="6"/>
        <v>0.04</v>
      </c>
      <c r="L57" s="124">
        <f t="shared" si="6"/>
        <v>-0.21</v>
      </c>
      <c r="N57" s="123">
        <f t="shared" si="5"/>
        <v>0.04</v>
      </c>
      <c r="O57" s="123">
        <f t="shared" si="2"/>
        <v>-0.24</v>
      </c>
      <c r="Q57" s="123">
        <v>0.04</v>
      </c>
      <c r="R57" s="123">
        <v>-0.03</v>
      </c>
    </row>
    <row r="58" spans="1:18" x14ac:dyDescent="0.2">
      <c r="A58" s="125">
        <f>A48+10</f>
        <v>41</v>
      </c>
      <c r="B58" s="126">
        <v>0.04</v>
      </c>
      <c r="C58" s="126">
        <v>-0.24</v>
      </c>
      <c r="D58" s="127">
        <f t="shared" si="3"/>
        <v>0.04</v>
      </c>
      <c r="E58" s="127">
        <f t="shared" si="1"/>
        <v>-0.21</v>
      </c>
      <c r="G58" s="120"/>
      <c r="H58" s="120"/>
      <c r="I58" s="120"/>
      <c r="J58" s="125">
        <f>J48+10</f>
        <v>41</v>
      </c>
      <c r="K58" s="127">
        <f t="shared" si="6"/>
        <v>0.04</v>
      </c>
      <c r="L58" s="127">
        <f t="shared" si="6"/>
        <v>-0.21</v>
      </c>
      <c r="N58" s="126">
        <f t="shared" si="5"/>
        <v>0.04</v>
      </c>
      <c r="O58" s="126">
        <f t="shared" si="2"/>
        <v>-0.24</v>
      </c>
      <c r="Q58" s="126">
        <v>0.04</v>
      </c>
      <c r="R58" s="126">
        <v>-0.03</v>
      </c>
    </row>
    <row r="59" spans="1:18" x14ac:dyDescent="0.2">
      <c r="A59" s="121">
        <f t="shared" ref="A59:A67" si="7">A49+10</f>
        <v>42</v>
      </c>
      <c r="B59" s="118">
        <v>0.04</v>
      </c>
      <c r="C59" s="118">
        <v>-0.24</v>
      </c>
      <c r="D59" s="119">
        <f t="shared" si="3"/>
        <v>0.04</v>
      </c>
      <c r="E59" s="119">
        <f t="shared" si="1"/>
        <v>-0.21</v>
      </c>
      <c r="G59" s="120"/>
      <c r="H59" s="120"/>
      <c r="I59" s="120"/>
      <c r="J59" s="121">
        <f t="shared" ref="J59:J67" si="8">J49+10</f>
        <v>42</v>
      </c>
      <c r="K59" s="119">
        <f t="shared" si="6"/>
        <v>0.04</v>
      </c>
      <c r="L59" s="119">
        <f t="shared" si="6"/>
        <v>-0.21</v>
      </c>
      <c r="N59" s="118">
        <f t="shared" si="5"/>
        <v>0.04</v>
      </c>
      <c r="O59" s="118">
        <f t="shared" si="2"/>
        <v>-0.24</v>
      </c>
      <c r="Q59" s="118">
        <v>0.04</v>
      </c>
      <c r="R59" s="118">
        <v>-0.03</v>
      </c>
    </row>
    <row r="60" spans="1:18" x14ac:dyDescent="0.2">
      <c r="A60" s="121">
        <f t="shared" si="7"/>
        <v>43</v>
      </c>
      <c r="B60" s="118">
        <v>0.04</v>
      </c>
      <c r="C60" s="118">
        <v>-0.24</v>
      </c>
      <c r="D60" s="119">
        <f t="shared" si="3"/>
        <v>0.04</v>
      </c>
      <c r="E60" s="119">
        <f t="shared" si="1"/>
        <v>-0.21</v>
      </c>
      <c r="G60" s="120"/>
      <c r="H60" s="120"/>
      <c r="I60" s="120"/>
      <c r="J60" s="121">
        <f t="shared" si="8"/>
        <v>43</v>
      </c>
      <c r="K60" s="119">
        <f t="shared" si="6"/>
        <v>0.04</v>
      </c>
      <c r="L60" s="119">
        <f t="shared" si="6"/>
        <v>-0.21</v>
      </c>
      <c r="N60" s="118">
        <f t="shared" si="5"/>
        <v>0.04</v>
      </c>
      <c r="O60" s="118">
        <f t="shared" si="2"/>
        <v>-0.24</v>
      </c>
      <c r="Q60" s="118">
        <v>0.04</v>
      </c>
      <c r="R60" s="118">
        <v>-0.03</v>
      </c>
    </row>
    <row r="61" spans="1:18" x14ac:dyDescent="0.2">
      <c r="A61" s="121">
        <f t="shared" si="7"/>
        <v>44</v>
      </c>
      <c r="B61" s="118">
        <v>0.04</v>
      </c>
      <c r="C61" s="118">
        <v>-0.24</v>
      </c>
      <c r="D61" s="119">
        <f t="shared" si="3"/>
        <v>0.04</v>
      </c>
      <c r="E61" s="119">
        <f t="shared" si="1"/>
        <v>-0.21</v>
      </c>
      <c r="G61" s="120"/>
      <c r="H61" s="120"/>
      <c r="I61" s="120"/>
      <c r="J61" s="121">
        <f t="shared" si="8"/>
        <v>44</v>
      </c>
      <c r="K61" s="119">
        <f t="shared" si="6"/>
        <v>0.04</v>
      </c>
      <c r="L61" s="119">
        <f t="shared" si="6"/>
        <v>-0.21</v>
      </c>
      <c r="N61" s="118">
        <f t="shared" si="5"/>
        <v>0.04</v>
      </c>
      <c r="O61" s="118">
        <f t="shared" si="2"/>
        <v>-0.24</v>
      </c>
      <c r="Q61" s="118">
        <v>0.04</v>
      </c>
      <c r="R61" s="118">
        <v>-0.03</v>
      </c>
    </row>
    <row r="62" spans="1:18" x14ac:dyDescent="0.2">
      <c r="A62" s="121">
        <f t="shared" si="7"/>
        <v>45</v>
      </c>
      <c r="B62" s="118">
        <v>0.04</v>
      </c>
      <c r="C62" s="118">
        <v>-0.24</v>
      </c>
      <c r="D62" s="119">
        <f t="shared" si="3"/>
        <v>0.04</v>
      </c>
      <c r="E62" s="119">
        <f t="shared" si="1"/>
        <v>-0.21</v>
      </c>
      <c r="G62" s="120"/>
      <c r="H62" s="120"/>
      <c r="I62" s="120"/>
      <c r="J62" s="121">
        <f t="shared" si="8"/>
        <v>45</v>
      </c>
      <c r="K62" s="119">
        <f t="shared" si="6"/>
        <v>0.04</v>
      </c>
      <c r="L62" s="119">
        <f t="shared" si="6"/>
        <v>-0.21</v>
      </c>
      <c r="N62" s="118">
        <f t="shared" si="5"/>
        <v>0.04</v>
      </c>
      <c r="O62" s="118">
        <f t="shared" si="2"/>
        <v>-0.24</v>
      </c>
      <c r="Q62" s="118">
        <v>0.04</v>
      </c>
      <c r="R62" s="118">
        <v>-0.03</v>
      </c>
    </row>
    <row r="63" spans="1:18" x14ac:dyDescent="0.2">
      <c r="A63" s="121">
        <f t="shared" si="7"/>
        <v>46</v>
      </c>
      <c r="B63" s="118">
        <v>0.04</v>
      </c>
      <c r="C63" s="118">
        <v>-0.24</v>
      </c>
      <c r="D63" s="119">
        <f t="shared" si="3"/>
        <v>0.04</v>
      </c>
      <c r="E63" s="119">
        <f t="shared" si="1"/>
        <v>-0.21</v>
      </c>
      <c r="G63" s="120"/>
      <c r="H63" s="120"/>
      <c r="I63" s="120"/>
      <c r="J63" s="121">
        <f t="shared" si="8"/>
        <v>46</v>
      </c>
      <c r="K63" s="119">
        <f t="shared" si="6"/>
        <v>0.04</v>
      </c>
      <c r="L63" s="119">
        <f t="shared" si="6"/>
        <v>-0.21</v>
      </c>
      <c r="N63" s="118">
        <f t="shared" si="5"/>
        <v>0.04</v>
      </c>
      <c r="O63" s="118">
        <f t="shared" si="2"/>
        <v>-0.24</v>
      </c>
      <c r="Q63" s="118">
        <v>0.04</v>
      </c>
      <c r="R63" s="118">
        <v>-0.03</v>
      </c>
    </row>
    <row r="64" spans="1:18" x14ac:dyDescent="0.2">
      <c r="A64" s="121">
        <f t="shared" si="7"/>
        <v>47</v>
      </c>
      <c r="B64" s="118">
        <v>0.04</v>
      </c>
      <c r="C64" s="118">
        <v>-0.24</v>
      </c>
      <c r="D64" s="119">
        <f t="shared" si="3"/>
        <v>0.04</v>
      </c>
      <c r="E64" s="119">
        <f t="shared" si="1"/>
        <v>-0.21</v>
      </c>
      <c r="G64" s="120"/>
      <c r="H64" s="120"/>
      <c r="I64" s="120"/>
      <c r="J64" s="121">
        <f t="shared" si="8"/>
        <v>47</v>
      </c>
      <c r="K64" s="119">
        <f t="shared" si="6"/>
        <v>0.04</v>
      </c>
      <c r="L64" s="119">
        <f t="shared" si="6"/>
        <v>-0.21</v>
      </c>
      <c r="N64" s="118">
        <f t="shared" si="5"/>
        <v>0.04</v>
      </c>
      <c r="O64" s="118">
        <f t="shared" si="2"/>
        <v>-0.24</v>
      </c>
      <c r="Q64" s="118">
        <v>0.04</v>
      </c>
      <c r="R64" s="118">
        <v>-0.03</v>
      </c>
    </row>
    <row r="65" spans="1:18" x14ac:dyDescent="0.2">
      <c r="A65" s="121">
        <f t="shared" si="7"/>
        <v>48</v>
      </c>
      <c r="B65" s="118">
        <v>0.04</v>
      </c>
      <c r="C65" s="118">
        <v>-0.24</v>
      </c>
      <c r="D65" s="119">
        <f t="shared" si="3"/>
        <v>0.04</v>
      </c>
      <c r="E65" s="119">
        <f t="shared" si="1"/>
        <v>-0.21</v>
      </c>
      <c r="G65" s="120"/>
      <c r="H65" s="120"/>
      <c r="I65" s="120"/>
      <c r="J65" s="121">
        <f t="shared" si="8"/>
        <v>48</v>
      </c>
      <c r="K65" s="119">
        <f t="shared" ref="K65:L67" si="9">ROUND($K$11*N65+(1-$K$11)*Q65,2)</f>
        <v>0.04</v>
      </c>
      <c r="L65" s="119">
        <f t="shared" si="9"/>
        <v>-0.21</v>
      </c>
      <c r="N65" s="118">
        <f t="shared" si="5"/>
        <v>0.04</v>
      </c>
      <c r="O65" s="118">
        <f t="shared" si="2"/>
        <v>-0.24</v>
      </c>
      <c r="Q65" s="118">
        <v>0.04</v>
      </c>
      <c r="R65" s="118">
        <v>-0.03</v>
      </c>
    </row>
    <row r="66" spans="1:18" x14ac:dyDescent="0.2">
      <c r="A66" s="121">
        <f t="shared" si="7"/>
        <v>49</v>
      </c>
      <c r="B66" s="118">
        <v>0.04</v>
      </c>
      <c r="C66" s="118">
        <v>-0.24</v>
      </c>
      <c r="D66" s="119">
        <f t="shared" si="3"/>
        <v>0.04</v>
      </c>
      <c r="E66" s="119">
        <f t="shared" si="1"/>
        <v>-0.21</v>
      </c>
      <c r="G66" s="120"/>
      <c r="H66" s="120"/>
      <c r="I66" s="120"/>
      <c r="J66" s="121">
        <f t="shared" si="8"/>
        <v>49</v>
      </c>
      <c r="K66" s="119">
        <f t="shared" si="9"/>
        <v>0.04</v>
      </c>
      <c r="L66" s="119">
        <f t="shared" si="9"/>
        <v>-0.21</v>
      </c>
      <c r="N66" s="118">
        <f t="shared" si="5"/>
        <v>0.04</v>
      </c>
      <c r="O66" s="118">
        <f t="shared" si="2"/>
        <v>-0.24</v>
      </c>
      <c r="Q66" s="118">
        <v>0.04</v>
      </c>
      <c r="R66" s="118">
        <v>-0.03</v>
      </c>
    </row>
    <row r="67" spans="1:18" x14ac:dyDescent="0.2">
      <c r="A67" s="122">
        <f t="shared" si="7"/>
        <v>50</v>
      </c>
      <c r="B67" s="123">
        <v>0.04</v>
      </c>
      <c r="C67" s="123">
        <v>-0.24</v>
      </c>
      <c r="D67" s="124">
        <f t="shared" si="3"/>
        <v>0.04</v>
      </c>
      <c r="E67" s="124">
        <f t="shared" si="1"/>
        <v>-0.21</v>
      </c>
      <c r="G67" s="120"/>
      <c r="H67" s="120"/>
      <c r="I67" s="120"/>
      <c r="J67" s="122">
        <f t="shared" si="8"/>
        <v>50</v>
      </c>
      <c r="K67" s="124">
        <f t="shared" si="9"/>
        <v>0.04</v>
      </c>
      <c r="L67" s="124">
        <f t="shared" si="9"/>
        <v>-0.21</v>
      </c>
      <c r="N67" s="123">
        <f t="shared" si="5"/>
        <v>0.04</v>
      </c>
      <c r="O67" s="123">
        <f t="shared" si="2"/>
        <v>-0.24</v>
      </c>
      <c r="Q67" s="123">
        <v>0.04</v>
      </c>
      <c r="R67" s="123">
        <v>-0.03</v>
      </c>
    </row>
    <row r="68" spans="1:18" x14ac:dyDescent="0.2">
      <c r="B68" s="128"/>
    </row>
  </sheetData>
  <phoneticPr fontId="2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0"/>
  <sheetViews>
    <sheetView tabSelected="1" zoomScale="110" zoomScaleNormal="110" workbookViewId="0">
      <selection activeCell="R3" sqref="R3"/>
    </sheetView>
  </sheetViews>
  <sheetFormatPr defaultRowHeight="13.5" x14ac:dyDescent="0.15"/>
  <cols>
    <col min="1" max="1" width="11.625" style="8" bestFit="1" customWidth="1"/>
    <col min="2" max="2" width="15.375" style="12" bestFit="1" customWidth="1"/>
    <col min="3" max="3" width="11.625" style="12" bestFit="1" customWidth="1"/>
    <col min="4" max="5" width="9" style="12"/>
    <col min="6" max="7" width="11.625" style="12" bestFit="1" customWidth="1"/>
    <col min="8" max="8" width="10" style="12" customWidth="1"/>
    <col min="9" max="9" width="15.5" style="8" bestFit="1" customWidth="1"/>
    <col min="10" max="11" width="15" bestFit="1" customWidth="1"/>
    <col min="12" max="12" width="7.125" customWidth="1"/>
    <col min="13" max="13" width="13" bestFit="1" customWidth="1"/>
    <col min="14" max="14" width="12.25" bestFit="1" customWidth="1"/>
    <col min="16" max="16" width="13" customWidth="1"/>
  </cols>
  <sheetData>
    <row r="1" spans="1:16" s="10" customFormat="1" ht="14.25" x14ac:dyDescent="0.15">
      <c r="A1" s="19" t="s">
        <v>4</v>
      </c>
      <c r="J1" s="10" t="s">
        <v>20</v>
      </c>
    </row>
    <row r="2" spans="1:16" s="10" customFormat="1" ht="14.25" thickBot="1" x14ac:dyDescent="0.2">
      <c r="A2" s="18">
        <v>43100</v>
      </c>
      <c r="J2" s="10" t="s">
        <v>21</v>
      </c>
    </row>
    <row r="3" spans="1:16" s="10" customFormat="1" ht="14.25" x14ac:dyDescent="0.15">
      <c r="A3" s="11"/>
      <c r="B3" s="20" t="s">
        <v>18</v>
      </c>
      <c r="C3" s="21"/>
      <c r="D3" s="21"/>
      <c r="E3" s="21"/>
      <c r="F3" s="21"/>
      <c r="G3" s="22"/>
      <c r="H3" s="24"/>
      <c r="J3" s="10" t="s">
        <v>22</v>
      </c>
    </row>
    <row r="4" spans="1:16" s="10" customFormat="1" ht="14.25" x14ac:dyDescent="0.15">
      <c r="A4" s="11"/>
      <c r="B4" s="23" t="s">
        <v>16</v>
      </c>
      <c r="C4" s="24"/>
      <c r="D4" s="24"/>
      <c r="E4" s="24"/>
      <c r="F4" s="24"/>
      <c r="G4" s="25"/>
      <c r="H4" s="24"/>
    </row>
    <row r="5" spans="1:16" s="10" customFormat="1" ht="14.25" thickBot="1" x14ac:dyDescent="0.2">
      <c r="A5" s="11"/>
      <c r="B5" s="26" t="s">
        <v>19</v>
      </c>
      <c r="C5" s="27"/>
      <c r="D5" s="27"/>
      <c r="E5" s="27"/>
      <c r="F5" s="27"/>
      <c r="G5" s="28"/>
      <c r="H5" s="24"/>
    </row>
    <row r="6" spans="1:16" x14ac:dyDescent="0.15">
      <c r="A6" s="10"/>
      <c r="B6" s="10"/>
      <c r="C6" s="10"/>
      <c r="D6" s="10"/>
      <c r="E6" s="10"/>
      <c r="F6" s="10"/>
      <c r="G6" s="10"/>
      <c r="H6" s="10"/>
      <c r="I6" s="170" t="s">
        <v>3</v>
      </c>
      <c r="J6" s="170"/>
      <c r="K6" s="170"/>
    </row>
    <row r="7" spans="1:16" x14ac:dyDescent="0.15">
      <c r="A7" s="1" t="s">
        <v>9</v>
      </c>
      <c r="B7" s="1" t="s">
        <v>10</v>
      </c>
      <c r="C7" s="1" t="s">
        <v>11</v>
      </c>
      <c r="D7" s="1" t="s">
        <v>12</v>
      </c>
      <c r="E7" s="1" t="s">
        <v>13</v>
      </c>
      <c r="F7" s="1" t="s">
        <v>14</v>
      </c>
      <c r="G7" s="1" t="s">
        <v>15</v>
      </c>
      <c r="H7" s="167" t="s">
        <v>11106</v>
      </c>
      <c r="I7" s="1" t="s">
        <v>17</v>
      </c>
      <c r="J7" s="1" t="s">
        <v>7400</v>
      </c>
      <c r="K7" s="1" t="s">
        <v>7401</v>
      </c>
    </row>
    <row r="8" spans="1:16" x14ac:dyDescent="0.15">
      <c r="A8" s="30" t="s">
        <v>7402</v>
      </c>
      <c r="B8" s="12" t="s">
        <v>42</v>
      </c>
      <c r="C8" s="12" t="s">
        <v>23</v>
      </c>
      <c r="D8" s="13">
        <v>4.7600000000000007</v>
      </c>
      <c r="E8" s="14">
        <v>1</v>
      </c>
      <c r="F8" s="15">
        <v>37519</v>
      </c>
      <c r="G8" s="15">
        <v>44824</v>
      </c>
      <c r="H8" s="175">
        <v>1.6634756400000009E-2</v>
      </c>
      <c r="I8" s="9">
        <v>96.66</v>
      </c>
      <c r="J8" s="29">
        <v>96.657227277064564</v>
      </c>
      <c r="K8" s="29">
        <v>91.729381614661875</v>
      </c>
      <c r="O8" s="168"/>
      <c r="P8" s="169"/>
    </row>
    <row r="9" spans="1:16" x14ac:dyDescent="0.15">
      <c r="A9" s="30" t="s">
        <v>7403</v>
      </c>
      <c r="B9" s="12" t="s">
        <v>7404</v>
      </c>
      <c r="C9" s="12" t="s">
        <v>23</v>
      </c>
      <c r="D9" s="13">
        <v>5.6</v>
      </c>
      <c r="E9" s="14">
        <v>1</v>
      </c>
      <c r="F9" s="15" t="s">
        <v>43</v>
      </c>
      <c r="G9" s="15" t="s">
        <v>44</v>
      </c>
      <c r="H9" s="175">
        <v>1.1847076199999983E-2</v>
      </c>
      <c r="I9" s="9">
        <v>100.72839999999999</v>
      </c>
      <c r="J9" s="29">
        <v>101.10835095582834</v>
      </c>
      <c r="K9" s="29">
        <v>97.096467068802355</v>
      </c>
      <c r="O9" s="168"/>
      <c r="P9" s="169"/>
    </row>
    <row r="10" spans="1:16" x14ac:dyDescent="0.15">
      <c r="A10" s="30" t="s">
        <v>7405</v>
      </c>
      <c r="B10" s="12" t="s">
        <v>7406</v>
      </c>
      <c r="C10" s="12" t="s">
        <v>23</v>
      </c>
      <c r="D10" s="13">
        <v>5.49</v>
      </c>
      <c r="E10" s="14">
        <v>1</v>
      </c>
      <c r="F10" s="15" t="s">
        <v>7407</v>
      </c>
      <c r="G10" s="15" t="s">
        <v>7408</v>
      </c>
      <c r="H10" s="175">
        <v>1.9228699260000027E-2</v>
      </c>
      <c r="I10" s="9">
        <v>97.304900000000004</v>
      </c>
      <c r="J10" s="29">
        <v>97.411744088550947</v>
      </c>
      <c r="K10" s="29">
        <v>92.599725977227195</v>
      </c>
      <c r="O10" s="168"/>
      <c r="P10" s="169"/>
    </row>
    <row r="11" spans="1:16" x14ac:dyDescent="0.15">
      <c r="A11" s="30" t="s">
        <v>7409</v>
      </c>
      <c r="B11" s="12" t="s">
        <v>7410</v>
      </c>
      <c r="C11" s="12" t="s">
        <v>23</v>
      </c>
      <c r="D11" s="13">
        <v>5.28</v>
      </c>
      <c r="E11" s="14">
        <v>1</v>
      </c>
      <c r="F11" s="15" t="s">
        <v>7411</v>
      </c>
      <c r="G11" s="15" t="s">
        <v>7412</v>
      </c>
      <c r="H11" s="175">
        <v>2.430345825000001E-2</v>
      </c>
      <c r="I11" s="9">
        <v>96.066299999999998</v>
      </c>
      <c r="J11" s="29">
        <v>95.697685722794958</v>
      </c>
      <c r="K11" s="29">
        <v>90.877103442125019</v>
      </c>
      <c r="O11" s="168"/>
      <c r="P11" s="169"/>
    </row>
    <row r="12" spans="1:16" x14ac:dyDescent="0.15">
      <c r="A12" s="30" t="s">
        <v>7413</v>
      </c>
      <c r="B12" s="12" t="s">
        <v>36</v>
      </c>
      <c r="C12" s="12" t="s">
        <v>23</v>
      </c>
      <c r="D12" s="13">
        <v>4.63</v>
      </c>
      <c r="E12" s="14">
        <v>1</v>
      </c>
      <c r="F12" s="15" t="s">
        <v>37</v>
      </c>
      <c r="G12" s="15" t="s">
        <v>38</v>
      </c>
      <c r="H12" s="175">
        <v>3.9958042000000062E-2</v>
      </c>
      <c r="I12" s="9">
        <v>90</v>
      </c>
      <c r="J12" s="29">
        <v>89.341772319827513</v>
      </c>
      <c r="K12" s="29">
        <v>85.37678983317133</v>
      </c>
      <c r="O12" s="168"/>
      <c r="P12" s="169"/>
    </row>
    <row r="13" spans="1:16" x14ac:dyDescent="0.15">
      <c r="A13" s="30" t="s">
        <v>2</v>
      </c>
      <c r="B13" s="12" t="s">
        <v>27</v>
      </c>
      <c r="C13" s="12" t="s">
        <v>23</v>
      </c>
      <c r="D13" s="13">
        <v>3.95</v>
      </c>
      <c r="E13" s="14">
        <v>1</v>
      </c>
      <c r="F13" s="15" t="s">
        <v>28</v>
      </c>
      <c r="G13" s="15" t="s">
        <v>29</v>
      </c>
      <c r="H13" s="175">
        <v>1.3537970199999985E-2</v>
      </c>
      <c r="I13" s="9">
        <v>90.562100000000001</v>
      </c>
      <c r="J13" s="29">
        <v>90.687338057028342</v>
      </c>
      <c r="K13" s="29">
        <v>85.872397997068234</v>
      </c>
      <c r="O13" s="168"/>
      <c r="P13" s="169"/>
    </row>
    <row r="14" spans="1:16" x14ac:dyDescent="0.15">
      <c r="A14" s="30" t="s">
        <v>7414</v>
      </c>
      <c r="B14" s="12" t="s">
        <v>7415</v>
      </c>
      <c r="C14" s="12" t="s">
        <v>23</v>
      </c>
      <c r="D14" s="13">
        <v>5.89</v>
      </c>
      <c r="E14" s="14">
        <v>1</v>
      </c>
      <c r="F14" s="15" t="s">
        <v>7416</v>
      </c>
      <c r="G14" s="15" t="s">
        <v>7417</v>
      </c>
      <c r="H14" s="175">
        <v>2.5466582300000019E-2</v>
      </c>
      <c r="I14" s="9">
        <v>98.072800000000001</v>
      </c>
      <c r="J14" s="29">
        <v>97.769469923191338</v>
      </c>
      <c r="K14" s="29">
        <v>92.873215930360075</v>
      </c>
      <c r="O14" s="168"/>
      <c r="P14" s="169"/>
    </row>
    <row r="15" spans="1:16" x14ac:dyDescent="0.15">
      <c r="A15" s="30" t="s">
        <v>7418</v>
      </c>
      <c r="B15" s="12" t="s">
        <v>7419</v>
      </c>
      <c r="C15" s="12" t="s">
        <v>23</v>
      </c>
      <c r="D15" s="13">
        <v>5.8</v>
      </c>
      <c r="E15" s="14">
        <v>1</v>
      </c>
      <c r="F15" s="15" t="s">
        <v>7420</v>
      </c>
      <c r="G15" s="15" t="s">
        <v>7421</v>
      </c>
      <c r="H15" s="175">
        <v>1.940034010000001E-2</v>
      </c>
      <c r="I15" s="9">
        <v>99.339100000000002</v>
      </c>
      <c r="J15" s="29">
        <v>99.586519888322073</v>
      </c>
      <c r="K15" s="29">
        <v>94.218283504325271</v>
      </c>
      <c r="O15" s="168"/>
      <c r="P15" s="169"/>
    </row>
    <row r="16" spans="1:16" x14ac:dyDescent="0.15">
      <c r="A16" s="30" t="s">
        <v>0</v>
      </c>
      <c r="B16" s="12" t="s">
        <v>24</v>
      </c>
      <c r="C16" s="12" t="s">
        <v>23</v>
      </c>
      <c r="D16" s="13">
        <v>4.7</v>
      </c>
      <c r="E16" s="14">
        <v>1</v>
      </c>
      <c r="F16" s="15" t="s">
        <v>25</v>
      </c>
      <c r="G16" s="15" t="s">
        <v>26</v>
      </c>
      <c r="H16" s="175">
        <v>1.5453405999999992E-2</v>
      </c>
      <c r="I16" s="9">
        <v>98.133899999999997</v>
      </c>
      <c r="J16" s="29">
        <v>98.21021893403821</v>
      </c>
      <c r="K16" s="29">
        <v>94.041596193397069</v>
      </c>
      <c r="O16" s="168"/>
      <c r="P16" s="169"/>
    </row>
    <row r="17" spans="1:16" x14ac:dyDescent="0.15">
      <c r="A17" s="30" t="s">
        <v>7422</v>
      </c>
      <c r="B17" s="12" t="s">
        <v>50</v>
      </c>
      <c r="C17" s="12" t="s">
        <v>23</v>
      </c>
      <c r="D17" s="13">
        <v>5.27</v>
      </c>
      <c r="E17" s="14">
        <v>1</v>
      </c>
      <c r="F17" s="15" t="s">
        <v>51</v>
      </c>
      <c r="G17" s="15" t="s">
        <v>52</v>
      </c>
      <c r="H17" s="175">
        <v>3.1366132000000033E-2</v>
      </c>
      <c r="I17" s="9">
        <v>97.591099999999997</v>
      </c>
      <c r="J17" s="29">
        <v>96.950127526499415</v>
      </c>
      <c r="K17" s="29">
        <v>93.16913055776503</v>
      </c>
      <c r="O17" s="168"/>
      <c r="P17" s="169"/>
    </row>
    <row r="18" spans="1:16" x14ac:dyDescent="0.15">
      <c r="A18" s="30" t="s">
        <v>7423</v>
      </c>
      <c r="B18" s="12" t="s">
        <v>7424</v>
      </c>
      <c r="C18" s="12" t="s">
        <v>23</v>
      </c>
      <c r="D18" s="13">
        <v>6.25</v>
      </c>
      <c r="E18" s="14">
        <v>1</v>
      </c>
      <c r="F18" s="15" t="s">
        <v>7420</v>
      </c>
      <c r="G18" s="15" t="s">
        <v>7421</v>
      </c>
      <c r="H18" s="175">
        <v>2.3248508720000012E-2</v>
      </c>
      <c r="I18" s="9">
        <v>99.643000000000001</v>
      </c>
      <c r="J18" s="29">
        <v>99.958046796295974</v>
      </c>
      <c r="K18" s="29">
        <v>94.614570131216354</v>
      </c>
      <c r="O18" s="168"/>
      <c r="P18" s="169"/>
    </row>
    <row r="19" spans="1:16" x14ac:dyDescent="0.15">
      <c r="A19" s="30" t="s">
        <v>7425</v>
      </c>
      <c r="B19" s="12" t="s">
        <v>33</v>
      </c>
      <c r="C19" s="12" t="s">
        <v>23</v>
      </c>
      <c r="D19" s="13">
        <v>5.5</v>
      </c>
      <c r="E19" s="14">
        <v>1</v>
      </c>
      <c r="F19" s="15" t="s">
        <v>34</v>
      </c>
      <c r="G19" s="15" t="s">
        <v>35</v>
      </c>
      <c r="H19" s="175">
        <v>1.498873249999998E-2</v>
      </c>
      <c r="I19" s="9">
        <v>100.5274</v>
      </c>
      <c r="J19" s="29">
        <v>100.55908354446871</v>
      </c>
      <c r="K19" s="29">
        <v>95.281859836215148</v>
      </c>
      <c r="O19" s="168"/>
      <c r="P19" s="169"/>
    </row>
    <row r="20" spans="1:16" x14ac:dyDescent="0.15">
      <c r="A20" s="8" t="s">
        <v>7426</v>
      </c>
      <c r="B20" s="12" t="s">
        <v>39</v>
      </c>
      <c r="C20" s="12" t="s">
        <v>23</v>
      </c>
      <c r="D20" s="12">
        <v>5.6</v>
      </c>
      <c r="E20" s="12">
        <v>1</v>
      </c>
      <c r="F20" s="15" t="s">
        <v>40</v>
      </c>
      <c r="G20" s="15" t="s">
        <v>41</v>
      </c>
      <c r="H20" s="175">
        <v>1.5923548700000009E-2</v>
      </c>
      <c r="I20" s="133">
        <v>100.37220000000001</v>
      </c>
      <c r="J20" s="29">
        <v>100.58807846247007</v>
      </c>
      <c r="K20" s="29">
        <v>96.039971090175783</v>
      </c>
      <c r="O20" s="168"/>
      <c r="P20" s="169"/>
    </row>
    <row r="21" spans="1:16" x14ac:dyDescent="0.15">
      <c r="A21" s="8" t="s">
        <v>7427</v>
      </c>
      <c r="B21" s="12" t="s">
        <v>45</v>
      </c>
      <c r="C21" s="12" t="s">
        <v>23</v>
      </c>
      <c r="D21" s="12">
        <v>5.2</v>
      </c>
      <c r="E21" s="12">
        <v>1</v>
      </c>
      <c r="F21" s="15" t="s">
        <v>46</v>
      </c>
      <c r="G21" s="15" t="s">
        <v>47</v>
      </c>
      <c r="H21" s="175">
        <v>1.4618608799999981E-2</v>
      </c>
      <c r="I21" s="133">
        <v>98.587599999999995</v>
      </c>
      <c r="J21" s="29">
        <v>98.648007852891794</v>
      </c>
      <c r="K21" s="29">
        <v>93.746109781848986</v>
      </c>
      <c r="O21" s="168"/>
      <c r="P21" s="169"/>
    </row>
    <row r="22" spans="1:16" x14ac:dyDescent="0.15">
      <c r="A22" s="8" t="s">
        <v>7428</v>
      </c>
      <c r="B22" s="12" t="s">
        <v>48</v>
      </c>
      <c r="C22" s="12" t="s">
        <v>23</v>
      </c>
      <c r="D22" s="12">
        <v>5.6</v>
      </c>
      <c r="E22" s="12">
        <v>1</v>
      </c>
      <c r="F22" s="15" t="s">
        <v>46</v>
      </c>
      <c r="G22" s="15" t="s">
        <v>47</v>
      </c>
      <c r="H22" s="175">
        <v>1.6364463100000011E-2</v>
      </c>
      <c r="I22" s="133">
        <v>100.29170000000001</v>
      </c>
      <c r="J22" s="29">
        <v>100.35644773781749</v>
      </c>
      <c r="K22" s="29">
        <v>95.383716717484162</v>
      </c>
      <c r="O22" s="168"/>
      <c r="P22" s="169"/>
    </row>
    <row r="23" spans="1:16" x14ac:dyDescent="0.15">
      <c r="A23" s="8" t="s">
        <v>7429</v>
      </c>
      <c r="B23" s="12" t="s">
        <v>49</v>
      </c>
      <c r="C23" s="12" t="s">
        <v>23</v>
      </c>
      <c r="D23" s="12">
        <v>7.3</v>
      </c>
      <c r="E23" s="12">
        <v>1</v>
      </c>
      <c r="F23" s="15">
        <v>41250</v>
      </c>
      <c r="G23" s="15">
        <v>46728</v>
      </c>
      <c r="H23" s="175">
        <v>3.4387878630000084E-2</v>
      </c>
      <c r="I23" s="133">
        <v>99.233999999999995</v>
      </c>
      <c r="J23" s="29">
        <v>99.632626798591474</v>
      </c>
      <c r="K23" s="29">
        <v>94.814838976808602</v>
      </c>
      <c r="O23" s="168"/>
      <c r="P23" s="169"/>
    </row>
    <row r="24" spans="1:16" x14ac:dyDescent="0.15">
      <c r="A24" s="8" t="s">
        <v>1</v>
      </c>
      <c r="B24" s="12" t="s">
        <v>30</v>
      </c>
      <c r="C24" s="12" t="s">
        <v>23</v>
      </c>
      <c r="D24" s="132">
        <v>4.4400000000000004</v>
      </c>
      <c r="E24" s="12">
        <v>2</v>
      </c>
      <c r="F24" s="15" t="s">
        <v>31</v>
      </c>
      <c r="G24" s="15" t="s">
        <v>32</v>
      </c>
      <c r="H24" s="175">
        <v>1.0317826299999984E-2</v>
      </c>
      <c r="I24" s="133">
        <v>98.737300000000005</v>
      </c>
      <c r="J24" s="29">
        <v>84.636274404286823</v>
      </c>
      <c r="K24" s="29">
        <v>77.424772111795036</v>
      </c>
      <c r="O24" s="168"/>
      <c r="P24" s="169"/>
    </row>
    <row r="25" spans="1:16" x14ac:dyDescent="0.15">
      <c r="A25" s="8" t="s">
        <v>7438</v>
      </c>
      <c r="B25" s="12" t="s">
        <v>7439</v>
      </c>
      <c r="C25" s="12" t="s">
        <v>23</v>
      </c>
      <c r="D25" s="132">
        <v>5.73</v>
      </c>
      <c r="E25" s="12">
        <v>1</v>
      </c>
      <c r="F25" s="15" t="s">
        <v>7440</v>
      </c>
      <c r="G25" s="15" t="s">
        <v>7441</v>
      </c>
      <c r="H25" s="175">
        <v>2.1544441720000015E-2</v>
      </c>
      <c r="I25" s="133">
        <v>97.1965</v>
      </c>
      <c r="J25" s="29">
        <v>97.503543691607746</v>
      </c>
      <c r="K25" s="29">
        <v>92.702250816186336</v>
      </c>
      <c r="O25" s="168"/>
      <c r="P25" s="169"/>
    </row>
    <row r="26" spans="1:16" x14ac:dyDescent="0.15">
      <c r="A26" s="8" t="s">
        <v>7442</v>
      </c>
      <c r="B26" s="12" t="s">
        <v>7443</v>
      </c>
      <c r="C26" s="12" t="s">
        <v>23</v>
      </c>
      <c r="D26" s="132">
        <v>6.18</v>
      </c>
      <c r="E26" s="12">
        <v>1</v>
      </c>
      <c r="F26" s="15" t="s">
        <v>7444</v>
      </c>
      <c r="G26" s="15" t="s">
        <v>7445</v>
      </c>
      <c r="H26" s="175">
        <v>3.095590891E-2</v>
      </c>
      <c r="I26" s="133">
        <v>96.588099999999997</v>
      </c>
      <c r="J26" s="29">
        <v>96.74122352560849</v>
      </c>
      <c r="K26" s="29">
        <v>91.934522334896315</v>
      </c>
      <c r="O26" s="168"/>
      <c r="P26" s="169"/>
    </row>
    <row r="27" spans="1:16" x14ac:dyDescent="0.15">
      <c r="A27" s="8" t="s">
        <v>7434</v>
      </c>
      <c r="B27" s="12" t="s">
        <v>7435</v>
      </c>
      <c r="C27" s="12" t="s">
        <v>23</v>
      </c>
      <c r="D27" s="132">
        <v>5.49</v>
      </c>
      <c r="E27" s="12">
        <v>1</v>
      </c>
      <c r="F27" s="15" t="s">
        <v>7436</v>
      </c>
      <c r="G27" s="15" t="s">
        <v>7437</v>
      </c>
      <c r="H27" s="175">
        <v>1.9742249620000013E-2</v>
      </c>
      <c r="I27" s="133">
        <v>97.547799999999995</v>
      </c>
      <c r="J27" s="29">
        <v>97.656228433315405</v>
      </c>
      <c r="K27" s="29">
        <v>92.379821605679382</v>
      </c>
      <c r="O27" s="168"/>
      <c r="P27" s="169"/>
    </row>
    <row r="28" spans="1:16" x14ac:dyDescent="0.15">
      <c r="A28" s="134" t="s">
        <v>7430</v>
      </c>
      <c r="B28" s="12" t="s">
        <v>7431</v>
      </c>
      <c r="C28" s="12" t="s">
        <v>23</v>
      </c>
      <c r="D28" s="132">
        <v>5.25</v>
      </c>
      <c r="E28" s="12">
        <v>1</v>
      </c>
      <c r="F28" s="15" t="s">
        <v>7432</v>
      </c>
      <c r="G28" s="15" t="s">
        <v>7433</v>
      </c>
      <c r="H28" s="175">
        <v>1.801285401000001E-2</v>
      </c>
      <c r="I28" s="133">
        <v>97.133200000000002</v>
      </c>
      <c r="J28" s="136">
        <v>97.260967443690816</v>
      </c>
      <c r="K28" s="136">
        <v>91.983940039721332</v>
      </c>
      <c r="O28" s="168"/>
      <c r="P28" s="169"/>
    </row>
    <row r="29" spans="1:16" x14ac:dyDescent="0.15">
      <c r="A29" s="134" t="s">
        <v>7434</v>
      </c>
      <c r="B29" s="12" t="s">
        <v>7435</v>
      </c>
      <c r="C29" s="12" t="s">
        <v>23</v>
      </c>
      <c r="D29" s="132">
        <v>5.49</v>
      </c>
      <c r="E29" s="12">
        <v>1</v>
      </c>
      <c r="F29" s="15" t="s">
        <v>7436</v>
      </c>
      <c r="G29" s="15" t="s">
        <v>7437</v>
      </c>
      <c r="H29" s="175">
        <v>1.9742249620000013E-2</v>
      </c>
      <c r="I29" s="133">
        <v>97.547799999999995</v>
      </c>
      <c r="J29" s="136">
        <v>97.656228433315405</v>
      </c>
      <c r="K29" s="136">
        <v>92.379821605679382</v>
      </c>
      <c r="O29" s="168"/>
      <c r="P29" s="169"/>
    </row>
    <row r="30" spans="1:16" x14ac:dyDescent="0.15">
      <c r="O30" s="168"/>
      <c r="P30" s="169"/>
    </row>
  </sheetData>
  <autoFilter ref="A7:K19"/>
  <mergeCells count="1">
    <mergeCell ref="I6:K6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ain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2"/>
  <sheetViews>
    <sheetView workbookViewId="0">
      <selection activeCell="L21" sqref="L21"/>
    </sheetView>
  </sheetViews>
  <sheetFormatPr defaultRowHeight="13.5" x14ac:dyDescent="0.15"/>
  <cols>
    <col min="1" max="1" width="13.125" bestFit="1" customWidth="1"/>
    <col min="7" max="7" width="9" customWidth="1"/>
    <col min="8" max="8" width="10.875" customWidth="1"/>
    <col min="10" max="10" width="9" customWidth="1"/>
    <col min="11" max="11" width="11.625" customWidth="1"/>
    <col min="12" max="12" width="18.375" customWidth="1"/>
  </cols>
  <sheetData>
    <row r="1" spans="1:14" ht="14.25" thickBot="1" x14ac:dyDescent="0.2">
      <c r="I1" s="171" t="s">
        <v>11098</v>
      </c>
      <c r="J1" s="171"/>
      <c r="K1" s="171"/>
      <c r="L1" s="171" t="s">
        <v>11099</v>
      </c>
      <c r="M1" s="171"/>
      <c r="N1" s="172"/>
    </row>
    <row r="2" spans="1:14" ht="14.25" thickBot="1" x14ac:dyDescent="0.2">
      <c r="A2" t="s">
        <v>11101</v>
      </c>
      <c r="I2" s="155" t="s">
        <v>11095</v>
      </c>
      <c r="J2" s="156"/>
      <c r="K2" s="157" t="s">
        <v>11096</v>
      </c>
      <c r="L2" s="155" t="s">
        <v>11095</v>
      </c>
      <c r="M2" s="156"/>
      <c r="N2" s="157" t="s">
        <v>11096</v>
      </c>
    </row>
    <row r="3" spans="1:14" x14ac:dyDescent="0.15">
      <c r="A3" s="12" t="s">
        <v>7431</v>
      </c>
      <c r="B3" s="12" t="s">
        <v>23</v>
      </c>
      <c r="C3" s="132">
        <v>5.25</v>
      </c>
      <c r="D3" s="12">
        <v>1</v>
      </c>
      <c r="E3" s="15" t="s">
        <v>7432</v>
      </c>
      <c r="F3" s="15" t="s">
        <v>7433</v>
      </c>
      <c r="I3" s="164">
        <f>基础情景!C5</f>
        <v>2.53780007E-2</v>
      </c>
      <c r="J3" s="151">
        <f>1+I3</f>
        <v>1.0253780007</v>
      </c>
      <c r="K3" s="152">
        <f>1/PRODUCT($J$3:$J3)</f>
        <v>0.97525010222310693</v>
      </c>
      <c r="L3" s="164">
        <f>不利情景!D5</f>
        <v>0.1053</v>
      </c>
      <c r="M3" s="151">
        <f>1+L3</f>
        <v>1.1052999999999999</v>
      </c>
      <c r="N3" s="152">
        <f>1/PRODUCT($M$3:$M3)</f>
        <v>0.90473174703700354</v>
      </c>
    </row>
    <row r="4" spans="1:14" x14ac:dyDescent="0.15">
      <c r="A4" s="12" t="s">
        <v>7435</v>
      </c>
      <c r="B4" s="12" t="s">
        <v>23</v>
      </c>
      <c r="C4" s="132">
        <v>5.49</v>
      </c>
      <c r="D4" s="12">
        <v>1</v>
      </c>
      <c r="E4" s="15" t="s">
        <v>7436</v>
      </c>
      <c r="F4" s="15" t="s">
        <v>7437</v>
      </c>
      <c r="I4" s="165">
        <f>基础情景!C6</f>
        <v>3.7900000000000003E-2</v>
      </c>
      <c r="J4" s="146">
        <f t="shared" ref="J4:J9" si="0">1+I4</f>
        <v>1.0379</v>
      </c>
      <c r="K4" s="147">
        <f>1/PRODUCT($J$3:$J4)</f>
        <v>0.93963782852211852</v>
      </c>
      <c r="L4" s="165">
        <f>不利情景!D6</f>
        <v>6.9000000000000006E-2</v>
      </c>
      <c r="M4" s="146">
        <f t="shared" ref="M4:M9" si="1">1+L4</f>
        <v>1.069</v>
      </c>
      <c r="N4" s="147">
        <f>1/PRODUCT($M$3:$M4)</f>
        <v>0.84633465578765532</v>
      </c>
    </row>
    <row r="5" spans="1:14" x14ac:dyDescent="0.15">
      <c r="I5" s="165">
        <f>基础情景!C7</f>
        <v>3.85E-2</v>
      </c>
      <c r="J5" s="146">
        <f t="shared" si="0"/>
        <v>1.0385</v>
      </c>
      <c r="K5" s="147">
        <f>1/PRODUCT($J$3:$J5)</f>
        <v>0.90480291624662346</v>
      </c>
      <c r="L5" s="165">
        <f>不利情景!D7</f>
        <v>5.11E-2</v>
      </c>
      <c r="M5" s="146">
        <f t="shared" si="1"/>
        <v>1.0510999999999999</v>
      </c>
      <c r="N5" s="147">
        <f>1/PRODUCT($M$3:$M5)</f>
        <v>0.80518947368248062</v>
      </c>
    </row>
    <row r="6" spans="1:14" x14ac:dyDescent="0.15">
      <c r="I6" s="165">
        <f>基础情景!C8</f>
        <v>3.8100000000000002E-2</v>
      </c>
      <c r="J6" s="146">
        <f t="shared" si="0"/>
        <v>1.0381</v>
      </c>
      <c r="K6" s="147">
        <f>1/PRODUCT($J$3:$J6)</f>
        <v>0.87159514136077787</v>
      </c>
      <c r="L6" s="165">
        <f>不利情景!D8</f>
        <v>4.1500000000000002E-2</v>
      </c>
      <c r="M6" s="146">
        <f t="shared" si="1"/>
        <v>1.0415000000000001</v>
      </c>
      <c r="N6" s="147">
        <f>1/PRODUCT($M$3:$M6)</f>
        <v>0.77310559162984216</v>
      </c>
    </row>
    <row r="7" spans="1:14" x14ac:dyDescent="0.15">
      <c r="I7" s="165">
        <f>基础情景!C9</f>
        <v>3.9199999999999999E-2</v>
      </c>
      <c r="J7" s="146">
        <f t="shared" si="0"/>
        <v>1.0391999999999999</v>
      </c>
      <c r="K7" s="147">
        <f>1/PRODUCT($J$3:$J7)</f>
        <v>0.83871741855348159</v>
      </c>
      <c r="L7" s="165">
        <f>不利情景!D9</f>
        <v>4.2999999999999997E-2</v>
      </c>
      <c r="M7" s="146">
        <f t="shared" si="1"/>
        <v>1.0429999999999999</v>
      </c>
      <c r="N7" s="147">
        <f>1/PRODUCT($M$3:$M7)</f>
        <v>0.74123259024912957</v>
      </c>
    </row>
    <row r="8" spans="1:14" x14ac:dyDescent="0.15">
      <c r="I8" s="165">
        <f>基础情景!C10</f>
        <v>4.0599999999999997E-2</v>
      </c>
      <c r="J8" s="146">
        <f t="shared" si="0"/>
        <v>1.0406</v>
      </c>
      <c r="K8" s="147">
        <f>1/PRODUCT($J$3:$J8)</f>
        <v>0.80599405972850435</v>
      </c>
      <c r="L8" s="165">
        <f>不利情景!D10</f>
        <v>4.82E-2</v>
      </c>
      <c r="M8" s="146">
        <f t="shared" si="1"/>
        <v>1.0482</v>
      </c>
      <c r="N8" s="147">
        <f>1/PRODUCT($M$3:$M8)</f>
        <v>0.70714805404419923</v>
      </c>
    </row>
    <row r="9" spans="1:14" ht="14.25" thickBot="1" x14ac:dyDescent="0.2">
      <c r="I9" s="166">
        <f>基础情景!C11</f>
        <v>4.1200000000000001E-2</v>
      </c>
      <c r="J9" s="148">
        <f t="shared" si="0"/>
        <v>1.0411999999999999</v>
      </c>
      <c r="K9" s="149">
        <f>1/PRODUCT($J$3:$J9)</f>
        <v>0.77410109462975829</v>
      </c>
      <c r="L9" s="166">
        <f>不利情景!D11</f>
        <v>4.65E-2</v>
      </c>
      <c r="M9" s="146">
        <f t="shared" si="1"/>
        <v>1.0465</v>
      </c>
      <c r="N9" s="147">
        <f>1/PRODUCT($M$3:$M9)</f>
        <v>0.67572675971734275</v>
      </c>
    </row>
    <row r="12" spans="1:14" ht="14.25" thickBot="1" x14ac:dyDescent="0.2"/>
    <row r="13" spans="1:14" ht="14.25" thickBot="1" x14ac:dyDescent="0.2">
      <c r="A13" s="160"/>
      <c r="B13" s="146"/>
      <c r="C13" s="158"/>
      <c r="D13" s="161"/>
      <c r="E13" s="146"/>
      <c r="F13" s="158"/>
    </row>
    <row r="14" spans="1:14" ht="14.25" thickBot="1" x14ac:dyDescent="0.2">
      <c r="B14" s="173" t="s">
        <v>11102</v>
      </c>
      <c r="C14" s="171"/>
      <c r="D14" s="171"/>
      <c r="E14" s="173" t="s">
        <v>11103</v>
      </c>
      <c r="F14" s="171"/>
      <c r="G14" s="171"/>
      <c r="K14" s="135"/>
    </row>
    <row r="15" spans="1:14" ht="14.25" thickBot="1" x14ac:dyDescent="0.2">
      <c r="A15" t="s">
        <v>11100</v>
      </c>
      <c r="B15" s="155" t="s">
        <v>11093</v>
      </c>
      <c r="C15" s="156" t="s">
        <v>11094</v>
      </c>
      <c r="D15" s="157" t="s">
        <v>11097</v>
      </c>
      <c r="E15" s="155" t="s">
        <v>11093</v>
      </c>
      <c r="F15" s="156" t="s">
        <v>11094</v>
      </c>
      <c r="G15" s="157" t="s">
        <v>11097</v>
      </c>
      <c r="K15" s="159"/>
    </row>
    <row r="16" spans="1:14" x14ac:dyDescent="0.15">
      <c r="A16" s="143">
        <v>2018</v>
      </c>
      <c r="B16" s="150">
        <f t="shared" ref="B16:B22" si="2">$C$3</f>
        <v>5.25</v>
      </c>
      <c r="C16" s="144"/>
      <c r="D16" s="145">
        <f>B16+C16</f>
        <v>5.25</v>
      </c>
      <c r="E16" s="150">
        <f t="shared" ref="E16:E22" si="3">$C$4</f>
        <v>5.49</v>
      </c>
      <c r="F16" s="144"/>
      <c r="G16" s="145">
        <f>E16+F16</f>
        <v>5.49</v>
      </c>
    </row>
    <row r="17" spans="1:12" x14ac:dyDescent="0.15">
      <c r="A17" s="153">
        <v>2019</v>
      </c>
      <c r="B17" s="138">
        <f t="shared" si="2"/>
        <v>5.25</v>
      </c>
      <c r="C17" s="139"/>
      <c r="D17" s="140">
        <f t="shared" ref="D17" si="4">B17+C17</f>
        <v>5.25</v>
      </c>
      <c r="E17" s="138">
        <f t="shared" si="3"/>
        <v>5.49</v>
      </c>
      <c r="F17" s="139"/>
      <c r="G17" s="140">
        <f t="shared" ref="G17" si="5">E17+F17</f>
        <v>5.49</v>
      </c>
      <c r="I17" s="137"/>
    </row>
    <row r="18" spans="1:12" x14ac:dyDescent="0.15">
      <c r="A18" s="153">
        <v>2020</v>
      </c>
      <c r="B18" s="138">
        <f t="shared" si="2"/>
        <v>5.25</v>
      </c>
      <c r="C18" s="139">
        <v>20</v>
      </c>
      <c r="D18" s="140">
        <f>B18+C18</f>
        <v>25.25</v>
      </c>
      <c r="E18" s="138">
        <f t="shared" si="3"/>
        <v>5.49</v>
      </c>
      <c r="F18" s="139">
        <v>20</v>
      </c>
      <c r="G18" s="140">
        <f>E18+F18</f>
        <v>25.490000000000002</v>
      </c>
      <c r="I18" s="137"/>
    </row>
    <row r="19" spans="1:12" x14ac:dyDescent="0.15">
      <c r="A19" s="153">
        <v>2021</v>
      </c>
      <c r="B19" s="138">
        <f t="shared" si="2"/>
        <v>5.25</v>
      </c>
      <c r="C19" s="139">
        <v>20</v>
      </c>
      <c r="D19" s="140">
        <f>B19+C18</f>
        <v>25.25</v>
      </c>
      <c r="E19" s="138">
        <f t="shared" si="3"/>
        <v>5.49</v>
      </c>
      <c r="F19" s="139">
        <v>20</v>
      </c>
      <c r="G19" s="140">
        <f>E19+F18</f>
        <v>25.490000000000002</v>
      </c>
      <c r="I19" s="137"/>
    </row>
    <row r="20" spans="1:12" x14ac:dyDescent="0.15">
      <c r="A20" s="153">
        <v>2022</v>
      </c>
      <c r="B20" s="138">
        <f t="shared" si="2"/>
        <v>5.25</v>
      </c>
      <c r="C20" s="139">
        <v>20</v>
      </c>
      <c r="D20" s="140">
        <f>B20+C19</f>
        <v>25.25</v>
      </c>
      <c r="E20" s="138">
        <f t="shared" si="3"/>
        <v>5.49</v>
      </c>
      <c r="F20" s="139">
        <v>20</v>
      </c>
      <c r="G20" s="140">
        <f>E20+F19</f>
        <v>25.490000000000002</v>
      </c>
      <c r="I20" s="137"/>
      <c r="L20" s="29"/>
    </row>
    <row r="21" spans="1:12" x14ac:dyDescent="0.15">
      <c r="A21" s="153">
        <v>2023</v>
      </c>
      <c r="B21" s="138">
        <f t="shared" si="2"/>
        <v>5.25</v>
      </c>
      <c r="C21" s="139">
        <v>20</v>
      </c>
      <c r="D21" s="140">
        <f>B21+C20</f>
        <v>25.25</v>
      </c>
      <c r="E21" s="138">
        <f t="shared" si="3"/>
        <v>5.49</v>
      </c>
      <c r="F21" s="139">
        <v>20</v>
      </c>
      <c r="G21" s="140">
        <f>E21+F20</f>
        <v>25.490000000000002</v>
      </c>
      <c r="I21" s="137"/>
      <c r="L21" s="29"/>
    </row>
    <row r="22" spans="1:12" ht="14.25" thickBot="1" x14ac:dyDescent="0.2">
      <c r="A22" s="154">
        <v>2024</v>
      </c>
      <c r="B22" s="141">
        <f t="shared" si="2"/>
        <v>5.25</v>
      </c>
      <c r="C22" s="142">
        <v>20</v>
      </c>
      <c r="D22" s="142">
        <f>B22+C21</f>
        <v>25.25</v>
      </c>
      <c r="E22" s="141">
        <f t="shared" si="3"/>
        <v>5.49</v>
      </c>
      <c r="F22" s="142">
        <v>20</v>
      </c>
      <c r="G22" s="163">
        <f>E22+F21</f>
        <v>25.490000000000002</v>
      </c>
      <c r="H22" s="139"/>
      <c r="I22" s="162"/>
    </row>
    <row r="23" spans="1:12" x14ac:dyDescent="0.15">
      <c r="F23" s="139"/>
      <c r="G23" s="139"/>
      <c r="H23" s="139"/>
      <c r="I23" s="139"/>
      <c r="J23" s="139"/>
      <c r="K23" s="139"/>
      <c r="L23" s="139"/>
    </row>
    <row r="24" spans="1:12" x14ac:dyDescent="0.15">
      <c r="A24" t="s">
        <v>11104</v>
      </c>
      <c r="D24">
        <f>SUMPRODUCT(D16:D22,$K$3:$K$9)</f>
        <v>115.98223005702086</v>
      </c>
      <c r="F24" s="139"/>
      <c r="G24">
        <f>SUMPRODUCT(G16:G22,$K$3:$K$9)</f>
        <v>117.44865371172432</v>
      </c>
      <c r="H24" s="139"/>
      <c r="I24" s="139"/>
      <c r="J24" s="139"/>
      <c r="K24" s="139"/>
      <c r="L24" s="139"/>
    </row>
    <row r="25" spans="1:12" x14ac:dyDescent="0.15">
      <c r="A25" t="s">
        <v>11105</v>
      </c>
      <c r="D25">
        <f>SUMPRODUCT(D16:D22,$N$3:$N$9)</f>
        <v>102.67876096523506</v>
      </c>
      <c r="F25" s="139"/>
      <c r="G25">
        <f>SUMPRODUCT(G16:G22,$N$3:$N$9)</f>
        <v>103.98759349455051</v>
      </c>
      <c r="H25" s="139"/>
      <c r="I25" s="139"/>
      <c r="J25" s="139"/>
      <c r="K25" s="139"/>
      <c r="L25" s="139"/>
    </row>
    <row r="26" spans="1:12" x14ac:dyDescent="0.15">
      <c r="F26" s="139"/>
      <c r="G26" s="139"/>
      <c r="H26" s="139"/>
      <c r="I26" s="139"/>
      <c r="J26" s="139"/>
      <c r="K26" s="139"/>
      <c r="L26" s="139"/>
    </row>
    <row r="27" spans="1:12" x14ac:dyDescent="0.15">
      <c r="F27" s="139"/>
      <c r="G27" s="139"/>
      <c r="H27" s="139"/>
      <c r="I27" s="139"/>
      <c r="J27" s="139"/>
      <c r="K27" s="139"/>
      <c r="L27" s="139"/>
    </row>
    <row r="28" spans="1:12" x14ac:dyDescent="0.15">
      <c r="F28" s="139"/>
      <c r="G28" s="139"/>
      <c r="H28" s="139"/>
      <c r="I28" s="139"/>
      <c r="J28" s="139"/>
      <c r="K28" s="139"/>
      <c r="L28" s="139"/>
    </row>
    <row r="29" spans="1:12" x14ac:dyDescent="0.15">
      <c r="F29" s="139"/>
      <c r="G29" s="139"/>
      <c r="H29" s="139"/>
      <c r="I29" s="139"/>
      <c r="J29" s="139"/>
      <c r="K29" s="139"/>
      <c r="L29" s="139"/>
    </row>
    <row r="30" spans="1:12" x14ac:dyDescent="0.15">
      <c r="F30" s="139"/>
      <c r="G30" s="139"/>
      <c r="H30" s="139"/>
      <c r="I30" s="139"/>
      <c r="J30" s="139"/>
      <c r="K30" s="139"/>
      <c r="L30" s="139"/>
    </row>
    <row r="31" spans="1:12" x14ac:dyDescent="0.15">
      <c r="F31" s="139"/>
      <c r="G31" s="139"/>
      <c r="H31" s="139"/>
      <c r="I31" s="139"/>
      <c r="J31" s="139"/>
      <c r="K31" s="139"/>
      <c r="L31" s="139"/>
    </row>
    <row r="32" spans="1:12" x14ac:dyDescent="0.15">
      <c r="F32" s="139"/>
      <c r="G32" s="139"/>
      <c r="H32" s="139"/>
      <c r="I32" s="139"/>
      <c r="J32" s="139"/>
      <c r="K32" s="139"/>
      <c r="L32" s="139"/>
    </row>
  </sheetData>
  <mergeCells count="4">
    <mergeCell ref="I1:K1"/>
    <mergeCell ref="L1:N1"/>
    <mergeCell ref="B14:D14"/>
    <mergeCell ref="E14:G14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2"/>
  <sheetViews>
    <sheetView workbookViewId="0">
      <selection activeCell="D5" sqref="D5"/>
    </sheetView>
  </sheetViews>
  <sheetFormatPr defaultRowHeight="13.5" x14ac:dyDescent="0.15"/>
  <cols>
    <col min="4" max="4" width="20.5" bestFit="1" customWidth="1"/>
  </cols>
  <sheetData>
    <row r="1" spans="1:5" ht="14.25" thickBot="1" x14ac:dyDescent="0.2">
      <c r="A1" s="2"/>
      <c r="B1" s="174" t="s">
        <v>8</v>
      </c>
      <c r="C1" s="174"/>
      <c r="D1" s="6"/>
      <c r="E1" s="6"/>
    </row>
    <row r="2" spans="1:5" ht="25.5" thickTop="1" thickBot="1" x14ac:dyDescent="0.2">
      <c r="A2" s="3" t="s">
        <v>5</v>
      </c>
      <c r="B2" s="4" t="s">
        <v>6</v>
      </c>
      <c r="C2" s="5" t="s">
        <v>7</v>
      </c>
    </row>
    <row r="3" spans="1:5" ht="14.25" thickTop="1" x14ac:dyDescent="0.15">
      <c r="A3" s="7">
        <f ca="1">YEAR(TODAY())-1</f>
        <v>2017</v>
      </c>
      <c r="B3" s="16">
        <f>基础情景!C5</f>
        <v>2.53780007E-2</v>
      </c>
      <c r="C3" s="17">
        <f>不利情景!D5</f>
        <v>0.1053</v>
      </c>
      <c r="D3" s="31"/>
    </row>
    <row r="4" spans="1:5" x14ac:dyDescent="0.15">
      <c r="A4" s="7">
        <f ca="1">A3+1</f>
        <v>2018</v>
      </c>
      <c r="B4" s="16">
        <f>基础情景!C6</f>
        <v>3.7900000000000003E-2</v>
      </c>
      <c r="C4" s="17">
        <f>不利情景!D6</f>
        <v>6.9000000000000006E-2</v>
      </c>
      <c r="D4" s="31"/>
    </row>
    <row r="5" spans="1:5" x14ac:dyDescent="0.15">
      <c r="A5" s="7">
        <f t="shared" ref="A5:A32" ca="1" si="0">A4+1</f>
        <v>2019</v>
      </c>
      <c r="B5" s="16">
        <f>基础情景!C7</f>
        <v>3.85E-2</v>
      </c>
      <c r="C5" s="17">
        <f>不利情景!D7</f>
        <v>5.11E-2</v>
      </c>
      <c r="D5" s="31"/>
    </row>
    <row r="6" spans="1:5" x14ac:dyDescent="0.15">
      <c r="A6" s="7">
        <f t="shared" ca="1" si="0"/>
        <v>2020</v>
      </c>
      <c r="B6" s="16">
        <f>基础情景!C8</f>
        <v>3.8100000000000002E-2</v>
      </c>
      <c r="C6" s="17">
        <f>不利情景!D8</f>
        <v>4.1500000000000002E-2</v>
      </c>
      <c r="D6" s="31"/>
    </row>
    <row r="7" spans="1:5" x14ac:dyDescent="0.15">
      <c r="A7" s="7">
        <f t="shared" ca="1" si="0"/>
        <v>2021</v>
      </c>
      <c r="B7" s="16">
        <f>基础情景!C9</f>
        <v>3.9199999999999999E-2</v>
      </c>
      <c r="C7" s="17">
        <f>不利情景!D9</f>
        <v>4.2999999999999997E-2</v>
      </c>
      <c r="D7" s="31"/>
    </row>
    <row r="8" spans="1:5" x14ac:dyDescent="0.15">
      <c r="A8" s="7">
        <f t="shared" ca="1" si="0"/>
        <v>2022</v>
      </c>
      <c r="B8" s="16">
        <f>基础情景!C10</f>
        <v>4.0599999999999997E-2</v>
      </c>
      <c r="C8" s="17">
        <f>不利情景!D10</f>
        <v>4.82E-2</v>
      </c>
      <c r="D8" s="31"/>
    </row>
    <row r="9" spans="1:5" x14ac:dyDescent="0.15">
      <c r="A9" s="7">
        <f t="shared" ca="1" si="0"/>
        <v>2023</v>
      </c>
      <c r="B9" s="16">
        <f>基础情景!C11</f>
        <v>4.1200000000000001E-2</v>
      </c>
      <c r="C9" s="17">
        <f>不利情景!D11</f>
        <v>4.65E-2</v>
      </c>
      <c r="D9" s="31"/>
    </row>
    <row r="10" spans="1:5" x14ac:dyDescent="0.15">
      <c r="A10" s="7">
        <f t="shared" ca="1" si="0"/>
        <v>2024</v>
      </c>
      <c r="B10" s="16">
        <f>基础情景!C12</f>
        <v>4.0800000000000003E-2</v>
      </c>
      <c r="C10" s="17">
        <f>不利情景!D12</f>
        <v>4.07E-2</v>
      </c>
      <c r="D10" s="31"/>
    </row>
    <row r="11" spans="1:5" x14ac:dyDescent="0.15">
      <c r="A11" s="7">
        <f t="shared" ca="1" si="0"/>
        <v>2025</v>
      </c>
      <c r="B11" s="16">
        <f>基础情景!C13</f>
        <v>3.8899999999999997E-2</v>
      </c>
      <c r="C11" s="17">
        <f>不利情景!D13</f>
        <v>4.1599999999999998E-2</v>
      </c>
      <c r="D11" s="31"/>
    </row>
    <row r="12" spans="1:5" x14ac:dyDescent="0.15">
      <c r="A12" s="7">
        <f t="shared" ca="1" si="0"/>
        <v>2026</v>
      </c>
      <c r="B12" s="16">
        <f>基础情景!C14</f>
        <v>3.8300000000000001E-2</v>
      </c>
      <c r="C12" s="17">
        <f>不利情景!D14</f>
        <v>3.2300000000000002E-2</v>
      </c>
      <c r="D12" s="31"/>
    </row>
    <row r="13" spans="1:5" x14ac:dyDescent="0.15">
      <c r="A13" s="7">
        <f t="shared" ca="1" si="0"/>
        <v>2027</v>
      </c>
      <c r="B13" s="16">
        <f>基础情景!C15</f>
        <v>3.8600000000000002E-2</v>
      </c>
      <c r="C13" s="17">
        <f>不利情景!D15</f>
        <v>3.3500000000000002E-2</v>
      </c>
      <c r="D13" s="31"/>
    </row>
    <row r="14" spans="1:5" x14ac:dyDescent="0.15">
      <c r="A14" s="7">
        <f t="shared" ca="1" si="0"/>
        <v>2028</v>
      </c>
      <c r="B14" s="16">
        <f>基础情景!C16</f>
        <v>4.2900000000000001E-2</v>
      </c>
      <c r="C14" s="17">
        <f>不利情景!D16</f>
        <v>4.4600000000000001E-2</v>
      </c>
      <c r="D14" s="31"/>
    </row>
    <row r="15" spans="1:5" x14ac:dyDescent="0.15">
      <c r="A15" s="7">
        <f t="shared" ca="1" si="0"/>
        <v>2029</v>
      </c>
      <c r="B15" s="16">
        <f>基础情景!C17</f>
        <v>4.9700000000000001E-2</v>
      </c>
      <c r="C15" s="17">
        <f>不利情景!D17</f>
        <v>4.6399999999999997E-2</v>
      </c>
      <c r="D15" s="31"/>
    </row>
    <row r="16" spans="1:5" x14ac:dyDescent="0.15">
      <c r="A16" s="7">
        <f t="shared" ca="1" si="0"/>
        <v>2030</v>
      </c>
      <c r="B16" s="16">
        <f>基础情景!C18</f>
        <v>5.4399999999999997E-2</v>
      </c>
      <c r="C16" s="17">
        <f>不利情景!D18</f>
        <v>4.9500000000000002E-2</v>
      </c>
      <c r="D16" s="31"/>
    </row>
    <row r="17" spans="1:4" x14ac:dyDescent="0.15">
      <c r="A17" s="7">
        <f t="shared" ca="1" si="0"/>
        <v>2031</v>
      </c>
      <c r="B17" s="16">
        <f>基础情景!C19</f>
        <v>5.5500000000000001E-2</v>
      </c>
      <c r="C17" s="17">
        <f>不利情景!D19</f>
        <v>4.8500000000000001E-2</v>
      </c>
      <c r="D17" s="31"/>
    </row>
    <row r="18" spans="1:4" x14ac:dyDescent="0.15">
      <c r="A18" s="7">
        <f t="shared" ca="1" si="0"/>
        <v>2032</v>
      </c>
      <c r="B18" s="16">
        <f>基础情景!C20</f>
        <v>5.1499999999999997E-2</v>
      </c>
      <c r="C18" s="17">
        <f>不利情景!D20</f>
        <v>4.2099999999999999E-2</v>
      </c>
      <c r="D18" s="31"/>
    </row>
    <row r="19" spans="1:4" x14ac:dyDescent="0.15">
      <c r="A19" s="7">
        <f t="shared" ca="1" si="0"/>
        <v>2033</v>
      </c>
      <c r="B19" s="16">
        <f>基础情景!C21</f>
        <v>4.65E-2</v>
      </c>
      <c r="C19" s="17">
        <f>不利情景!D21</f>
        <v>4.8800000000000003E-2</v>
      </c>
      <c r="D19" s="31"/>
    </row>
    <row r="20" spans="1:4" x14ac:dyDescent="0.15">
      <c r="A20" s="7">
        <f t="shared" ca="1" si="0"/>
        <v>2034</v>
      </c>
      <c r="B20" s="16">
        <f>基础情景!C22</f>
        <v>4.5100000000000001E-2</v>
      </c>
      <c r="C20" s="17">
        <f>不利情景!D22</f>
        <v>4.7300000000000002E-2</v>
      </c>
      <c r="D20" s="31"/>
    </row>
    <row r="21" spans="1:4" x14ac:dyDescent="0.15">
      <c r="A21" s="7">
        <f t="shared" ca="1" si="0"/>
        <v>2035</v>
      </c>
      <c r="B21" s="16">
        <f>基础情景!C23</f>
        <v>4.3900000000000002E-2</v>
      </c>
      <c r="C21" s="17">
        <f>不利情景!D23</f>
        <v>4.6100000000000002E-2</v>
      </c>
      <c r="D21" s="31"/>
    </row>
    <row r="22" spans="1:4" x14ac:dyDescent="0.15">
      <c r="A22" s="7">
        <f t="shared" ca="1" si="0"/>
        <v>2036</v>
      </c>
      <c r="B22" s="16">
        <f>基础情景!C24</f>
        <v>4.3299999999999998E-2</v>
      </c>
      <c r="C22" s="17">
        <f>不利情景!D24</f>
        <v>3.7199999999999997E-2</v>
      </c>
      <c r="D22" s="31"/>
    </row>
    <row r="23" spans="1:4" x14ac:dyDescent="0.15">
      <c r="A23" s="7">
        <f t="shared" ca="1" si="0"/>
        <v>2037</v>
      </c>
      <c r="B23" s="16">
        <f>基础情景!C25</f>
        <v>4.3299999999999998E-2</v>
      </c>
      <c r="C23" s="17">
        <f>不利情景!D25</f>
        <v>4.4999999999999998E-2</v>
      </c>
      <c r="D23" s="31"/>
    </row>
    <row r="24" spans="1:4" x14ac:dyDescent="0.15">
      <c r="A24" s="7">
        <f t="shared" ca="1" si="0"/>
        <v>2038</v>
      </c>
      <c r="B24" s="16">
        <f>基础情景!C26</f>
        <v>4.4600000000000001E-2</v>
      </c>
      <c r="C24" s="17">
        <f>不利情景!D26</f>
        <v>4.6300000000000001E-2</v>
      </c>
      <c r="D24" s="31"/>
    </row>
    <row r="25" spans="1:4" x14ac:dyDescent="0.15">
      <c r="A25" s="7">
        <f t="shared" ca="1" si="0"/>
        <v>2039</v>
      </c>
      <c r="B25" s="16">
        <f>基础情景!C27</f>
        <v>4.65E-2</v>
      </c>
      <c r="C25" s="17">
        <f>不利情景!D27</f>
        <v>4.8300000000000003E-2</v>
      </c>
      <c r="D25" s="31"/>
    </row>
    <row r="26" spans="1:4" x14ac:dyDescent="0.15">
      <c r="A26" s="7">
        <f t="shared" ca="1" si="0"/>
        <v>2040</v>
      </c>
      <c r="B26" s="16">
        <f>基础情景!C28</f>
        <v>4.8300000000000003E-2</v>
      </c>
      <c r="C26" s="17">
        <f>不利情景!D28</f>
        <v>5.0299999999999997E-2</v>
      </c>
      <c r="D26" s="31"/>
    </row>
    <row r="27" spans="1:4" x14ac:dyDescent="0.15">
      <c r="A27" s="7">
        <f t="shared" ca="1" si="0"/>
        <v>2041</v>
      </c>
      <c r="B27" s="16">
        <f>基础情景!C29</f>
        <v>5.0099999999999999E-2</v>
      </c>
      <c r="C27" s="17">
        <f>不利情景!D29</f>
        <v>5.21E-2</v>
      </c>
      <c r="D27" s="31"/>
    </row>
    <row r="28" spans="1:4" x14ac:dyDescent="0.15">
      <c r="A28" s="7">
        <f t="shared" ca="1" si="0"/>
        <v>2042</v>
      </c>
      <c r="B28" s="16">
        <f>基础情景!C30</f>
        <v>5.16E-2</v>
      </c>
      <c r="C28" s="17">
        <f>不利情景!D30</f>
        <v>5.3699999999999998E-2</v>
      </c>
      <c r="D28" s="31"/>
    </row>
    <row r="29" spans="1:4" x14ac:dyDescent="0.15">
      <c r="A29" s="7">
        <f t="shared" ca="1" si="0"/>
        <v>2043</v>
      </c>
      <c r="B29" s="16">
        <f>基础情景!C31</f>
        <v>5.2900000000000003E-2</v>
      </c>
      <c r="C29" s="17">
        <f>不利情景!D31</f>
        <v>5.5E-2</v>
      </c>
      <c r="D29" s="31"/>
    </row>
    <row r="30" spans="1:4" x14ac:dyDescent="0.15">
      <c r="A30" s="7">
        <f t="shared" ca="1" si="0"/>
        <v>2044</v>
      </c>
      <c r="B30" s="16">
        <f>基础情景!C32</f>
        <v>5.3699999999999998E-2</v>
      </c>
      <c r="C30" s="17">
        <f>不利情景!D32</f>
        <v>5.5899999999999998E-2</v>
      </c>
      <c r="D30" s="31"/>
    </row>
    <row r="31" spans="1:4" x14ac:dyDescent="0.15">
      <c r="A31" s="7">
        <f t="shared" ca="1" si="0"/>
        <v>2045</v>
      </c>
      <c r="B31" s="16">
        <f>基础情景!C33</f>
        <v>5.4100000000000002E-2</v>
      </c>
      <c r="C31" s="17">
        <f>不利情景!D33</f>
        <v>5.6300000000000003E-2</v>
      </c>
      <c r="D31" s="31"/>
    </row>
    <row r="32" spans="1:4" x14ac:dyDescent="0.15">
      <c r="A32" s="7">
        <f t="shared" ca="1" si="0"/>
        <v>2046</v>
      </c>
      <c r="B32" s="16">
        <f>基础情景!C34</f>
        <v>5.3800000000000001E-2</v>
      </c>
      <c r="C32" s="17">
        <f>不利情景!D34</f>
        <v>5.6000000000000001E-2</v>
      </c>
      <c r="D32" s="31"/>
    </row>
  </sheetData>
  <mergeCells count="1">
    <mergeCell ref="B1:C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6</vt:i4>
      </vt:variant>
    </vt:vector>
  </HeadingPairs>
  <TitlesOfParts>
    <vt:vector size="14" baseType="lpstr">
      <vt:lpstr>中债登下载数据</vt:lpstr>
      <vt:lpstr>基础情景</vt:lpstr>
      <vt:lpstr>不利情景</vt:lpstr>
      <vt:lpstr>参数假设</vt:lpstr>
      <vt:lpstr>债券估值</vt:lpstr>
      <vt:lpstr>提前偿还</vt:lpstr>
      <vt:lpstr>假设利率</vt:lpstr>
      <vt:lpstr>Sheet1</vt:lpstr>
      <vt:lpstr>End_Year</vt:lpstr>
      <vt:lpstr>Spread_High</vt:lpstr>
      <vt:lpstr>Spread_Low</vt:lpstr>
      <vt:lpstr>Spread_Mid</vt:lpstr>
      <vt:lpstr>Start_Year</vt:lpstr>
      <vt:lpstr>UFR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Ding</dc:creator>
  <cp:lastModifiedBy>aa</cp:lastModifiedBy>
  <dcterms:created xsi:type="dcterms:W3CDTF">2014-11-05T07:30:12Z</dcterms:created>
  <dcterms:modified xsi:type="dcterms:W3CDTF">2018-03-23T01:13:42Z</dcterms:modified>
</cp:coreProperties>
</file>